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defaultThemeVersion="166925"/>
  <mc:AlternateContent xmlns:mc="http://schemas.openxmlformats.org/markup-compatibility/2006">
    <mc:Choice Requires="x15">
      <x15ac:absPath xmlns:x15ac="http://schemas.microsoft.com/office/spreadsheetml/2010/11/ac" url="C:\Users\divya\OneDrive\Desktop\ISOM 801 CLASSWORK\FINAL PROJECT\"/>
    </mc:Choice>
  </mc:AlternateContent>
  <xr:revisionPtr revIDLastSave="0" documentId="13_ncr:1_{4C59CC26-EC04-4DB2-9725-8A1452CE08C5}" xr6:coauthVersionLast="47" xr6:coauthVersionMax="47" xr10:uidLastSave="{00000000-0000-0000-0000-000000000000}"/>
  <bookViews>
    <workbookView xWindow="-110" yWindow="-110" windowWidth="25820" windowHeight="15500" tabRatio="593" firstSheet="7" activeTab="12" xr2:uid="{5C9DC48D-69A2-435D-B121-AC825BEC8457}"/>
  </bookViews>
  <sheets>
    <sheet name="Raw data" sheetId="1" r:id="rId1"/>
    <sheet name="INDEX" sheetId="27" r:id="rId2"/>
    <sheet name="Chapter - 1" sheetId="2" r:id="rId3"/>
    <sheet name="Chapter - 2" sheetId="4" r:id="rId4"/>
    <sheet name="Chapter - 3" sheetId="6" r:id="rId5"/>
    <sheet name="Chapter-3 Stocks" sheetId="26" r:id="rId6"/>
    <sheet name="Chapter - 4" sheetId="7" r:id="rId7"/>
    <sheet name="Chapter - 5" sheetId="8" r:id="rId8"/>
    <sheet name="Chapter-6" sheetId="10" r:id="rId9"/>
    <sheet name="Chapter -7" sheetId="20" r:id="rId10"/>
    <sheet name="Chapter-7 Pivot Tables" sheetId="17" r:id="rId11"/>
    <sheet name="Chapter -8" sheetId="21" r:id="rId12"/>
    <sheet name="Chapter-9" sheetId="22" r:id="rId13"/>
  </sheets>
  <definedNames>
    <definedName name="_xlnm._FilterDatabase" localSheetId="2" hidden="1">'Chapter - 1'!$A$1:$F$1001</definedName>
    <definedName name="_xlnm._FilterDatabase" localSheetId="3" hidden="1">'Chapter - 2'!$A$1:$F$1001</definedName>
    <definedName name="_xlnm._FilterDatabase" localSheetId="4" hidden="1">'Chapter - 3'!$A$1:$E$55</definedName>
    <definedName name="_xlnm._FilterDatabase" localSheetId="7" hidden="1">'Chapter - 5'!$L$2:$M$196</definedName>
    <definedName name="_xlnm._FilterDatabase" localSheetId="0" hidden="1">'Raw data'!$A$1:$F$1001</definedName>
    <definedName name="Slicer_averageRating">#N/A</definedName>
    <definedName name="Slicer_genres">#N/A</definedName>
    <definedName name="Slicer_numVotes">#N/A</definedName>
    <definedName name="Slicer_releaseYear">#N/A</definedName>
    <definedName name="Slicer_title">#N/A</definedName>
  </definedNames>
  <calcPr calcId="191029"/>
  <pivotCaches>
    <pivotCache cacheId="0" r:id="rId14"/>
    <pivotCache cacheId="1" r:id="rId15"/>
    <pivotCache cacheId="2" r:id="rId1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7"/>
        <x14:slicerCache r:id="rId18"/>
        <x14:slicerCache r:id="rId19"/>
        <x14:slicerCache r:id="rId20"/>
        <x14:slicerCache r:id="rId21"/>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8" i="4" l="1"/>
  <c r="C17" i="10"/>
  <c r="E20" i="10"/>
  <c r="F20" i="10" s="1"/>
  <c r="E21" i="10"/>
  <c r="E22" i="10"/>
  <c r="E23" i="10"/>
  <c r="E24" i="10"/>
  <c r="E25" i="10"/>
  <c r="E26" i="10"/>
  <c r="E27" i="10"/>
  <c r="E28" i="10"/>
  <c r="E29" i="10"/>
  <c r="E30" i="10"/>
  <c r="E31" i="10"/>
  <c r="E32" i="10"/>
  <c r="E33" i="10"/>
  <c r="E34" i="10"/>
  <c r="D21" i="10"/>
  <c r="D22" i="10"/>
  <c r="D23" i="10"/>
  <c r="D24" i="10"/>
  <c r="D25" i="10"/>
  <c r="D26" i="10"/>
  <c r="D27" i="10"/>
  <c r="D28" i="10"/>
  <c r="D29" i="10"/>
  <c r="D30" i="10"/>
  <c r="D31" i="10"/>
  <c r="D32" i="10"/>
  <c r="D33" i="10"/>
  <c r="D34" i="10"/>
  <c r="D20" i="10"/>
  <c r="C20" i="10" l="1"/>
  <c r="C21" i="10" l="1"/>
  <c r="F21" i="10" s="1"/>
  <c r="C22" i="10" l="1"/>
  <c r="F22" i="10" s="1"/>
  <c r="G4" i="8" a="1"/>
  <c r="G4" i="8" s="1"/>
  <c r="F4" i="8" s="1"/>
  <c r="H4" i="8" s="1"/>
  <c r="G10" i="8" a="1"/>
  <c r="G10" i="8" s="1"/>
  <c r="F10" i="8" s="1"/>
  <c r="G9" i="8" a="1"/>
  <c r="G9" i="8" s="1"/>
  <c r="F9" i="8" s="1"/>
  <c r="H9" i="8" s="1"/>
  <c r="G8" i="8" a="1"/>
  <c r="G8" i="8" s="1"/>
  <c r="F8" i="8" s="1"/>
  <c r="G7" i="8" a="1"/>
  <c r="G7" i="8" s="1"/>
  <c r="F7" i="8" s="1"/>
  <c r="H7" i="8" s="1"/>
  <c r="G6" i="8" a="1"/>
  <c r="G6" i="8" s="1"/>
  <c r="F6" i="8" s="1"/>
  <c r="G5" i="8" a="1"/>
  <c r="G5" i="8" s="1"/>
  <c r="F5" i="8" s="1"/>
  <c r="H5" i="8" s="1"/>
  <c r="C15" i="8"/>
  <c r="C4" i="8"/>
  <c r="C5" i="8"/>
  <c r="C6" i="8"/>
  <c r="C7" i="8"/>
  <c r="C8" i="8"/>
  <c r="C9" i="8"/>
  <c r="C10" i="8"/>
  <c r="C11" i="8"/>
  <c r="C12" i="8"/>
  <c r="C13" i="8"/>
  <c r="C14" i="8"/>
  <c r="C16" i="8"/>
  <c r="C17" i="8"/>
  <c r="C18" i="8"/>
  <c r="C19" i="8"/>
  <c r="C20" i="8"/>
  <c r="C21" i="8"/>
  <c r="C22" i="8"/>
  <c r="C23" i="8"/>
  <c r="C24" i="8"/>
  <c r="C25" i="8"/>
  <c r="C26" i="8"/>
  <c r="B15" i="8"/>
  <c r="B4" i="8"/>
  <c r="B5" i="8"/>
  <c r="B6" i="8"/>
  <c r="B7" i="8"/>
  <c r="B8" i="8"/>
  <c r="B9" i="8"/>
  <c r="B10" i="8"/>
  <c r="B11" i="8"/>
  <c r="B12" i="8"/>
  <c r="B13" i="8"/>
  <c r="B14" i="8"/>
  <c r="B16" i="8"/>
  <c r="B17" i="8"/>
  <c r="B18" i="8"/>
  <c r="B19" i="8"/>
  <c r="B20" i="8"/>
  <c r="B21" i="8"/>
  <c r="B22" i="8"/>
  <c r="B23" i="8"/>
  <c r="B24" i="8"/>
  <c r="B25" i="8"/>
  <c r="B26" i="8"/>
  <c r="C3" i="8"/>
  <c r="B3" i="8"/>
  <c r="O12" i="21"/>
  <c r="R12" i="21" s="1"/>
  <c r="Q12" i="21"/>
  <c r="N12" i="21"/>
  <c r="R8" i="21"/>
  <c r="R9" i="21"/>
  <c r="R10" i="21"/>
  <c r="R11" i="21"/>
  <c r="R7" i="21"/>
  <c r="Q8" i="21"/>
  <c r="Q9" i="21"/>
  <c r="Q10" i="21"/>
  <c r="Q11" i="21"/>
  <c r="Q7" i="21"/>
  <c r="O7" i="21"/>
  <c r="C23" i="10" l="1"/>
  <c r="F23" i="10" s="1"/>
  <c r="I6" i="8"/>
  <c r="H6" i="8"/>
  <c r="I10" i="8"/>
  <c r="H10" i="8"/>
  <c r="I8" i="8"/>
  <c r="H8" i="8"/>
  <c r="I9" i="8"/>
  <c r="I5" i="8"/>
  <c r="I4" i="8"/>
  <c r="I7" i="8"/>
  <c r="O11" i="21"/>
  <c r="O10" i="21"/>
  <c r="O9" i="21"/>
  <c r="O8" i="21"/>
  <c r="N10" i="21"/>
  <c r="N9" i="21"/>
  <c r="N8" i="21"/>
  <c r="N11" i="21"/>
  <c r="N7" i="21"/>
  <c r="E13" i="22"/>
  <c r="M11" i="21"/>
  <c r="M10" i="21"/>
  <c r="M9" i="21"/>
  <c r="M8" i="21"/>
  <c r="M7" i="21"/>
  <c r="C24" i="10" l="1"/>
  <c r="F24" i="10" s="1"/>
  <c r="H16" i="21"/>
  <c r="H15" i="21"/>
  <c r="H14" i="21"/>
  <c r="I7" i="21"/>
  <c r="H10" i="21"/>
  <c r="H9" i="21"/>
  <c r="E15" i="22"/>
  <c r="E12" i="22"/>
  <c r="B21" i="22"/>
  <c r="B27" i="22" s="1"/>
  <c r="B6" i="22"/>
  <c r="B12" i="22" s="1"/>
  <c r="C25" i="10" l="1"/>
  <c r="I17" i="21"/>
  <c r="I11" i="21"/>
  <c r="I12" i="21" s="1"/>
  <c r="I18" i="21" s="1"/>
  <c r="B25" i="22"/>
  <c r="B10" i="22"/>
  <c r="B11" i="22"/>
  <c r="F25" i="10" l="1"/>
  <c r="C26" i="10" s="1"/>
  <c r="F26" i="10" s="1"/>
  <c r="C27" i="10" s="1"/>
  <c r="F27" i="10" s="1"/>
  <c r="B13" i="22"/>
  <c r="C28" i="10" l="1"/>
  <c r="F28" i="10" s="1"/>
  <c r="B26" i="22"/>
  <c r="B28" i="22"/>
  <c r="C29" i="10" l="1"/>
  <c r="F29" i="10" s="1"/>
  <c r="F2" i="20"/>
  <c r="F3" i="20"/>
  <c r="F4" i="20"/>
  <c r="F5" i="20"/>
  <c r="F6" i="20"/>
  <c r="F7" i="20"/>
  <c r="F8" i="20"/>
  <c r="F9" i="20"/>
  <c r="F10" i="20"/>
  <c r="F11" i="20"/>
  <c r="F12" i="20"/>
  <c r="F13" i="20"/>
  <c r="F14" i="20"/>
  <c r="F15" i="20"/>
  <c r="F16" i="20"/>
  <c r="F17" i="20"/>
  <c r="F18" i="20"/>
  <c r="F19" i="20"/>
  <c r="F20" i="20"/>
  <c r="F21" i="20"/>
  <c r="F22" i="20"/>
  <c r="F23" i="20"/>
  <c r="F24" i="20"/>
  <c r="F25" i="20"/>
  <c r="F26" i="20"/>
  <c r="F27" i="20"/>
  <c r="F28" i="20"/>
  <c r="F29" i="20"/>
  <c r="F30" i="20"/>
  <c r="F31" i="20"/>
  <c r="F32" i="20"/>
  <c r="F33" i="20"/>
  <c r="F34" i="20"/>
  <c r="F35" i="20"/>
  <c r="F36" i="20"/>
  <c r="F37" i="20"/>
  <c r="F38" i="20"/>
  <c r="F39" i="20"/>
  <c r="F40" i="20"/>
  <c r="F41" i="20"/>
  <c r="F42" i="20"/>
  <c r="F43" i="20"/>
  <c r="F44" i="20"/>
  <c r="F45" i="20"/>
  <c r="F46" i="20"/>
  <c r="F47" i="20"/>
  <c r="F48" i="20"/>
  <c r="F49" i="20"/>
  <c r="F50" i="20"/>
  <c r="F51" i="20"/>
  <c r="F52" i="20"/>
  <c r="F53" i="20"/>
  <c r="F54" i="20"/>
  <c r="F55" i="20"/>
  <c r="F56" i="20"/>
  <c r="F57" i="20"/>
  <c r="F58" i="20"/>
  <c r="F59" i="20"/>
  <c r="F60" i="20"/>
  <c r="F61" i="20"/>
  <c r="F62" i="20"/>
  <c r="F63" i="20"/>
  <c r="F64" i="20"/>
  <c r="F65" i="20"/>
  <c r="F66" i="20"/>
  <c r="F67" i="20"/>
  <c r="F68" i="20"/>
  <c r="F69" i="20"/>
  <c r="F70" i="20"/>
  <c r="F71" i="20"/>
  <c r="F72" i="20"/>
  <c r="F73" i="20"/>
  <c r="F74" i="20"/>
  <c r="F75" i="20"/>
  <c r="F76" i="20"/>
  <c r="F77" i="20"/>
  <c r="F78" i="20"/>
  <c r="F79" i="20"/>
  <c r="F80" i="20"/>
  <c r="F81" i="20"/>
  <c r="F82" i="20"/>
  <c r="F83" i="20"/>
  <c r="F84" i="20"/>
  <c r="F85" i="20"/>
  <c r="F86" i="20"/>
  <c r="F87" i="20"/>
  <c r="F88" i="20"/>
  <c r="F89" i="20"/>
  <c r="F90" i="20"/>
  <c r="F91" i="20"/>
  <c r="F92" i="20"/>
  <c r="F93" i="20"/>
  <c r="F94" i="20"/>
  <c r="F95" i="20"/>
  <c r="F96" i="20"/>
  <c r="F97" i="20"/>
  <c r="F98" i="20"/>
  <c r="F99" i="20"/>
  <c r="F100" i="20"/>
  <c r="F101" i="20"/>
  <c r="F102" i="20"/>
  <c r="F103" i="20"/>
  <c r="F104" i="20"/>
  <c r="F105" i="20"/>
  <c r="F106" i="20"/>
  <c r="F107" i="20"/>
  <c r="F108" i="20"/>
  <c r="F109" i="20"/>
  <c r="F110" i="20"/>
  <c r="F111" i="20"/>
  <c r="F112" i="20"/>
  <c r="F113" i="20"/>
  <c r="F114" i="20"/>
  <c r="F115" i="20"/>
  <c r="F116" i="20"/>
  <c r="F117" i="20"/>
  <c r="F118" i="20"/>
  <c r="F119" i="20"/>
  <c r="F120" i="20"/>
  <c r="F121" i="20"/>
  <c r="F122" i="20"/>
  <c r="F123" i="20"/>
  <c r="F124" i="20"/>
  <c r="F125" i="20"/>
  <c r="F126" i="20"/>
  <c r="F127" i="20"/>
  <c r="F128" i="20"/>
  <c r="F129" i="20"/>
  <c r="F130" i="20"/>
  <c r="F131" i="20"/>
  <c r="F132" i="20"/>
  <c r="F133" i="20"/>
  <c r="F134" i="20"/>
  <c r="F135" i="20"/>
  <c r="F136" i="20"/>
  <c r="F137" i="20"/>
  <c r="F138" i="20"/>
  <c r="F139" i="20"/>
  <c r="F140" i="20"/>
  <c r="F141" i="20"/>
  <c r="F142" i="20"/>
  <c r="F143" i="20"/>
  <c r="F144" i="20"/>
  <c r="F145" i="20"/>
  <c r="F146" i="20"/>
  <c r="F147" i="20"/>
  <c r="F148" i="20"/>
  <c r="F149" i="20"/>
  <c r="F150" i="20"/>
  <c r="F151" i="20"/>
  <c r="F152" i="20"/>
  <c r="F153" i="20"/>
  <c r="F154" i="20"/>
  <c r="F155" i="20"/>
  <c r="F156" i="20"/>
  <c r="F157" i="20"/>
  <c r="F158" i="20"/>
  <c r="F159" i="20"/>
  <c r="F160" i="20"/>
  <c r="F161" i="20"/>
  <c r="F162" i="20"/>
  <c r="F163" i="20"/>
  <c r="F164" i="20"/>
  <c r="F165" i="20"/>
  <c r="F166" i="20"/>
  <c r="F167" i="20"/>
  <c r="F168" i="20"/>
  <c r="F169" i="20"/>
  <c r="F170" i="20"/>
  <c r="F171" i="20"/>
  <c r="F172" i="20"/>
  <c r="F173" i="20"/>
  <c r="F174" i="20"/>
  <c r="F175" i="20"/>
  <c r="F176" i="20"/>
  <c r="F177" i="20"/>
  <c r="F178" i="20"/>
  <c r="F179" i="20"/>
  <c r="F180" i="20"/>
  <c r="F181" i="20"/>
  <c r="F182" i="20"/>
  <c r="F183" i="20"/>
  <c r="F184" i="20"/>
  <c r="F185" i="20"/>
  <c r="F186" i="20"/>
  <c r="F187" i="20"/>
  <c r="F188" i="20"/>
  <c r="F189" i="20"/>
  <c r="F190" i="20"/>
  <c r="F191" i="20"/>
  <c r="F192" i="20"/>
  <c r="F193" i="20"/>
  <c r="F194" i="20"/>
  <c r="F195" i="20"/>
  <c r="F196" i="20"/>
  <c r="F197" i="20"/>
  <c r="F198" i="20"/>
  <c r="F199" i="20"/>
  <c r="F200" i="20"/>
  <c r="F201" i="20"/>
  <c r="F202" i="20"/>
  <c r="F203" i="20"/>
  <c r="F204" i="20"/>
  <c r="F205" i="20"/>
  <c r="F206" i="20"/>
  <c r="F207" i="20"/>
  <c r="F208" i="20"/>
  <c r="F209" i="20"/>
  <c r="F210" i="20"/>
  <c r="F211" i="20"/>
  <c r="F212" i="20"/>
  <c r="F213" i="20"/>
  <c r="F214" i="20"/>
  <c r="F215" i="20"/>
  <c r="F216" i="20"/>
  <c r="F217" i="20"/>
  <c r="F218" i="20"/>
  <c r="F219" i="20"/>
  <c r="F220" i="20"/>
  <c r="F221" i="20"/>
  <c r="F222" i="20"/>
  <c r="F223" i="20"/>
  <c r="F224" i="20"/>
  <c r="F225" i="20"/>
  <c r="F226" i="20"/>
  <c r="F227" i="20"/>
  <c r="F228" i="20"/>
  <c r="F229" i="20"/>
  <c r="F230" i="20"/>
  <c r="F231" i="20"/>
  <c r="F232" i="20"/>
  <c r="F233" i="20"/>
  <c r="F234" i="20"/>
  <c r="F235" i="20"/>
  <c r="F236" i="20"/>
  <c r="F237" i="20"/>
  <c r="F238" i="20"/>
  <c r="F239" i="20"/>
  <c r="F240" i="20"/>
  <c r="F241" i="20"/>
  <c r="F242" i="20"/>
  <c r="F243" i="20"/>
  <c r="F244" i="20"/>
  <c r="F245" i="20"/>
  <c r="F246" i="20"/>
  <c r="F247" i="20"/>
  <c r="F248" i="20"/>
  <c r="F249" i="20"/>
  <c r="F250" i="20"/>
  <c r="F251" i="20"/>
  <c r="F252" i="20"/>
  <c r="F253" i="20"/>
  <c r="F254" i="20"/>
  <c r="F255" i="20"/>
  <c r="F256" i="20"/>
  <c r="F257" i="20"/>
  <c r="F258" i="20"/>
  <c r="F259" i="20"/>
  <c r="F260" i="20"/>
  <c r="F261" i="20"/>
  <c r="F262" i="20"/>
  <c r="F263" i="20"/>
  <c r="F264" i="20"/>
  <c r="F265" i="20"/>
  <c r="F266" i="20"/>
  <c r="F267" i="20"/>
  <c r="F268" i="20"/>
  <c r="F269" i="20"/>
  <c r="F270" i="20"/>
  <c r="F271" i="20"/>
  <c r="F272" i="20"/>
  <c r="F273" i="20"/>
  <c r="F274" i="20"/>
  <c r="F275" i="20"/>
  <c r="F276" i="20"/>
  <c r="F277" i="20"/>
  <c r="F278" i="20"/>
  <c r="F279" i="20"/>
  <c r="F280" i="20"/>
  <c r="F281" i="20"/>
  <c r="F282" i="20"/>
  <c r="F283" i="20"/>
  <c r="F284" i="20"/>
  <c r="F285" i="20"/>
  <c r="F286" i="20"/>
  <c r="F287" i="20"/>
  <c r="F288" i="20"/>
  <c r="F289" i="20"/>
  <c r="F290" i="20"/>
  <c r="F291" i="20"/>
  <c r="F292" i="20"/>
  <c r="F293" i="20"/>
  <c r="F294" i="20"/>
  <c r="F295" i="20"/>
  <c r="F296" i="20"/>
  <c r="F297" i="20"/>
  <c r="F298" i="20"/>
  <c r="F299" i="20"/>
  <c r="F300" i="20"/>
  <c r="F301" i="20"/>
  <c r="F302" i="20"/>
  <c r="F303" i="20"/>
  <c r="F304" i="20"/>
  <c r="F305" i="20"/>
  <c r="F306" i="20"/>
  <c r="F307" i="20"/>
  <c r="F308" i="20"/>
  <c r="F309" i="20"/>
  <c r="F310" i="20"/>
  <c r="F311" i="20"/>
  <c r="F312" i="20"/>
  <c r="F313" i="20"/>
  <c r="F314" i="20"/>
  <c r="F315" i="20"/>
  <c r="F316" i="20"/>
  <c r="F317" i="20"/>
  <c r="F318" i="20"/>
  <c r="F319" i="20"/>
  <c r="F320" i="20"/>
  <c r="F321" i="20"/>
  <c r="F322" i="20"/>
  <c r="F323" i="20"/>
  <c r="F324" i="20"/>
  <c r="F325" i="20"/>
  <c r="F326" i="20"/>
  <c r="F327" i="20"/>
  <c r="F328" i="20"/>
  <c r="F329" i="20"/>
  <c r="F330" i="20"/>
  <c r="F331" i="20"/>
  <c r="F332" i="20"/>
  <c r="F333" i="20"/>
  <c r="F334" i="20"/>
  <c r="F335" i="20"/>
  <c r="F336" i="20"/>
  <c r="F337" i="20"/>
  <c r="F338" i="20"/>
  <c r="F339" i="20"/>
  <c r="F340" i="20"/>
  <c r="F341" i="20"/>
  <c r="F342" i="20"/>
  <c r="F343" i="20"/>
  <c r="F344" i="20"/>
  <c r="F345" i="20"/>
  <c r="F346" i="20"/>
  <c r="F347" i="20"/>
  <c r="F348" i="20"/>
  <c r="F349" i="20"/>
  <c r="F350" i="20"/>
  <c r="F351" i="20"/>
  <c r="F352" i="20"/>
  <c r="F353" i="20"/>
  <c r="F354" i="20"/>
  <c r="F355" i="20"/>
  <c r="F356" i="20"/>
  <c r="F357" i="20"/>
  <c r="F358" i="20"/>
  <c r="F359" i="20"/>
  <c r="F360" i="20"/>
  <c r="F361" i="20"/>
  <c r="F362" i="20"/>
  <c r="F363" i="20"/>
  <c r="F364" i="20"/>
  <c r="F365" i="20"/>
  <c r="F366" i="20"/>
  <c r="F367" i="20"/>
  <c r="F368" i="20"/>
  <c r="F369" i="20"/>
  <c r="F370" i="20"/>
  <c r="F371" i="20"/>
  <c r="F372" i="20"/>
  <c r="F373" i="20"/>
  <c r="F374" i="20"/>
  <c r="F375" i="20"/>
  <c r="F376" i="20"/>
  <c r="F377" i="20"/>
  <c r="F378" i="20"/>
  <c r="F379" i="20"/>
  <c r="F380" i="20"/>
  <c r="F381" i="20"/>
  <c r="F382" i="20"/>
  <c r="F383" i="20"/>
  <c r="F384" i="20"/>
  <c r="F385" i="20"/>
  <c r="F386" i="20"/>
  <c r="F387" i="20"/>
  <c r="F388" i="20"/>
  <c r="F389" i="20"/>
  <c r="F390" i="20"/>
  <c r="F391" i="20"/>
  <c r="F392" i="20"/>
  <c r="F393" i="20"/>
  <c r="F394" i="20"/>
  <c r="F395" i="20"/>
  <c r="F396" i="20"/>
  <c r="F397" i="20"/>
  <c r="F398" i="20"/>
  <c r="F399" i="20"/>
  <c r="F400" i="20"/>
  <c r="F401" i="20"/>
  <c r="F402" i="20"/>
  <c r="F403" i="20"/>
  <c r="F404" i="20"/>
  <c r="F405" i="20"/>
  <c r="F406" i="20"/>
  <c r="F407" i="20"/>
  <c r="F408" i="20"/>
  <c r="F409" i="20"/>
  <c r="F410" i="20"/>
  <c r="F411" i="20"/>
  <c r="F412" i="20"/>
  <c r="F413" i="20"/>
  <c r="F414" i="20"/>
  <c r="F415" i="20"/>
  <c r="F416" i="20"/>
  <c r="F417" i="20"/>
  <c r="F418" i="20"/>
  <c r="F419" i="20"/>
  <c r="F420" i="20"/>
  <c r="F421" i="20"/>
  <c r="F422" i="20"/>
  <c r="F423" i="20"/>
  <c r="F424" i="20"/>
  <c r="F425" i="20"/>
  <c r="F426" i="20"/>
  <c r="F427" i="20"/>
  <c r="F428" i="20"/>
  <c r="F429" i="20"/>
  <c r="F430" i="20"/>
  <c r="F431" i="20"/>
  <c r="F432" i="20"/>
  <c r="F433" i="20"/>
  <c r="F434" i="20"/>
  <c r="F435" i="20"/>
  <c r="F436" i="20"/>
  <c r="F437" i="20"/>
  <c r="F438" i="20"/>
  <c r="F439" i="20"/>
  <c r="F440" i="20"/>
  <c r="F441" i="20"/>
  <c r="F442" i="20"/>
  <c r="F443" i="20"/>
  <c r="F444" i="20"/>
  <c r="F445" i="20"/>
  <c r="F446" i="20"/>
  <c r="F447" i="20"/>
  <c r="F448" i="20"/>
  <c r="F449" i="20"/>
  <c r="F450" i="20"/>
  <c r="F451" i="20"/>
  <c r="F452" i="20"/>
  <c r="F453" i="20"/>
  <c r="F454" i="20"/>
  <c r="F455" i="20"/>
  <c r="F456" i="20"/>
  <c r="F457" i="20"/>
  <c r="F458" i="20"/>
  <c r="F459" i="20"/>
  <c r="F460" i="20"/>
  <c r="F461" i="20"/>
  <c r="F462" i="20"/>
  <c r="F463" i="20"/>
  <c r="F464" i="20"/>
  <c r="F465" i="20"/>
  <c r="F466" i="20"/>
  <c r="F467" i="20"/>
  <c r="F468" i="20"/>
  <c r="F469" i="20"/>
  <c r="F470" i="20"/>
  <c r="F471" i="20"/>
  <c r="F472" i="20"/>
  <c r="F473" i="20"/>
  <c r="F474" i="20"/>
  <c r="F475" i="20"/>
  <c r="F476" i="20"/>
  <c r="F477" i="20"/>
  <c r="F478" i="20"/>
  <c r="F479" i="20"/>
  <c r="F480" i="20"/>
  <c r="F481" i="20"/>
  <c r="F482" i="20"/>
  <c r="F483" i="20"/>
  <c r="F484" i="20"/>
  <c r="F485" i="20"/>
  <c r="F486" i="20"/>
  <c r="F487" i="20"/>
  <c r="F488" i="20"/>
  <c r="F489" i="20"/>
  <c r="F490" i="20"/>
  <c r="F491" i="20"/>
  <c r="F492" i="20"/>
  <c r="F493" i="20"/>
  <c r="F494" i="20"/>
  <c r="F495" i="20"/>
  <c r="F496" i="20"/>
  <c r="F497" i="20"/>
  <c r="F498" i="20"/>
  <c r="F499" i="20"/>
  <c r="F500" i="20"/>
  <c r="F501" i="20"/>
  <c r="F502" i="20"/>
  <c r="F503" i="20"/>
  <c r="F504" i="20"/>
  <c r="F505" i="20"/>
  <c r="F506" i="20"/>
  <c r="F507" i="20"/>
  <c r="F508" i="20"/>
  <c r="F509" i="20"/>
  <c r="F510" i="20"/>
  <c r="F511" i="20"/>
  <c r="F512" i="20"/>
  <c r="F513" i="20"/>
  <c r="F514" i="20"/>
  <c r="F515" i="20"/>
  <c r="F516" i="20"/>
  <c r="F517" i="20"/>
  <c r="F518" i="20"/>
  <c r="F519" i="20"/>
  <c r="F520" i="20"/>
  <c r="F521" i="20"/>
  <c r="F522" i="20"/>
  <c r="F523" i="20"/>
  <c r="F524" i="20"/>
  <c r="F525" i="20"/>
  <c r="F526" i="20"/>
  <c r="F527" i="20"/>
  <c r="F528" i="20"/>
  <c r="F529" i="20"/>
  <c r="F530" i="20"/>
  <c r="F531" i="20"/>
  <c r="F532" i="20"/>
  <c r="F533" i="20"/>
  <c r="F534" i="20"/>
  <c r="F535" i="20"/>
  <c r="F536" i="20"/>
  <c r="F537" i="20"/>
  <c r="F538" i="20"/>
  <c r="F539" i="20"/>
  <c r="F540" i="20"/>
  <c r="F541" i="20"/>
  <c r="F542" i="20"/>
  <c r="F543" i="20"/>
  <c r="F544" i="20"/>
  <c r="F545" i="20"/>
  <c r="F546" i="20"/>
  <c r="F547" i="20"/>
  <c r="F548" i="20"/>
  <c r="F549" i="20"/>
  <c r="F550" i="20"/>
  <c r="F551" i="20"/>
  <c r="F552" i="20"/>
  <c r="F553" i="20"/>
  <c r="F554" i="20"/>
  <c r="F555" i="20"/>
  <c r="F556" i="20"/>
  <c r="F557" i="20"/>
  <c r="F558" i="20"/>
  <c r="F559" i="20"/>
  <c r="F560" i="20"/>
  <c r="F561" i="20"/>
  <c r="F562" i="20"/>
  <c r="F563" i="20"/>
  <c r="F564" i="20"/>
  <c r="F565" i="20"/>
  <c r="F566" i="20"/>
  <c r="F567" i="20"/>
  <c r="F568" i="20"/>
  <c r="F569" i="20"/>
  <c r="F570" i="20"/>
  <c r="F571" i="20"/>
  <c r="F572" i="20"/>
  <c r="F573" i="20"/>
  <c r="F574" i="20"/>
  <c r="F575" i="20"/>
  <c r="F576" i="20"/>
  <c r="F577" i="20"/>
  <c r="F578" i="20"/>
  <c r="F579" i="20"/>
  <c r="F580" i="20"/>
  <c r="F581" i="20"/>
  <c r="F582" i="20"/>
  <c r="F583" i="20"/>
  <c r="F584" i="20"/>
  <c r="F585" i="20"/>
  <c r="F586" i="20"/>
  <c r="F587" i="20"/>
  <c r="F588" i="20"/>
  <c r="F589" i="20"/>
  <c r="F590" i="20"/>
  <c r="F591" i="20"/>
  <c r="F592" i="20"/>
  <c r="F593" i="20"/>
  <c r="F594" i="20"/>
  <c r="F595" i="20"/>
  <c r="F596" i="20"/>
  <c r="F597" i="20"/>
  <c r="F598" i="20"/>
  <c r="F599" i="20"/>
  <c r="F600" i="20"/>
  <c r="F601" i="20"/>
  <c r="F602" i="20"/>
  <c r="F603" i="20"/>
  <c r="F604" i="20"/>
  <c r="F605" i="20"/>
  <c r="F606" i="20"/>
  <c r="F607" i="20"/>
  <c r="F608" i="20"/>
  <c r="F609" i="20"/>
  <c r="F610" i="20"/>
  <c r="F611" i="20"/>
  <c r="F612" i="20"/>
  <c r="F613" i="20"/>
  <c r="F614" i="20"/>
  <c r="F615" i="20"/>
  <c r="F616" i="20"/>
  <c r="F617" i="20"/>
  <c r="F618" i="20"/>
  <c r="F619" i="20"/>
  <c r="F620" i="20"/>
  <c r="F621" i="20"/>
  <c r="F622" i="20"/>
  <c r="F623" i="20"/>
  <c r="F624" i="20"/>
  <c r="F625" i="20"/>
  <c r="F626" i="20"/>
  <c r="F627" i="20"/>
  <c r="F628" i="20"/>
  <c r="F629" i="20"/>
  <c r="F630" i="20"/>
  <c r="F631" i="20"/>
  <c r="F632" i="20"/>
  <c r="F633" i="20"/>
  <c r="F634" i="20"/>
  <c r="F635" i="20"/>
  <c r="F636" i="20"/>
  <c r="F637" i="20"/>
  <c r="F638" i="20"/>
  <c r="F639" i="20"/>
  <c r="F640" i="20"/>
  <c r="F641" i="20"/>
  <c r="F642" i="20"/>
  <c r="F643" i="20"/>
  <c r="F644" i="20"/>
  <c r="F645" i="20"/>
  <c r="F646" i="20"/>
  <c r="F647" i="20"/>
  <c r="F648" i="20"/>
  <c r="F649" i="20"/>
  <c r="F650" i="20"/>
  <c r="F651" i="20"/>
  <c r="F652" i="20"/>
  <c r="F653" i="20"/>
  <c r="F654" i="20"/>
  <c r="F655" i="20"/>
  <c r="F656" i="20"/>
  <c r="F657" i="20"/>
  <c r="F658" i="20"/>
  <c r="F659" i="20"/>
  <c r="F660" i="20"/>
  <c r="F661" i="20"/>
  <c r="F662" i="20"/>
  <c r="F663" i="20"/>
  <c r="F664" i="20"/>
  <c r="F665" i="20"/>
  <c r="F666" i="20"/>
  <c r="F667" i="20"/>
  <c r="F668" i="20"/>
  <c r="F669" i="20"/>
  <c r="F670" i="20"/>
  <c r="F671" i="20"/>
  <c r="F672" i="20"/>
  <c r="F673" i="20"/>
  <c r="F674" i="20"/>
  <c r="F675" i="20"/>
  <c r="F676" i="20"/>
  <c r="F677" i="20"/>
  <c r="F678" i="20"/>
  <c r="F679" i="20"/>
  <c r="F680" i="20"/>
  <c r="F681" i="20"/>
  <c r="F682" i="20"/>
  <c r="F683" i="20"/>
  <c r="F684" i="20"/>
  <c r="F685" i="20"/>
  <c r="F686" i="20"/>
  <c r="F687" i="20"/>
  <c r="F688" i="20"/>
  <c r="F689" i="20"/>
  <c r="F690" i="20"/>
  <c r="F691" i="20"/>
  <c r="F692" i="20"/>
  <c r="F693" i="20"/>
  <c r="F694" i="20"/>
  <c r="F695" i="20"/>
  <c r="F696" i="20"/>
  <c r="F697" i="20"/>
  <c r="F698" i="20"/>
  <c r="F699" i="20"/>
  <c r="F700" i="20"/>
  <c r="F701" i="20"/>
  <c r="F702" i="20"/>
  <c r="F703" i="20"/>
  <c r="F704" i="20"/>
  <c r="F705" i="20"/>
  <c r="F706" i="20"/>
  <c r="F707" i="20"/>
  <c r="F708" i="20"/>
  <c r="F709" i="20"/>
  <c r="F710" i="20"/>
  <c r="F711" i="20"/>
  <c r="F712" i="20"/>
  <c r="F713" i="20"/>
  <c r="F714" i="20"/>
  <c r="F715" i="20"/>
  <c r="F716" i="20"/>
  <c r="F717" i="20"/>
  <c r="F718" i="20"/>
  <c r="F719" i="20"/>
  <c r="F720" i="20"/>
  <c r="F721" i="20"/>
  <c r="F722" i="20"/>
  <c r="F723" i="20"/>
  <c r="F724" i="20"/>
  <c r="F725" i="20"/>
  <c r="F726" i="20"/>
  <c r="F727" i="20"/>
  <c r="F728" i="20"/>
  <c r="F729" i="20"/>
  <c r="F730" i="20"/>
  <c r="F731" i="20"/>
  <c r="F732" i="20"/>
  <c r="F733" i="20"/>
  <c r="F734" i="20"/>
  <c r="F735" i="20"/>
  <c r="F736" i="20"/>
  <c r="F737" i="20"/>
  <c r="F738" i="20"/>
  <c r="F739" i="20"/>
  <c r="F740" i="20"/>
  <c r="F741" i="20"/>
  <c r="F742" i="20"/>
  <c r="F743" i="20"/>
  <c r="F744" i="20"/>
  <c r="F745" i="20"/>
  <c r="F746" i="20"/>
  <c r="F747" i="20"/>
  <c r="F748" i="20"/>
  <c r="F749" i="20"/>
  <c r="F750" i="20"/>
  <c r="F751" i="20"/>
  <c r="F752" i="20"/>
  <c r="F753" i="20"/>
  <c r="F754" i="20"/>
  <c r="F755" i="20"/>
  <c r="F756" i="20"/>
  <c r="F757" i="20"/>
  <c r="F758" i="20"/>
  <c r="F759" i="20"/>
  <c r="F760" i="20"/>
  <c r="F761" i="20"/>
  <c r="F762" i="20"/>
  <c r="F763" i="20"/>
  <c r="F764" i="20"/>
  <c r="F765" i="20"/>
  <c r="F766" i="20"/>
  <c r="F767" i="20"/>
  <c r="F768" i="20"/>
  <c r="F769" i="20"/>
  <c r="F770" i="20"/>
  <c r="F771" i="20"/>
  <c r="F772" i="20"/>
  <c r="F773" i="20"/>
  <c r="F774" i="20"/>
  <c r="F775" i="20"/>
  <c r="F776" i="20"/>
  <c r="F777" i="20"/>
  <c r="F778" i="20"/>
  <c r="F779" i="20"/>
  <c r="F780" i="20"/>
  <c r="F781" i="20"/>
  <c r="F782" i="20"/>
  <c r="F783" i="20"/>
  <c r="F784" i="20"/>
  <c r="F785" i="20"/>
  <c r="F786" i="20"/>
  <c r="F787" i="20"/>
  <c r="F788" i="20"/>
  <c r="F789" i="20"/>
  <c r="F790" i="20"/>
  <c r="F791" i="20"/>
  <c r="F792" i="20"/>
  <c r="F793" i="20"/>
  <c r="F794" i="20"/>
  <c r="F795" i="20"/>
  <c r="F796" i="20"/>
  <c r="F797" i="20"/>
  <c r="F798" i="20"/>
  <c r="F799" i="20"/>
  <c r="F800" i="20"/>
  <c r="F801" i="20"/>
  <c r="F802" i="20"/>
  <c r="F803" i="20"/>
  <c r="F804" i="20"/>
  <c r="F805" i="20"/>
  <c r="F806" i="20"/>
  <c r="F807" i="20"/>
  <c r="F808" i="20"/>
  <c r="F809" i="20"/>
  <c r="F810" i="20"/>
  <c r="F811" i="20"/>
  <c r="F812" i="20"/>
  <c r="F813" i="20"/>
  <c r="F814" i="20"/>
  <c r="F815" i="20"/>
  <c r="F816" i="20"/>
  <c r="F817" i="20"/>
  <c r="F818" i="20"/>
  <c r="F819" i="20"/>
  <c r="F820" i="20"/>
  <c r="F821" i="20"/>
  <c r="F822" i="20"/>
  <c r="F823" i="20"/>
  <c r="F824" i="20"/>
  <c r="F825" i="20"/>
  <c r="F826" i="20"/>
  <c r="F827" i="20"/>
  <c r="F828" i="20"/>
  <c r="F829" i="20"/>
  <c r="F830" i="20"/>
  <c r="F831" i="20"/>
  <c r="F832" i="20"/>
  <c r="F833" i="20"/>
  <c r="F834" i="20"/>
  <c r="F835" i="20"/>
  <c r="F836" i="20"/>
  <c r="F837" i="20"/>
  <c r="F838" i="20"/>
  <c r="F839" i="20"/>
  <c r="F840" i="20"/>
  <c r="F841" i="20"/>
  <c r="F842" i="20"/>
  <c r="F843" i="20"/>
  <c r="F844" i="20"/>
  <c r="F845" i="20"/>
  <c r="F846" i="20"/>
  <c r="F847" i="20"/>
  <c r="F848" i="20"/>
  <c r="F849" i="20"/>
  <c r="F850" i="20"/>
  <c r="F851" i="20"/>
  <c r="F852" i="20"/>
  <c r="F853" i="20"/>
  <c r="F854" i="20"/>
  <c r="F855" i="20"/>
  <c r="F856" i="20"/>
  <c r="F857" i="20"/>
  <c r="F858" i="20"/>
  <c r="F859" i="20"/>
  <c r="F860" i="20"/>
  <c r="F861" i="20"/>
  <c r="F862" i="20"/>
  <c r="F863" i="20"/>
  <c r="F864" i="20"/>
  <c r="F865" i="20"/>
  <c r="F866" i="20"/>
  <c r="F867" i="20"/>
  <c r="F868" i="20"/>
  <c r="F869" i="20"/>
  <c r="F870" i="20"/>
  <c r="F871" i="20"/>
  <c r="F872" i="20"/>
  <c r="F873" i="20"/>
  <c r="F874" i="20"/>
  <c r="F875" i="20"/>
  <c r="F876" i="20"/>
  <c r="F877" i="20"/>
  <c r="F878" i="20"/>
  <c r="F879" i="20"/>
  <c r="F880" i="20"/>
  <c r="F881" i="20"/>
  <c r="F882" i="20"/>
  <c r="F883" i="20"/>
  <c r="F884" i="20"/>
  <c r="F885" i="20"/>
  <c r="F886" i="20"/>
  <c r="F887" i="20"/>
  <c r="F888" i="20"/>
  <c r="F889" i="20"/>
  <c r="F890" i="20"/>
  <c r="F891" i="20"/>
  <c r="F892" i="20"/>
  <c r="F893" i="20"/>
  <c r="F894" i="20"/>
  <c r="F895" i="20"/>
  <c r="F896" i="20"/>
  <c r="F897" i="20"/>
  <c r="F898" i="20"/>
  <c r="F899" i="20"/>
  <c r="F900" i="20"/>
  <c r="F901" i="20"/>
  <c r="F902" i="20"/>
  <c r="F903" i="20"/>
  <c r="F904" i="20"/>
  <c r="F905" i="20"/>
  <c r="F906" i="20"/>
  <c r="F907" i="20"/>
  <c r="F908" i="20"/>
  <c r="F909" i="20"/>
  <c r="F910" i="20"/>
  <c r="F911" i="20"/>
  <c r="F912" i="20"/>
  <c r="F913" i="20"/>
  <c r="F914" i="20"/>
  <c r="F915" i="20"/>
  <c r="F916" i="20"/>
  <c r="F917" i="20"/>
  <c r="F918" i="20"/>
  <c r="F919" i="20"/>
  <c r="F920" i="20"/>
  <c r="F921" i="20"/>
  <c r="F922" i="20"/>
  <c r="F923" i="20"/>
  <c r="F924" i="20"/>
  <c r="F925" i="20"/>
  <c r="F926" i="20"/>
  <c r="F927" i="20"/>
  <c r="F928" i="20"/>
  <c r="F929" i="20"/>
  <c r="F930" i="20"/>
  <c r="F931" i="20"/>
  <c r="F932" i="20"/>
  <c r="F933" i="20"/>
  <c r="F934" i="20"/>
  <c r="F935" i="20"/>
  <c r="F936" i="20"/>
  <c r="F937" i="20"/>
  <c r="F938" i="20"/>
  <c r="F939" i="20"/>
  <c r="F940" i="20"/>
  <c r="F941" i="20"/>
  <c r="F942" i="20"/>
  <c r="F943" i="20"/>
  <c r="F944" i="20"/>
  <c r="F945" i="20"/>
  <c r="F946" i="20"/>
  <c r="F947" i="20"/>
  <c r="F948" i="20"/>
  <c r="F949" i="20"/>
  <c r="F950" i="20"/>
  <c r="F951" i="20"/>
  <c r="F952" i="20"/>
  <c r="F953" i="20"/>
  <c r="F954" i="20"/>
  <c r="F955" i="20"/>
  <c r="F956" i="20"/>
  <c r="F957" i="20"/>
  <c r="F958" i="20"/>
  <c r="F959" i="20"/>
  <c r="F960" i="20"/>
  <c r="F961" i="20"/>
  <c r="F962" i="20"/>
  <c r="F963" i="20"/>
  <c r="F964" i="20"/>
  <c r="F965" i="20"/>
  <c r="F966" i="20"/>
  <c r="F967" i="20"/>
  <c r="F968" i="20"/>
  <c r="F969" i="20"/>
  <c r="F970" i="20"/>
  <c r="F971" i="20"/>
  <c r="F972" i="20"/>
  <c r="F973" i="20"/>
  <c r="F974" i="20"/>
  <c r="F975" i="20"/>
  <c r="F976" i="20"/>
  <c r="F977" i="20"/>
  <c r="F978" i="20"/>
  <c r="F979" i="20"/>
  <c r="F980" i="20"/>
  <c r="F981" i="20"/>
  <c r="F982" i="20"/>
  <c r="F983" i="20"/>
  <c r="F984" i="20"/>
  <c r="F985" i="20"/>
  <c r="F986" i="20"/>
  <c r="F987" i="20"/>
  <c r="F988" i="20"/>
  <c r="F989" i="20"/>
  <c r="F990" i="20"/>
  <c r="F991" i="20"/>
  <c r="F992" i="20"/>
  <c r="F993" i="20"/>
  <c r="F994" i="20"/>
  <c r="F995" i="20"/>
  <c r="F996" i="20"/>
  <c r="F997" i="20"/>
  <c r="F998" i="20"/>
  <c r="F999" i="20"/>
  <c r="F1000" i="20"/>
  <c r="F1001" i="20"/>
  <c r="C30" i="10" l="1"/>
  <c r="F30" i="10" s="1"/>
  <c r="F5" i="10"/>
  <c r="H6" i="10"/>
  <c r="G7" i="10"/>
  <c r="G33" i="8"/>
  <c r="J33" i="8"/>
  <c r="J34" i="8"/>
  <c r="J35" i="8"/>
  <c r="J36" i="8"/>
  <c r="J37" i="8"/>
  <c r="J38" i="8"/>
  <c r="J32" i="8"/>
  <c r="I33" i="8"/>
  <c r="I34" i="8"/>
  <c r="I35" i="8"/>
  <c r="I36" i="8"/>
  <c r="I37" i="8"/>
  <c r="I38" i="8"/>
  <c r="I32" i="8"/>
  <c r="H33" i="8"/>
  <c r="H34" i="8"/>
  <c r="H35" i="8"/>
  <c r="H36" i="8"/>
  <c r="H37" i="8"/>
  <c r="H38" i="8"/>
  <c r="H32" i="8"/>
  <c r="G34" i="8"/>
  <c r="G35" i="8"/>
  <c r="G36" i="8"/>
  <c r="G37" i="8"/>
  <c r="G38" i="8"/>
  <c r="G32" i="8"/>
  <c r="L3" i="8" a="1"/>
  <c r="M120" i="8" s="1"/>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J903" i="7"/>
  <c r="J904" i="7"/>
  <c r="J905" i="7"/>
  <c r="J906" i="7"/>
  <c r="J907" i="7"/>
  <c r="J908" i="7"/>
  <c r="J909" i="7"/>
  <c r="J910" i="7"/>
  <c r="J911" i="7"/>
  <c r="J912" i="7"/>
  <c r="J913" i="7"/>
  <c r="J914" i="7"/>
  <c r="J915" i="7"/>
  <c r="J916" i="7"/>
  <c r="J917" i="7"/>
  <c r="J918" i="7"/>
  <c r="J919" i="7"/>
  <c r="J920" i="7"/>
  <c r="J921" i="7"/>
  <c r="J922" i="7"/>
  <c r="J923" i="7"/>
  <c r="J924" i="7"/>
  <c r="J925" i="7"/>
  <c r="J926" i="7"/>
  <c r="J927" i="7"/>
  <c r="J928" i="7"/>
  <c r="J929" i="7"/>
  <c r="J930" i="7"/>
  <c r="J931" i="7"/>
  <c r="J932" i="7"/>
  <c r="J933" i="7"/>
  <c r="J934" i="7"/>
  <c r="J935" i="7"/>
  <c r="J936" i="7"/>
  <c r="J937" i="7"/>
  <c r="J938" i="7"/>
  <c r="J939" i="7"/>
  <c r="J940" i="7"/>
  <c r="J941" i="7"/>
  <c r="J942" i="7"/>
  <c r="J943" i="7"/>
  <c r="J944" i="7"/>
  <c r="J945" i="7"/>
  <c r="J946" i="7"/>
  <c r="J947" i="7"/>
  <c r="J948" i="7"/>
  <c r="J949" i="7"/>
  <c r="J950" i="7"/>
  <c r="J951" i="7"/>
  <c r="J952" i="7"/>
  <c r="J953" i="7"/>
  <c r="J954" i="7"/>
  <c r="J955" i="7"/>
  <c r="J956" i="7"/>
  <c r="J957" i="7"/>
  <c r="J958" i="7"/>
  <c r="J959" i="7"/>
  <c r="J960" i="7"/>
  <c r="J961" i="7"/>
  <c r="J962" i="7"/>
  <c r="J963" i="7"/>
  <c r="J964" i="7"/>
  <c r="J965" i="7"/>
  <c r="J966" i="7"/>
  <c r="J967" i="7"/>
  <c r="J968" i="7"/>
  <c r="J969" i="7"/>
  <c r="J970" i="7"/>
  <c r="J971" i="7"/>
  <c r="J972" i="7"/>
  <c r="J973" i="7"/>
  <c r="J974" i="7"/>
  <c r="J975" i="7"/>
  <c r="J976" i="7"/>
  <c r="J977" i="7"/>
  <c r="J978" i="7"/>
  <c r="J979" i="7"/>
  <c r="J980" i="7"/>
  <c r="J981" i="7"/>
  <c r="J982" i="7"/>
  <c r="J983" i="7"/>
  <c r="J984" i="7"/>
  <c r="J985" i="7"/>
  <c r="J986" i="7"/>
  <c r="J987" i="7"/>
  <c r="J988" i="7"/>
  <c r="J989" i="7"/>
  <c r="J990" i="7"/>
  <c r="J991" i="7"/>
  <c r="J992" i="7"/>
  <c r="J993" i="7"/>
  <c r="J994" i="7"/>
  <c r="J995" i="7"/>
  <c r="J996" i="7"/>
  <c r="J997" i="7"/>
  <c r="J998" i="7"/>
  <c r="J999" i="7"/>
  <c r="J1000" i="7"/>
  <c r="J1001"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2"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3" i="7"/>
  <c r="I4" i="7"/>
  <c r="I5" i="7"/>
  <c r="I6" i="7"/>
  <c r="I7" i="7"/>
  <c r="I8" i="7"/>
  <c r="I9" i="7"/>
  <c r="I10" i="7"/>
  <c r="I2"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619" i="7"/>
  <c r="H620" i="7"/>
  <c r="H621" i="7"/>
  <c r="H622" i="7"/>
  <c r="H623" i="7"/>
  <c r="H624" i="7"/>
  <c r="H625" i="7"/>
  <c r="H626" i="7"/>
  <c r="H627" i="7"/>
  <c r="H628" i="7"/>
  <c r="H629" i="7"/>
  <c r="H630" i="7"/>
  <c r="H631" i="7"/>
  <c r="H632" i="7"/>
  <c r="H633" i="7"/>
  <c r="H634" i="7"/>
  <c r="H635" i="7"/>
  <c r="H636" i="7"/>
  <c r="H637" i="7"/>
  <c r="H638" i="7"/>
  <c r="H639" i="7"/>
  <c r="H640" i="7"/>
  <c r="H641" i="7"/>
  <c r="H642" i="7"/>
  <c r="H643" i="7"/>
  <c r="H644" i="7"/>
  <c r="H645" i="7"/>
  <c r="H646" i="7"/>
  <c r="H647" i="7"/>
  <c r="H648" i="7"/>
  <c r="H649" i="7"/>
  <c r="H650" i="7"/>
  <c r="H651" i="7"/>
  <c r="H652" i="7"/>
  <c r="H653" i="7"/>
  <c r="H654" i="7"/>
  <c r="H655" i="7"/>
  <c r="H656" i="7"/>
  <c r="H657" i="7"/>
  <c r="H658" i="7"/>
  <c r="H659" i="7"/>
  <c r="H660" i="7"/>
  <c r="H661" i="7"/>
  <c r="H662" i="7"/>
  <c r="H663" i="7"/>
  <c r="H664" i="7"/>
  <c r="H665" i="7"/>
  <c r="H666" i="7"/>
  <c r="H667" i="7"/>
  <c r="H668" i="7"/>
  <c r="H669" i="7"/>
  <c r="H670" i="7"/>
  <c r="H671" i="7"/>
  <c r="H672" i="7"/>
  <c r="H673" i="7"/>
  <c r="H674" i="7"/>
  <c r="H675" i="7"/>
  <c r="H676" i="7"/>
  <c r="H677" i="7"/>
  <c r="H678" i="7"/>
  <c r="H679" i="7"/>
  <c r="H680" i="7"/>
  <c r="H681" i="7"/>
  <c r="H682" i="7"/>
  <c r="H683" i="7"/>
  <c r="H684" i="7"/>
  <c r="H685" i="7"/>
  <c r="H686" i="7"/>
  <c r="H68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750" i="7"/>
  <c r="H751" i="7"/>
  <c r="H752" i="7"/>
  <c r="H753" i="7"/>
  <c r="H754" i="7"/>
  <c r="H755" i="7"/>
  <c r="H756" i="7"/>
  <c r="H757" i="7"/>
  <c r="H758" i="7"/>
  <c r="H759" i="7"/>
  <c r="H760" i="7"/>
  <c r="H761" i="7"/>
  <c r="H762" i="7"/>
  <c r="H763" i="7"/>
  <c r="H764" i="7"/>
  <c r="H765" i="7"/>
  <c r="H766" i="7"/>
  <c r="H767" i="7"/>
  <c r="H768"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826" i="7"/>
  <c r="H827" i="7"/>
  <c r="H828" i="7"/>
  <c r="H829" i="7"/>
  <c r="H830" i="7"/>
  <c r="H831" i="7"/>
  <c r="H832" i="7"/>
  <c r="H833" i="7"/>
  <c r="H834" i="7"/>
  <c r="H835" i="7"/>
  <c r="H836" i="7"/>
  <c r="H837" i="7"/>
  <c r="H838" i="7"/>
  <c r="H839" i="7"/>
  <c r="H840" i="7"/>
  <c r="H841" i="7"/>
  <c r="H842" i="7"/>
  <c r="H843" i="7"/>
  <c r="H844" i="7"/>
  <c r="H845" i="7"/>
  <c r="H846" i="7"/>
  <c r="H847" i="7"/>
  <c r="H848" i="7"/>
  <c r="H849" i="7"/>
  <c r="H850" i="7"/>
  <c r="H851" i="7"/>
  <c r="H852" i="7"/>
  <c r="H853" i="7"/>
  <c r="H854" i="7"/>
  <c r="H855" i="7"/>
  <c r="H856" i="7"/>
  <c r="H857" i="7"/>
  <c r="H858" i="7"/>
  <c r="H859" i="7"/>
  <c r="H860" i="7"/>
  <c r="H861" i="7"/>
  <c r="H862" i="7"/>
  <c r="H863" i="7"/>
  <c r="H864" i="7"/>
  <c r="H865" i="7"/>
  <c r="H866" i="7"/>
  <c r="H867" i="7"/>
  <c r="H868" i="7"/>
  <c r="H869" i="7"/>
  <c r="H870" i="7"/>
  <c r="H871"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H903" i="7"/>
  <c r="H904" i="7"/>
  <c r="H905" i="7"/>
  <c r="H906" i="7"/>
  <c r="H907" i="7"/>
  <c r="H908" i="7"/>
  <c r="H909" i="7"/>
  <c r="H910" i="7"/>
  <c r="H911" i="7"/>
  <c r="H912" i="7"/>
  <c r="H913" i="7"/>
  <c r="H914" i="7"/>
  <c r="H915" i="7"/>
  <c r="H916" i="7"/>
  <c r="H917" i="7"/>
  <c r="H918" i="7"/>
  <c r="H919" i="7"/>
  <c r="H920" i="7"/>
  <c r="H921" i="7"/>
  <c r="H922" i="7"/>
  <c r="H923" i="7"/>
  <c r="H924" i="7"/>
  <c r="H925" i="7"/>
  <c r="H926" i="7"/>
  <c r="H927" i="7"/>
  <c r="H928" i="7"/>
  <c r="H929" i="7"/>
  <c r="H930" i="7"/>
  <c r="H931" i="7"/>
  <c r="H932" i="7"/>
  <c r="H933" i="7"/>
  <c r="H934" i="7"/>
  <c r="H935" i="7"/>
  <c r="H936" i="7"/>
  <c r="H937" i="7"/>
  <c r="H938" i="7"/>
  <c r="H939" i="7"/>
  <c r="H940" i="7"/>
  <c r="H941" i="7"/>
  <c r="H942" i="7"/>
  <c r="H943" i="7"/>
  <c r="H944" i="7"/>
  <c r="H945" i="7"/>
  <c r="H946" i="7"/>
  <c r="H947" i="7"/>
  <c r="H948" i="7"/>
  <c r="H949" i="7"/>
  <c r="H950" i="7"/>
  <c r="H951" i="7"/>
  <c r="H952" i="7"/>
  <c r="H953" i="7"/>
  <c r="H954" i="7"/>
  <c r="H955" i="7"/>
  <c r="H956" i="7"/>
  <c r="H957" i="7"/>
  <c r="H958" i="7"/>
  <c r="H959" i="7"/>
  <c r="H960" i="7"/>
  <c r="H961" i="7"/>
  <c r="H962" i="7"/>
  <c r="H963" i="7"/>
  <c r="H964" i="7"/>
  <c r="H965" i="7"/>
  <c r="H966" i="7"/>
  <c r="H967" i="7"/>
  <c r="H968" i="7"/>
  <c r="H969" i="7"/>
  <c r="H970" i="7"/>
  <c r="H971" i="7"/>
  <c r="H972" i="7"/>
  <c r="H973" i="7"/>
  <c r="H974" i="7"/>
  <c r="H975" i="7"/>
  <c r="H976" i="7"/>
  <c r="H977" i="7"/>
  <c r="H978" i="7"/>
  <c r="H979" i="7"/>
  <c r="H980" i="7"/>
  <c r="H981" i="7"/>
  <c r="H982" i="7"/>
  <c r="H983" i="7"/>
  <c r="H984" i="7"/>
  <c r="H985" i="7"/>
  <c r="H986" i="7"/>
  <c r="H987" i="7"/>
  <c r="H988" i="7"/>
  <c r="H989" i="7"/>
  <c r="H990" i="7"/>
  <c r="H991" i="7"/>
  <c r="H992" i="7"/>
  <c r="H993" i="7"/>
  <c r="H994" i="7"/>
  <c r="H995" i="7"/>
  <c r="H996" i="7"/>
  <c r="H997" i="7"/>
  <c r="H998" i="7"/>
  <c r="H999" i="7"/>
  <c r="H1000" i="7"/>
  <c r="H1001" i="7"/>
  <c r="H3" i="7"/>
  <c r="H4" i="7"/>
  <c r="H5" i="7"/>
  <c r="H6" i="7"/>
  <c r="H7" i="7"/>
  <c r="H8" i="7"/>
  <c r="H9" i="7"/>
  <c r="H10" i="7"/>
  <c r="H11" i="7"/>
  <c r="H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634" i="7"/>
  <c r="G635" i="7"/>
  <c r="G636" i="7"/>
  <c r="G637" i="7"/>
  <c r="G638" i="7"/>
  <c r="G639" i="7"/>
  <c r="G640" i="7"/>
  <c r="G641" i="7"/>
  <c r="G642" i="7"/>
  <c r="G643" i="7"/>
  <c r="G644" i="7"/>
  <c r="G645" i="7"/>
  <c r="G646" i="7"/>
  <c r="G647" i="7"/>
  <c r="G648" i="7"/>
  <c r="G649" i="7"/>
  <c r="G650" i="7"/>
  <c r="G651" i="7"/>
  <c r="G652" i="7"/>
  <c r="G653" i="7"/>
  <c r="G654" i="7"/>
  <c r="G655" i="7"/>
  <c r="G656" i="7"/>
  <c r="G657" i="7"/>
  <c r="G658" i="7"/>
  <c r="G659" i="7"/>
  <c r="G660" i="7"/>
  <c r="G661" i="7"/>
  <c r="G662" i="7"/>
  <c r="G663" i="7"/>
  <c r="G664" i="7"/>
  <c r="G665" i="7"/>
  <c r="G666" i="7"/>
  <c r="G667" i="7"/>
  <c r="G668" i="7"/>
  <c r="G669" i="7"/>
  <c r="G670" i="7"/>
  <c r="G671" i="7"/>
  <c r="G672" i="7"/>
  <c r="G673" i="7"/>
  <c r="G674" i="7"/>
  <c r="G675" i="7"/>
  <c r="G676" i="7"/>
  <c r="G677" i="7"/>
  <c r="G678" i="7"/>
  <c r="G679" i="7"/>
  <c r="G680" i="7"/>
  <c r="G681" i="7"/>
  <c r="G682" i="7"/>
  <c r="G683" i="7"/>
  <c r="G684" i="7"/>
  <c r="G685" i="7"/>
  <c r="G686" i="7"/>
  <c r="G68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750" i="7"/>
  <c r="G751" i="7"/>
  <c r="G752" i="7"/>
  <c r="G753" i="7"/>
  <c r="G754" i="7"/>
  <c r="G755" i="7"/>
  <c r="G756" i="7"/>
  <c r="G757" i="7"/>
  <c r="G758" i="7"/>
  <c r="G759" i="7"/>
  <c r="G760" i="7"/>
  <c r="G761" i="7"/>
  <c r="G762" i="7"/>
  <c r="G763" i="7"/>
  <c r="G764" i="7"/>
  <c r="G765" i="7"/>
  <c r="G766" i="7"/>
  <c r="G767" i="7"/>
  <c r="G768"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826" i="7"/>
  <c r="G827" i="7"/>
  <c r="G828" i="7"/>
  <c r="G829" i="7"/>
  <c r="G830" i="7"/>
  <c r="G831" i="7"/>
  <c r="G832" i="7"/>
  <c r="G833" i="7"/>
  <c r="G834" i="7"/>
  <c r="G835" i="7"/>
  <c r="G836" i="7"/>
  <c r="G837" i="7"/>
  <c r="G838" i="7"/>
  <c r="G839" i="7"/>
  <c r="G840" i="7"/>
  <c r="G841" i="7"/>
  <c r="G842" i="7"/>
  <c r="G843" i="7"/>
  <c r="G844" i="7"/>
  <c r="G845" i="7"/>
  <c r="G846" i="7"/>
  <c r="G847" i="7"/>
  <c r="G848" i="7"/>
  <c r="G849" i="7"/>
  <c r="G850" i="7"/>
  <c r="G851" i="7"/>
  <c r="G852" i="7"/>
  <c r="G853" i="7"/>
  <c r="G854" i="7"/>
  <c r="G855" i="7"/>
  <c r="G856" i="7"/>
  <c r="G857" i="7"/>
  <c r="G858" i="7"/>
  <c r="G859" i="7"/>
  <c r="G860" i="7"/>
  <c r="G861" i="7"/>
  <c r="G862" i="7"/>
  <c r="G863" i="7"/>
  <c r="G864" i="7"/>
  <c r="G865" i="7"/>
  <c r="G866" i="7"/>
  <c r="G867" i="7"/>
  <c r="G868" i="7"/>
  <c r="G869" i="7"/>
  <c r="G870" i="7"/>
  <c r="G871"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G903" i="7"/>
  <c r="G904" i="7"/>
  <c r="G905" i="7"/>
  <c r="G906" i="7"/>
  <c r="G907" i="7"/>
  <c r="G908" i="7"/>
  <c r="G909" i="7"/>
  <c r="G910" i="7"/>
  <c r="G911" i="7"/>
  <c r="G912" i="7"/>
  <c r="G913" i="7"/>
  <c r="G914" i="7"/>
  <c r="G915" i="7"/>
  <c r="G916" i="7"/>
  <c r="G917" i="7"/>
  <c r="G918" i="7"/>
  <c r="G919" i="7"/>
  <c r="G920" i="7"/>
  <c r="G921" i="7"/>
  <c r="G922" i="7"/>
  <c r="G923" i="7"/>
  <c r="G924" i="7"/>
  <c r="G925" i="7"/>
  <c r="G926" i="7"/>
  <c r="G927" i="7"/>
  <c r="G928" i="7"/>
  <c r="G929" i="7"/>
  <c r="G930" i="7"/>
  <c r="G931" i="7"/>
  <c r="G932" i="7"/>
  <c r="G933" i="7"/>
  <c r="G934" i="7"/>
  <c r="G935" i="7"/>
  <c r="G936" i="7"/>
  <c r="G937" i="7"/>
  <c r="G938" i="7"/>
  <c r="G939" i="7"/>
  <c r="G940" i="7"/>
  <c r="G941" i="7"/>
  <c r="G942" i="7"/>
  <c r="G943" i="7"/>
  <c r="G944" i="7"/>
  <c r="G945" i="7"/>
  <c r="G946" i="7"/>
  <c r="G947" i="7"/>
  <c r="G948" i="7"/>
  <c r="G949" i="7"/>
  <c r="G950" i="7"/>
  <c r="G951" i="7"/>
  <c r="G952" i="7"/>
  <c r="G953" i="7"/>
  <c r="G954" i="7"/>
  <c r="G955" i="7"/>
  <c r="G956" i="7"/>
  <c r="G957" i="7"/>
  <c r="G958" i="7"/>
  <c r="G959" i="7"/>
  <c r="G960" i="7"/>
  <c r="G961" i="7"/>
  <c r="G962" i="7"/>
  <c r="G963" i="7"/>
  <c r="G964" i="7"/>
  <c r="G965" i="7"/>
  <c r="G966" i="7"/>
  <c r="G967" i="7"/>
  <c r="G968" i="7"/>
  <c r="G969" i="7"/>
  <c r="G970" i="7"/>
  <c r="G971" i="7"/>
  <c r="G972" i="7"/>
  <c r="G973" i="7"/>
  <c r="G974" i="7"/>
  <c r="G975" i="7"/>
  <c r="G976" i="7"/>
  <c r="G977" i="7"/>
  <c r="G978" i="7"/>
  <c r="G979" i="7"/>
  <c r="G980" i="7"/>
  <c r="G981" i="7"/>
  <c r="G982" i="7"/>
  <c r="G983" i="7"/>
  <c r="G984" i="7"/>
  <c r="G985" i="7"/>
  <c r="G986" i="7"/>
  <c r="G987" i="7"/>
  <c r="G988" i="7"/>
  <c r="G989" i="7"/>
  <c r="G990" i="7"/>
  <c r="G991" i="7"/>
  <c r="G992" i="7"/>
  <c r="G993" i="7"/>
  <c r="G994" i="7"/>
  <c r="G995" i="7"/>
  <c r="G996" i="7"/>
  <c r="G997" i="7"/>
  <c r="G998" i="7"/>
  <c r="G999" i="7"/>
  <c r="G1000" i="7"/>
  <c r="G1001" i="7"/>
  <c r="G2" i="7"/>
  <c r="C31" i="10" l="1"/>
  <c r="F31" i="10" s="1"/>
  <c r="D3" i="8"/>
  <c r="D23" i="8"/>
  <c r="D19" i="8"/>
  <c r="D15" i="8"/>
  <c r="D11" i="8"/>
  <c r="D7" i="8"/>
  <c r="D26" i="8"/>
  <c r="D22" i="8"/>
  <c r="D18" i="8"/>
  <c r="D24" i="8"/>
  <c r="D20" i="8"/>
  <c r="D16" i="8"/>
  <c r="D12" i="8"/>
  <c r="D8" i="8"/>
  <c r="D4" i="8"/>
  <c r="D14" i="8"/>
  <c r="D10" i="8"/>
  <c r="D6" i="8"/>
  <c r="D25" i="8"/>
  <c r="D21" i="8"/>
  <c r="D17" i="8"/>
  <c r="D13" i="8"/>
  <c r="D9" i="8"/>
  <c r="D5" i="8"/>
  <c r="M135" i="8"/>
  <c r="M186" i="8"/>
  <c r="M134" i="8"/>
  <c r="L3" i="8"/>
  <c r="M111" i="8"/>
  <c r="M56" i="8"/>
  <c r="M4" i="8"/>
  <c r="M6" i="8"/>
  <c r="M188" i="8"/>
  <c r="M85" i="8"/>
  <c r="M32" i="8"/>
  <c r="M44" i="8"/>
  <c r="M95" i="8"/>
  <c r="M126" i="8"/>
  <c r="M169" i="8"/>
  <c r="M19" i="8"/>
  <c r="M26" i="8"/>
  <c r="M12" i="8"/>
  <c r="M25" i="8"/>
  <c r="M16" i="8"/>
  <c r="M83" i="8"/>
  <c r="M118" i="8"/>
  <c r="M58" i="8"/>
  <c r="M71" i="8"/>
  <c r="M167" i="8"/>
  <c r="M133" i="8"/>
  <c r="M52" i="8"/>
  <c r="M139" i="8"/>
  <c r="M110" i="8"/>
  <c r="M27" i="8"/>
  <c r="M80" i="8"/>
  <c r="M114" i="8"/>
  <c r="M149" i="8"/>
  <c r="M35" i="8"/>
  <c r="M170" i="8"/>
  <c r="M171" i="8"/>
  <c r="M138" i="8"/>
  <c r="M127" i="8"/>
  <c r="M97" i="8"/>
  <c r="M143" i="8"/>
  <c r="M125" i="8"/>
  <c r="M121" i="8"/>
  <c r="M72" i="8"/>
  <c r="M124" i="8"/>
  <c r="M147" i="8"/>
  <c r="M152" i="8"/>
  <c r="M130" i="8"/>
  <c r="M155" i="8"/>
  <c r="M163" i="8"/>
  <c r="M162" i="8"/>
  <c r="M158" i="8"/>
  <c r="M46" i="8"/>
  <c r="M93" i="8"/>
  <c r="M112" i="8"/>
  <c r="M99" i="8"/>
  <c r="M28" i="8"/>
  <c r="M137" i="8"/>
  <c r="M60" i="8"/>
  <c r="M45" i="8"/>
  <c r="M18" i="8"/>
  <c r="M65" i="8"/>
  <c r="M108" i="8"/>
  <c r="M49" i="8"/>
  <c r="M128" i="8"/>
  <c r="M21" i="8"/>
  <c r="M15" i="8"/>
  <c r="M67" i="8"/>
  <c r="M62" i="8"/>
  <c r="M69" i="8"/>
  <c r="M41" i="8"/>
  <c r="M73" i="8"/>
  <c r="M48" i="8"/>
  <c r="M146" i="8"/>
  <c r="M119" i="8"/>
  <c r="M113" i="8"/>
  <c r="M64" i="8"/>
  <c r="M190" i="8"/>
  <c r="M182" i="8"/>
  <c r="M184" i="8"/>
  <c r="M38" i="8"/>
  <c r="M178" i="8"/>
  <c r="M176" i="8"/>
  <c r="M140" i="8"/>
  <c r="M144" i="8"/>
  <c r="M57" i="8"/>
  <c r="M59" i="8"/>
  <c r="M98" i="8"/>
  <c r="M91" i="8"/>
  <c r="M115" i="8"/>
  <c r="M117" i="8"/>
  <c r="M179" i="8"/>
  <c r="M122" i="8"/>
  <c r="M132" i="8"/>
  <c r="M193" i="8"/>
  <c r="M164" i="8"/>
  <c r="M150" i="8"/>
  <c r="M189" i="8"/>
  <c r="M174" i="8"/>
  <c r="M161" i="8"/>
  <c r="M9" i="8"/>
  <c r="M166" i="8"/>
  <c r="M103" i="8"/>
  <c r="M61" i="8"/>
  <c r="M34" i="8"/>
  <c r="M5" i="8"/>
  <c r="M100" i="8"/>
  <c r="M42" i="8"/>
  <c r="M74" i="8"/>
  <c r="M30" i="8"/>
  <c r="M43" i="8"/>
  <c r="M10" i="8"/>
  <c r="M47" i="8"/>
  <c r="M173" i="8"/>
  <c r="M89" i="8"/>
  <c r="M51" i="8"/>
  <c r="M196" i="8"/>
  <c r="M154" i="8"/>
  <c r="M66" i="8"/>
  <c r="M53" i="8"/>
  <c r="M20" i="8"/>
  <c r="M33" i="8"/>
  <c r="M81" i="8"/>
  <c r="M88" i="8"/>
  <c r="M104" i="8"/>
  <c r="M22" i="8"/>
  <c r="M76" i="8"/>
  <c r="M75" i="8"/>
  <c r="M37" i="8"/>
  <c r="M131" i="8"/>
  <c r="M129" i="8"/>
  <c r="M160" i="8"/>
  <c r="M156" i="8"/>
  <c r="M17" i="8"/>
  <c r="M92" i="8"/>
  <c r="M107" i="8"/>
  <c r="M195" i="8"/>
  <c r="M54" i="8"/>
  <c r="M187" i="8"/>
  <c r="M77" i="8"/>
  <c r="M148" i="8"/>
  <c r="M157" i="8"/>
  <c r="M151" i="8"/>
  <c r="M181" i="8"/>
  <c r="M153" i="8"/>
  <c r="M180" i="8"/>
  <c r="M141" i="8"/>
  <c r="M79" i="8"/>
  <c r="M194" i="8"/>
  <c r="M14" i="8"/>
  <c r="M159" i="8"/>
  <c r="M50" i="8"/>
  <c r="M102" i="8"/>
  <c r="M11" i="8"/>
  <c r="M55" i="8"/>
  <c r="M8" i="8"/>
  <c r="M90" i="8"/>
  <c r="M191" i="8"/>
  <c r="M123" i="8"/>
  <c r="M40" i="8"/>
  <c r="M145" i="8"/>
  <c r="M86" i="8"/>
  <c r="M31" i="8"/>
  <c r="M36" i="8"/>
  <c r="M23" i="8"/>
  <c r="M29" i="8"/>
  <c r="M13" i="8"/>
  <c r="M177" i="8"/>
  <c r="M101" i="8"/>
  <c r="M87" i="8"/>
  <c r="M106" i="8"/>
  <c r="M172" i="8"/>
  <c r="M7" i="8"/>
  <c r="M168" i="8"/>
  <c r="M96" i="8"/>
  <c r="M116" i="8"/>
  <c r="M78" i="8"/>
  <c r="M183" i="8"/>
  <c r="M82" i="8"/>
  <c r="M165" i="8"/>
  <c r="M185" i="8"/>
  <c r="M39" i="8"/>
  <c r="M24" i="8"/>
  <c r="M105" i="8"/>
  <c r="M192" i="8"/>
  <c r="M109" i="8"/>
  <c r="M63" i="8"/>
  <c r="M175" i="8"/>
  <c r="M94" i="8"/>
  <c r="M142" i="8"/>
  <c r="M136" i="8"/>
  <c r="M70" i="8"/>
  <c r="M68" i="8"/>
  <c r="A2" i="6" a="1"/>
  <c r="J19" i="4"/>
  <c r="J20" i="4"/>
  <c r="J21" i="4"/>
  <c r="J22" i="4"/>
  <c r="J23" i="4"/>
  <c r="J24" i="4"/>
  <c r="J25" i="4"/>
  <c r="J26" i="4"/>
  <c r="J27" i="4"/>
  <c r="J18" i="4"/>
  <c r="I19" i="4"/>
  <c r="I20" i="4"/>
  <c r="I21" i="4"/>
  <c r="I22" i="4"/>
  <c r="I23" i="4"/>
  <c r="I24" i="4"/>
  <c r="I25" i="4"/>
  <c r="I26" i="4"/>
  <c r="I27" i="4"/>
  <c r="I18" i="4"/>
  <c r="J14" i="4"/>
  <c r="J13" i="4"/>
  <c r="J12" i="4"/>
  <c r="J11" i="4"/>
  <c r="J10" i="4"/>
  <c r="J9" i="4"/>
  <c r="D311" i="4"/>
  <c r="D469" i="4"/>
  <c r="D584" i="4"/>
  <c r="D375" i="4"/>
  <c r="D726" i="4"/>
  <c r="D272" i="4"/>
  <c r="D508" i="4"/>
  <c r="D312" i="4"/>
  <c r="D545" i="4"/>
  <c r="D31" i="4"/>
  <c r="D694" i="4"/>
  <c r="D273" i="4"/>
  <c r="D274" i="4"/>
  <c r="D376" i="4"/>
  <c r="D439" i="4"/>
  <c r="D470" i="4"/>
  <c r="D546" i="4"/>
  <c r="D198" i="4"/>
  <c r="D110" i="4"/>
  <c r="D275" i="4"/>
  <c r="D32" i="4"/>
  <c r="D838" i="4"/>
  <c r="D413" i="4"/>
  <c r="D839" i="4"/>
  <c r="D951" i="4"/>
  <c r="D276" i="4"/>
  <c r="D509" i="4"/>
  <c r="D624" i="4"/>
  <c r="D967" i="4"/>
  <c r="D657" i="4"/>
  <c r="D414" i="4"/>
  <c r="D916" i="4"/>
  <c r="D151" i="4"/>
  <c r="D840" i="4"/>
  <c r="D340" i="4"/>
  <c r="D695" i="4"/>
  <c r="D33" i="4"/>
  <c r="D415" i="4"/>
  <c r="D235" i="4"/>
  <c r="D510" i="4"/>
  <c r="D658" i="4"/>
  <c r="D547" i="4"/>
  <c r="D511" i="4"/>
  <c r="D548" i="4"/>
  <c r="D893" i="4"/>
  <c r="D796" i="4"/>
  <c r="D377" i="4"/>
  <c r="D812" i="4"/>
  <c r="D841" i="4"/>
  <c r="D440" i="4"/>
  <c r="D277" i="4"/>
  <c r="D625" i="4"/>
  <c r="D2" i="4"/>
  <c r="D64" i="4"/>
  <c r="D659" i="4"/>
  <c r="D3" i="4"/>
  <c r="D471" i="4"/>
  <c r="D660" i="4"/>
  <c r="D865" i="4"/>
  <c r="D866" i="4"/>
  <c r="D278" i="4"/>
  <c r="D236" i="4"/>
  <c r="D237" i="4"/>
  <c r="D944" i="4"/>
  <c r="D974" i="4"/>
  <c r="D4" i="4"/>
  <c r="D199" i="4"/>
  <c r="D279" i="4"/>
  <c r="D986" i="4"/>
  <c r="D930" i="4"/>
  <c r="D727" i="4"/>
  <c r="D152" i="4"/>
  <c r="D512" i="4"/>
  <c r="D153" i="4"/>
  <c r="D513" i="4"/>
  <c r="D728" i="4"/>
  <c r="D111" i="4"/>
  <c r="D238" i="4"/>
  <c r="D65" i="4"/>
  <c r="D773" i="4"/>
  <c r="D112" i="4"/>
  <c r="D585" i="4"/>
  <c r="D378" i="4"/>
  <c r="D66" i="4"/>
  <c r="D661" i="4"/>
  <c r="D472" i="4"/>
  <c r="D154" i="4"/>
  <c r="D867" i="4"/>
  <c r="D280" i="4"/>
  <c r="D341" i="4"/>
  <c r="D113" i="4"/>
  <c r="D549" i="4"/>
  <c r="D550" i="4"/>
  <c r="D514" i="4"/>
  <c r="D473" i="4"/>
  <c r="D155" i="4"/>
  <c r="D774" i="4"/>
  <c r="D342" i="4"/>
  <c r="D239" i="4"/>
  <c r="D441" i="4"/>
  <c r="D626" i="4"/>
  <c r="D5" i="4"/>
  <c r="D156" i="4"/>
  <c r="D775" i="4"/>
  <c r="D474" i="4"/>
  <c r="D34" i="4"/>
  <c r="D6" i="4"/>
  <c r="D416" i="4"/>
  <c r="D992" i="4"/>
  <c r="D586" i="4"/>
  <c r="D475" i="4"/>
  <c r="D281" i="4"/>
  <c r="D662" i="4"/>
  <c r="D627" i="4"/>
  <c r="D587" i="4"/>
  <c r="D588" i="4"/>
  <c r="D663" i="4"/>
  <c r="D476" i="4"/>
  <c r="D751" i="4"/>
  <c r="D515" i="4"/>
  <c r="D343" i="4"/>
  <c r="D696" i="4"/>
  <c r="D842" i="4"/>
  <c r="D379" i="4"/>
  <c r="D380" i="4"/>
  <c r="D67" i="4"/>
  <c r="D381" i="4"/>
  <c r="D200" i="4"/>
  <c r="D68" i="4"/>
  <c r="D7" i="4"/>
  <c r="D884" i="4"/>
  <c r="D854" i="4"/>
  <c r="D885" i="4"/>
  <c r="D752" i="4"/>
  <c r="D240" i="4"/>
  <c r="D442" i="4"/>
  <c r="D900" i="4"/>
  <c r="D813" i="4"/>
  <c r="D69" i="4"/>
  <c r="D901" i="4"/>
  <c r="D945" i="4"/>
  <c r="D797" i="4"/>
  <c r="D70" i="4"/>
  <c r="D589" i="4"/>
  <c r="D114" i="4"/>
  <c r="D753" i="4"/>
  <c r="D776" i="4"/>
  <c r="D664" i="4"/>
  <c r="D894" i="4"/>
  <c r="D590" i="4"/>
  <c r="D443" i="4"/>
  <c r="D382" i="4"/>
  <c r="D71" i="4"/>
  <c r="D344" i="4"/>
  <c r="D282" i="4"/>
  <c r="D157" i="4"/>
  <c r="D35" i="4"/>
  <c r="D417" i="4"/>
  <c r="D158" i="4"/>
  <c r="D201" i="4"/>
  <c r="D516" i="4"/>
  <c r="D115" i="4"/>
  <c r="D241" i="4"/>
  <c r="D886" i="4"/>
  <c r="D202" i="4"/>
  <c r="D591" i="4"/>
  <c r="D203" i="4"/>
  <c r="D36" i="4"/>
  <c r="D72" i="4"/>
  <c r="D242" i="4"/>
  <c r="D383" i="4"/>
  <c r="D283" i="4"/>
  <c r="D418" i="4"/>
  <c r="D345" i="4"/>
  <c r="D477" i="4"/>
  <c r="D551" i="4"/>
  <c r="D592" i="4"/>
  <c r="D37" i="4"/>
  <c r="D628" i="4"/>
  <c r="D665" i="4"/>
  <c r="D593" i="4"/>
  <c r="D843" i="4"/>
  <c r="D754" i="4"/>
  <c r="D594" i="4"/>
  <c r="D284" i="4"/>
  <c r="D552" i="4"/>
  <c r="D666" i="4"/>
  <c r="D204" i="4"/>
  <c r="D116" i="4"/>
  <c r="D346" i="4"/>
  <c r="D313" i="4"/>
  <c r="D697" i="4"/>
  <c r="D952" i="4"/>
  <c r="D814" i="4"/>
  <c r="D902" i="4"/>
  <c r="D243" i="4"/>
  <c r="D553" i="4"/>
  <c r="D205" i="4"/>
  <c r="D38" i="4"/>
  <c r="D39" i="4"/>
  <c r="D117" i="4"/>
  <c r="D285" i="4"/>
  <c r="D698" i="4"/>
  <c r="D755" i="4"/>
  <c r="D314" i="4"/>
  <c r="D444" i="4"/>
  <c r="D8" i="4"/>
  <c r="D315" i="4"/>
  <c r="D478" i="4"/>
  <c r="D347" i="4"/>
  <c r="D699" i="4"/>
  <c r="D815" i="4"/>
  <c r="D887" i="4"/>
  <c r="D9" i="4"/>
  <c r="D159" i="4"/>
  <c r="D667" i="4"/>
  <c r="D206" i="4"/>
  <c r="D118" i="4"/>
  <c r="D629" i="4"/>
  <c r="D445" i="4"/>
  <c r="D700" i="4"/>
  <c r="D756" i="4"/>
  <c r="D419" i="4"/>
  <c r="D286" i="4"/>
  <c r="D668" i="4"/>
  <c r="D73" i="4"/>
  <c r="D757" i="4"/>
  <c r="D669" i="4"/>
  <c r="D348" i="4"/>
  <c r="D729" i="4"/>
  <c r="D917" i="4"/>
  <c r="D1000" i="4"/>
  <c r="D316" i="4"/>
  <c r="D844" i="4"/>
  <c r="D855" i="4"/>
  <c r="D40" i="4"/>
  <c r="D446" i="4"/>
  <c r="D798" i="4"/>
  <c r="D10" i="4"/>
  <c r="D701" i="4"/>
  <c r="D816" i="4"/>
  <c r="D777" i="4"/>
  <c r="D11" i="4"/>
  <c r="D447" i="4"/>
  <c r="D317" i="4"/>
  <c r="D903" i="4"/>
  <c r="D74" i="4"/>
  <c r="D420" i="4"/>
  <c r="D160" i="4"/>
  <c r="D421" i="4"/>
  <c r="D517" i="4"/>
  <c r="D41" i="4"/>
  <c r="D518" i="4"/>
  <c r="D918" i="4"/>
  <c r="D968" i="4"/>
  <c r="D12" i="4"/>
  <c r="D244" i="4"/>
  <c r="D730" i="4"/>
  <c r="D422" i="4"/>
  <c r="D13" i="4"/>
  <c r="D119" i="4"/>
  <c r="D384" i="4"/>
  <c r="D702" i="4"/>
  <c r="D245" i="4"/>
  <c r="D778" i="4"/>
  <c r="D779" i="4"/>
  <c r="D161" i="4"/>
  <c r="D554" i="4"/>
  <c r="D703" i="4"/>
  <c r="D817" i="4"/>
  <c r="D969" i="4"/>
  <c r="D982" i="4"/>
  <c r="D595" i="4"/>
  <c r="D979" i="4"/>
  <c r="D349" i="4"/>
  <c r="D731" i="4"/>
  <c r="D919" i="4"/>
  <c r="D799" i="4"/>
  <c r="D935" i="4"/>
  <c r="D207" i="4"/>
  <c r="D888" i="4"/>
  <c r="D555" i="4"/>
  <c r="D904" i="4"/>
  <c r="D670" i="4"/>
  <c r="D931" i="4"/>
  <c r="D868" i="4"/>
  <c r="D704" i="4"/>
  <c r="D780" i="4"/>
  <c r="D983" i="4"/>
  <c r="D671" i="4"/>
  <c r="D596" i="4"/>
  <c r="D732" i="4"/>
  <c r="D42" i="4"/>
  <c r="D556" i="4"/>
  <c r="D758" i="4"/>
  <c r="D120" i="4"/>
  <c r="D869" i="4"/>
  <c r="D870" i="4"/>
  <c r="D733" i="4"/>
  <c r="D856" i="4"/>
  <c r="D871" i="4"/>
  <c r="D121" i="4"/>
  <c r="D597" i="4"/>
  <c r="D734" i="4"/>
  <c r="D557" i="4"/>
  <c r="D162" i="4"/>
  <c r="D705" i="4"/>
  <c r="D448" i="4"/>
  <c r="D449" i="4"/>
  <c r="D287" i="4"/>
  <c r="D318" i="4"/>
  <c r="D519" i="4"/>
  <c r="D920" i="4"/>
  <c r="D246" i="4"/>
  <c r="D520" i="4"/>
  <c r="D672" i="4"/>
  <c r="D75" i="4"/>
  <c r="D76" i="4"/>
  <c r="D288" i="4"/>
  <c r="D450" i="4"/>
  <c r="D247" i="4"/>
  <c r="D122" i="4"/>
  <c r="D598" i="4"/>
  <c r="D319" i="4"/>
  <c r="D630" i="4"/>
  <c r="D818" i="4"/>
  <c r="D895" i="4"/>
  <c r="D163" i="4"/>
  <c r="D43" i="4"/>
  <c r="D77" i="4"/>
  <c r="D521" i="4"/>
  <c r="D350" i="4"/>
  <c r="D385" i="4"/>
  <c r="D423" i="4"/>
  <c r="D479" i="4"/>
  <c r="D78" i="4"/>
  <c r="D522" i="4"/>
  <c r="D164" i="4"/>
  <c r="D386" i="4"/>
  <c r="D523" i="4"/>
  <c r="D480" i="4"/>
  <c r="D735" i="4"/>
  <c r="D673" i="4"/>
  <c r="D208" i="4"/>
  <c r="D424" i="4"/>
  <c r="D674" i="4"/>
  <c r="D800" i="4"/>
  <c r="D123" i="4"/>
  <c r="D991" i="4"/>
  <c r="D124" i="4"/>
  <c r="D999" i="4"/>
  <c r="D936" i="4"/>
  <c r="D165" i="4"/>
  <c r="D631" i="4"/>
  <c r="D209" i="4"/>
  <c r="D558" i="4"/>
  <c r="D44" i="4"/>
  <c r="D289" i="4"/>
  <c r="D125" i="4"/>
  <c r="D781" i="4"/>
  <c r="D166" i="4"/>
  <c r="D921" i="4"/>
  <c r="D559" i="4"/>
  <c r="D45" i="4"/>
  <c r="D632" i="4"/>
  <c r="D290" i="4"/>
  <c r="D14" i="4"/>
  <c r="D970" i="4"/>
  <c r="D351" i="4"/>
  <c r="D633" i="4"/>
  <c r="D675" i="4"/>
  <c r="D126" i="4"/>
  <c r="D79" i="4"/>
  <c r="D946" i="4"/>
  <c r="D425" i="4"/>
  <c r="D291" i="4"/>
  <c r="D706" i="4"/>
  <c r="D127" i="4"/>
  <c r="D977" i="4"/>
  <c r="D292" i="4"/>
  <c r="D387" i="4"/>
  <c r="D524" i="4"/>
  <c r="D560" i="4"/>
  <c r="D599" i="4"/>
  <c r="D481" i="4"/>
  <c r="D352" i="4"/>
  <c r="D210" i="4"/>
  <c r="D388" i="4"/>
  <c r="D128" i="4"/>
  <c r="D129" i="4"/>
  <c r="D248" i="4"/>
  <c r="D482" i="4"/>
  <c r="D46" i="4"/>
  <c r="D676" i="4"/>
  <c r="D353" i="4"/>
  <c r="D857" i="4"/>
  <c r="D249" i="4"/>
  <c r="D600" i="4"/>
  <c r="D937" i="4"/>
  <c r="D130" i="4"/>
  <c r="D634" i="4"/>
  <c r="D211" i="4"/>
  <c r="D354" i="4"/>
  <c r="D320" i="4"/>
  <c r="D635" i="4"/>
  <c r="D984" i="4"/>
  <c r="D959" i="4"/>
  <c r="D355" i="4"/>
  <c r="D905" i="4"/>
  <c r="D953" i="4"/>
  <c r="D960" i="4"/>
  <c r="D971" i="4"/>
  <c r="D131" i="4"/>
  <c r="D858" i="4"/>
  <c r="D677" i="4"/>
  <c r="D212" i="4"/>
  <c r="D1001" i="4"/>
  <c r="D987" i="4"/>
  <c r="D451" i="4"/>
  <c r="D80" i="4"/>
  <c r="D601" i="4"/>
  <c r="D47" i="4"/>
  <c r="D48" i="4"/>
  <c r="D932" i="4"/>
  <c r="D293" i="4"/>
  <c r="D356" i="4"/>
  <c r="D250" i="4"/>
  <c r="D389" i="4"/>
  <c r="D357" i="4"/>
  <c r="D452" i="4"/>
  <c r="D390" i="4"/>
  <c r="D391" i="4"/>
  <c r="D525" i="4"/>
  <c r="D392" i="4"/>
  <c r="D526" i="4"/>
  <c r="D527" i="4"/>
  <c r="D602" i="4"/>
  <c r="D426" i="4"/>
  <c r="D906" i="4"/>
  <c r="D167" i="4"/>
  <c r="D251" i="4"/>
  <c r="D561" i="4"/>
  <c r="D819" i="4"/>
  <c r="D427" i="4"/>
  <c r="D15" i="4"/>
  <c r="D252" i="4"/>
  <c r="D938" i="4"/>
  <c r="D132" i="4"/>
  <c r="D907" i="4"/>
  <c r="D321" i="4"/>
  <c r="D636" i="4"/>
  <c r="D168" i="4"/>
  <c r="D81" i="4"/>
  <c r="D16" i="4"/>
  <c r="D736" i="4"/>
  <c r="D961" i="4"/>
  <c r="D678" i="4"/>
  <c r="D528" i="4"/>
  <c r="D529" i="4"/>
  <c r="D845" i="4"/>
  <c r="D759" i="4"/>
  <c r="D169" i="4"/>
  <c r="D637" i="4"/>
  <c r="D922" i="4"/>
  <c r="D872" i="4"/>
  <c r="D428" i="4"/>
  <c r="D133" i="4"/>
  <c r="D17" i="4"/>
  <c r="D638" i="4"/>
  <c r="D873" i="4"/>
  <c r="D82" i="4"/>
  <c r="D83" i="4"/>
  <c r="D393" i="4"/>
  <c r="D170" i="4"/>
  <c r="D998" i="4"/>
  <c r="D801" i="4"/>
  <c r="D562" i="4"/>
  <c r="D707" i="4"/>
  <c r="D530" i="4"/>
  <c r="D134" i="4"/>
  <c r="D213" i="4"/>
  <c r="D483" i="4"/>
  <c r="D18" i="4"/>
  <c r="D563" i="4"/>
  <c r="D49" i="4"/>
  <c r="D603" i="4"/>
  <c r="D322" i="4"/>
  <c r="D604" i="4"/>
  <c r="D484" i="4"/>
  <c r="D84" i="4"/>
  <c r="D50" i="4"/>
  <c r="D323" i="4"/>
  <c r="D679" i="4"/>
  <c r="D19" i="4"/>
  <c r="D531" i="4"/>
  <c r="D394" i="4"/>
  <c r="D997" i="4"/>
  <c r="D253" i="4"/>
  <c r="D395" i="4"/>
  <c r="D85" i="4"/>
  <c r="D429" i="4"/>
  <c r="D453" i="4"/>
  <c r="D564" i="4"/>
  <c r="D923" i="4"/>
  <c r="D20" i="4"/>
  <c r="D962" i="4"/>
  <c r="D820" i="4"/>
  <c r="D708" i="4"/>
  <c r="D171" i="4"/>
  <c r="D532" i="4"/>
  <c r="D821" i="4"/>
  <c r="D859" i="4"/>
  <c r="D605" i="4"/>
  <c r="D947" i="4"/>
  <c r="D924" i="4"/>
  <c r="D254" i="4"/>
  <c r="D454" i="4"/>
  <c r="D51" i="4"/>
  <c r="D680" i="4"/>
  <c r="D172" i="4"/>
  <c r="D86" i="4"/>
  <c r="D908" i="4"/>
  <c r="D925" i="4"/>
  <c r="D760" i="4"/>
  <c r="D822" i="4"/>
  <c r="D396" i="4"/>
  <c r="D948" i="4"/>
  <c r="D294" i="4"/>
  <c r="D455" i="4"/>
  <c r="D173" i="4"/>
  <c r="D896" i="4"/>
  <c r="D87" i="4"/>
  <c r="D135" i="4"/>
  <c r="D681" i="4"/>
  <c r="D565" i="4"/>
  <c r="D52" i="4"/>
  <c r="D860" i="4"/>
  <c r="D358" i="4"/>
  <c r="D53" i="4"/>
  <c r="D54" i="4"/>
  <c r="D397" i="4"/>
  <c r="D214" i="4"/>
  <c r="D324" i="4"/>
  <c r="D174" i="4"/>
  <c r="D639" i="4"/>
  <c r="D889" i="4"/>
  <c r="D761" i="4"/>
  <c r="D606" i="4"/>
  <c r="D215" i="4"/>
  <c r="D55" i="4"/>
  <c r="D175" i="4"/>
  <c r="D430" i="4"/>
  <c r="D485" i="4"/>
  <c r="D88" i="4"/>
  <c r="D909" i="4"/>
  <c r="D295" i="4"/>
  <c r="D566" i="4"/>
  <c r="D533" i="4"/>
  <c r="D176" i="4"/>
  <c r="D216" i="4"/>
  <c r="D359" i="4"/>
  <c r="D567" i="4"/>
  <c r="D89" i="4"/>
  <c r="D296" i="4"/>
  <c r="D972" i="4"/>
  <c r="D985" i="4"/>
  <c r="D802" i="4"/>
  <c r="D926" i="4"/>
  <c r="D398" i="4"/>
  <c r="D874" i="4"/>
  <c r="D486" i="4"/>
  <c r="D297" i="4"/>
  <c r="D910" i="4"/>
  <c r="D399" i="4"/>
  <c r="D973" i="4"/>
  <c r="D217" i="4"/>
  <c r="D218" i="4"/>
  <c r="D90" i="4"/>
  <c r="D846" i="4"/>
  <c r="D298" i="4"/>
  <c r="D21" i="4"/>
  <c r="D22" i="4"/>
  <c r="D325" i="4"/>
  <c r="D640" i="4"/>
  <c r="D487" i="4"/>
  <c r="D136" i="4"/>
  <c r="D911" i="4"/>
  <c r="D23" i="4"/>
  <c r="D682" i="4"/>
  <c r="D400" i="4"/>
  <c r="D861" i="4"/>
  <c r="D360" i="4"/>
  <c r="D641" i="4"/>
  <c r="D488" i="4"/>
  <c r="D568" i="4"/>
  <c r="D326" i="4"/>
  <c r="D489" i="4"/>
  <c r="D975" i="4"/>
  <c r="D255" i="4"/>
  <c r="D219" i="4"/>
  <c r="D327" i="4"/>
  <c r="D762" i="4"/>
  <c r="D361" i="4"/>
  <c r="D362" i="4"/>
  <c r="D490" i="4"/>
  <c r="D177" i="4"/>
  <c r="D491" i="4"/>
  <c r="D875" i="4"/>
  <c r="D933" i="4"/>
  <c r="D137" i="4"/>
  <c r="D456" i="4"/>
  <c r="D782" i="4"/>
  <c r="D876" i="4"/>
  <c r="D862" i="4"/>
  <c r="D256" i="4"/>
  <c r="D683" i="4"/>
  <c r="D328" i="4"/>
  <c r="D963" i="4"/>
  <c r="D642" i="4"/>
  <c r="D912" i="4"/>
  <c r="D823" i="4"/>
  <c r="D939" i="4"/>
  <c r="D607" i="4"/>
  <c r="D643" i="4"/>
  <c r="D138" i="4"/>
  <c r="D91" i="4"/>
  <c r="D995" i="4"/>
  <c r="D709" i="4"/>
  <c r="D492" i="4"/>
  <c r="D710" i="4"/>
  <c r="D783" i="4"/>
  <c r="D711" i="4"/>
  <c r="D890" i="4"/>
  <c r="D608" i="4"/>
  <c r="D431" i="4"/>
  <c r="D92" i="4"/>
  <c r="D178" i="4"/>
  <c r="D401" i="4"/>
  <c r="D684" i="4"/>
  <c r="D569" i="4"/>
  <c r="D609" i="4"/>
  <c r="D824" i="4"/>
  <c r="D897" i="4"/>
  <c r="D784" i="4"/>
  <c r="D988" i="4"/>
  <c r="D570" i="4"/>
  <c r="D93" i="4"/>
  <c r="D954" i="4"/>
  <c r="D785" i="4"/>
  <c r="D402" i="4"/>
  <c r="D220" i="4"/>
  <c r="D534" i="4"/>
  <c r="D571" i="4"/>
  <c r="D989" i="4"/>
  <c r="D949" i="4"/>
  <c r="D457" i="4"/>
  <c r="D257" i="4"/>
  <c r="D877" i="4"/>
  <c r="D299" i="4"/>
  <c r="D94" i="4"/>
  <c r="D955" i="4"/>
  <c r="D737" i="4"/>
  <c r="D329" i="4"/>
  <c r="D403" i="4"/>
  <c r="D572" i="4"/>
  <c r="D803" i="4"/>
  <c r="D221" i="4"/>
  <c r="D763" i="4"/>
  <c r="D980" i="4"/>
  <c r="D804" i="4"/>
  <c r="D493" i="4"/>
  <c r="D573" i="4"/>
  <c r="D432" i="4"/>
  <c r="D825" i="4"/>
  <c r="D738" i="4"/>
  <c r="D685" i="4"/>
  <c r="D56" i="4"/>
  <c r="D57" i="4"/>
  <c r="D535" i="4"/>
  <c r="D786" i="4"/>
  <c r="D764" i="4"/>
  <c r="D847" i="4"/>
  <c r="D848" i="4"/>
  <c r="D964" i="4"/>
  <c r="D978" i="4"/>
  <c r="D956" i="4"/>
  <c r="D458" i="4"/>
  <c r="D878" i="4"/>
  <c r="D898" i="4"/>
  <c r="D940" i="4"/>
  <c r="D805" i="4"/>
  <c r="D179" i="4"/>
  <c r="D459" i="4"/>
  <c r="D404" i="4"/>
  <c r="D300" i="4"/>
  <c r="D610" i="4"/>
  <c r="D139" i="4"/>
  <c r="D301" i="4"/>
  <c r="D739" i="4"/>
  <c r="D95" i="4"/>
  <c r="D879" i="4"/>
  <c r="D363" i="4"/>
  <c r="D96" i="4"/>
  <c r="D364" i="4"/>
  <c r="D330" i="4"/>
  <c r="D258" i="4"/>
  <c r="D302" i="4"/>
  <c r="D460" i="4"/>
  <c r="D787" i="4"/>
  <c r="D740" i="4"/>
  <c r="D611" i="4"/>
  <c r="D180" i="4"/>
  <c r="D365" i="4"/>
  <c r="D574" i="4"/>
  <c r="D899" i="4"/>
  <c r="D259" i="4"/>
  <c r="D181" i="4"/>
  <c r="D140" i="4"/>
  <c r="D849" i="4"/>
  <c r="D612" i="4"/>
  <c r="D405" i="4"/>
  <c r="D366" i="4"/>
  <c r="D331" i="4"/>
  <c r="D613" i="4"/>
  <c r="D741" i="4"/>
  <c r="D994" i="4"/>
  <c r="D222" i="4"/>
  <c r="D406" i="4"/>
  <c r="D303" i="4"/>
  <c r="D223" i="4"/>
  <c r="D260" i="4"/>
  <c r="D433" i="4"/>
  <c r="D686" i="4"/>
  <c r="D58" i="4"/>
  <c r="D59" i="4"/>
  <c r="D60" i="4"/>
  <c r="D644" i="4"/>
  <c r="D742" i="4"/>
  <c r="D261" i="4"/>
  <c r="D224" i="4"/>
  <c r="D494" i="4"/>
  <c r="D712" i="4"/>
  <c r="D97" i="4"/>
  <c r="D536" i="4"/>
  <c r="D407" i="4"/>
  <c r="D826" i="4"/>
  <c r="D765" i="4"/>
  <c r="D850" i="4"/>
  <c r="D806" i="4"/>
  <c r="D575" i="4"/>
  <c r="D576" i="4"/>
  <c r="D645" i="4"/>
  <c r="D827" i="4"/>
  <c r="D828" i="4"/>
  <c r="D807" i="4"/>
  <c r="D182" i="4"/>
  <c r="D829" i="4"/>
  <c r="D262" i="4"/>
  <c r="D880" i="4"/>
  <c r="D913" i="4"/>
  <c r="D225" i="4"/>
  <c r="D713" i="4"/>
  <c r="D332" i="4"/>
  <c r="D714" i="4"/>
  <c r="D98" i="4"/>
  <c r="D687" i="4"/>
  <c r="D141" i="4"/>
  <c r="D614" i="4"/>
  <c r="D367" i="4"/>
  <c r="D577" i="4"/>
  <c r="D304" i="4"/>
  <c r="D263" i="4"/>
  <c r="D99" i="4"/>
  <c r="D408" i="4"/>
  <c r="D715" i="4"/>
  <c r="D24" i="4"/>
  <c r="D646" i="4"/>
  <c r="D61" i="4"/>
  <c r="D688" i="4"/>
  <c r="D305" i="4"/>
  <c r="D142" i="4"/>
  <c r="D306" i="4"/>
  <c r="D615" i="4"/>
  <c r="D25" i="4"/>
  <c r="D689" i="4"/>
  <c r="D766" i="4"/>
  <c r="D333" i="4"/>
  <c r="D743" i="4"/>
  <c r="D716" i="4"/>
  <c r="D578" i="4"/>
  <c r="D495" i="4"/>
  <c r="D647" i="4"/>
  <c r="D226" i="4"/>
  <c r="D957" i="4"/>
  <c r="D183" i="4"/>
  <c r="D717" i="4"/>
  <c r="D307" i="4"/>
  <c r="D264" i="4"/>
  <c r="D227" i="4"/>
  <c r="D830" i="4"/>
  <c r="D788" i="4"/>
  <c r="D808" i="4"/>
  <c r="D941" i="4"/>
  <c r="D308" i="4"/>
  <c r="D461" i="4"/>
  <c r="D143" i="4"/>
  <c r="D809" i="4"/>
  <c r="D184" i="4"/>
  <c r="D934" i="4"/>
  <c r="D942" i="4"/>
  <c r="D744" i="4"/>
  <c r="D496" i="4"/>
  <c r="D616" i="4"/>
  <c r="D617" i="4"/>
  <c r="D767" i="4"/>
  <c r="D648" i="4"/>
  <c r="D368" i="4"/>
  <c r="D100" i="4"/>
  <c r="D789" i="4"/>
  <c r="D144" i="4"/>
  <c r="D101" i="4"/>
  <c r="D26" i="4"/>
  <c r="D943" i="4"/>
  <c r="D462" i="4"/>
  <c r="D265" i="4"/>
  <c r="D768" i="4"/>
  <c r="D228" i="4"/>
  <c r="D334" i="4"/>
  <c r="D434" i="4"/>
  <c r="D745" i="4"/>
  <c r="D537" i="4"/>
  <c r="D810" i="4"/>
  <c r="D229" i="4"/>
  <c r="D497" i="4"/>
  <c r="D996" i="4"/>
  <c r="D102" i="4"/>
  <c r="D649" i="4"/>
  <c r="D950" i="4"/>
  <c r="D185" i="4"/>
  <c r="D981" i="4"/>
  <c r="D990" i="4"/>
  <c r="D618" i="4"/>
  <c r="D965" i="4"/>
  <c r="D579" i="4"/>
  <c r="D335" i="4"/>
  <c r="D498" i="4"/>
  <c r="D650" i="4"/>
  <c r="D746" i="4"/>
  <c r="D186" i="4"/>
  <c r="D103" i="4"/>
  <c r="D651" i="4"/>
  <c r="D187" i="4"/>
  <c r="D927" i="4"/>
  <c r="D435" i="4"/>
  <c r="D27" i="4"/>
  <c r="D831" i="4"/>
  <c r="D718" i="4"/>
  <c r="D499" i="4"/>
  <c r="D928" i="4"/>
  <c r="D790" i="4"/>
  <c r="D863" i="4"/>
  <c r="D652" i="4"/>
  <c r="D719" i="4"/>
  <c r="D832" i="4"/>
  <c r="D914" i="4"/>
  <c r="D336" i="4"/>
  <c r="D104" i="4"/>
  <c r="D811" i="4"/>
  <c r="D690" i="4"/>
  <c r="D230" i="4"/>
  <c r="D580" i="4"/>
  <c r="D538" i="4"/>
  <c r="D891" i="4"/>
  <c r="D769" i="4"/>
  <c r="D966" i="4"/>
  <c r="D500" i="4"/>
  <c r="D691" i="4"/>
  <c r="D833" i="4"/>
  <c r="D145" i="4"/>
  <c r="D28" i="4"/>
  <c r="D231" i="4"/>
  <c r="D720" i="4"/>
  <c r="D619" i="4"/>
  <c r="D337" i="4"/>
  <c r="D851" i="4"/>
  <c r="D409" i="4"/>
  <c r="D929" i="4"/>
  <c r="D105" i="4"/>
  <c r="D232" i="4"/>
  <c r="D834" i="4"/>
  <c r="D770" i="4"/>
  <c r="D852" i="4"/>
  <c r="D881" i="4"/>
  <c r="D692" i="4"/>
  <c r="D892" i="4"/>
  <c r="D791" i="4"/>
  <c r="D835" i="4"/>
  <c r="D29" i="4"/>
  <c r="D30" i="4"/>
  <c r="D106" i="4"/>
  <c r="D853" i="4"/>
  <c r="D188" i="4"/>
  <c r="D266" i="4"/>
  <c r="D233" i="4"/>
  <c r="D146" i="4"/>
  <c r="D792" i="4"/>
  <c r="D369" i="4"/>
  <c r="D993" i="4"/>
  <c r="D463" i="4"/>
  <c r="D771" i="4"/>
  <c r="D620" i="4"/>
  <c r="D62" i="4"/>
  <c r="D189" i="4"/>
  <c r="D501" i="4"/>
  <c r="D370" i="4"/>
  <c r="D721" i="4"/>
  <c r="D653" i="4"/>
  <c r="D502" i="4"/>
  <c r="D503" i="4"/>
  <c r="D147" i="4"/>
  <c r="D371" i="4"/>
  <c r="D539" i="4"/>
  <c r="D747" i="4"/>
  <c r="D882" i="4"/>
  <c r="D883" i="4"/>
  <c r="D722" i="4"/>
  <c r="D621" i="4"/>
  <c r="D309" i="4"/>
  <c r="D622" i="4"/>
  <c r="D310" i="4"/>
  <c r="D338" i="4"/>
  <c r="D148" i="4"/>
  <c r="D793" i="4"/>
  <c r="D693" i="4"/>
  <c r="D581" i="4"/>
  <c r="D190" i="4"/>
  <c r="D723" i="4"/>
  <c r="D794" i="4"/>
  <c r="D410" i="4"/>
  <c r="D582" i="4"/>
  <c r="D372" i="4"/>
  <c r="D504" i="4"/>
  <c r="D654" i="4"/>
  <c r="D540" i="4"/>
  <c r="D541" i="4"/>
  <c r="D724" i="4"/>
  <c r="D976" i="4"/>
  <c r="D583" i="4"/>
  <c r="D655" i="4"/>
  <c r="D464" i="4"/>
  <c r="D191" i="4"/>
  <c r="D373" i="4"/>
  <c r="D748" i="4"/>
  <c r="D772" i="4"/>
  <c r="D465" i="4"/>
  <c r="D149" i="4"/>
  <c r="D192" i="4"/>
  <c r="D107" i="4"/>
  <c r="D436" i="4"/>
  <c r="D193" i="4"/>
  <c r="D63" i="4"/>
  <c r="D411" i="4"/>
  <c r="D267" i="4"/>
  <c r="D466" i="4"/>
  <c r="D505" i="4"/>
  <c r="D795" i="4"/>
  <c r="D268" i="4"/>
  <c r="D269" i="4"/>
  <c r="D725" i="4"/>
  <c r="D542" i="4"/>
  <c r="D958" i="4"/>
  <c r="D543" i="4"/>
  <c r="D412" i="4"/>
  <c r="D437" i="4"/>
  <c r="D438" i="4"/>
  <c r="D749" i="4"/>
  <c r="D194" i="4"/>
  <c r="D750" i="4"/>
  <c r="D506" i="4"/>
  <c r="D234" i="4"/>
  <c r="D374" i="4"/>
  <c r="D108" i="4"/>
  <c r="D195" i="4"/>
  <c r="D196" i="4"/>
  <c r="D544" i="4"/>
  <c r="D864" i="4"/>
  <c r="D915" i="4"/>
  <c r="D270" i="4"/>
  <c r="D467" i="4"/>
  <c r="D836" i="4"/>
  <c r="D109" i="4"/>
  <c r="D150" i="4"/>
  <c r="D271" i="4"/>
  <c r="D837" i="4"/>
  <c r="D623" i="4"/>
  <c r="D468" i="4"/>
  <c r="D507" i="4"/>
  <c r="D197" i="4"/>
  <c r="D339" i="4"/>
  <c r="D656" i="4"/>
  <c r="J7" i="4"/>
  <c r="J6" i="4"/>
  <c r="J5" i="4"/>
  <c r="J4" i="4"/>
  <c r="J8" i="2"/>
  <c r="J7" i="2"/>
  <c r="J6" i="2"/>
  <c r="J5" i="2"/>
  <c r="J4" i="2"/>
  <c r="J3" i="2"/>
  <c r="C32" i="10" l="1"/>
  <c r="F32" i="10" s="1"/>
  <c r="H28" i="8"/>
  <c r="H26" i="8"/>
  <c r="H27" i="8"/>
  <c r="H25" i="8"/>
  <c r="H24" i="8"/>
  <c r="M84" i="8"/>
  <c r="M3" i="8"/>
  <c r="B3" i="6"/>
  <c r="B7" i="6"/>
  <c r="B11" i="6"/>
  <c r="B15" i="6"/>
  <c r="B19" i="6"/>
  <c r="B23" i="6"/>
  <c r="B27" i="6"/>
  <c r="B31" i="6"/>
  <c r="B35" i="6"/>
  <c r="B39" i="6"/>
  <c r="B43" i="6"/>
  <c r="B47" i="6"/>
  <c r="B51" i="6"/>
  <c r="B55" i="6"/>
  <c r="B12" i="6"/>
  <c r="B40" i="6"/>
  <c r="B5" i="6"/>
  <c r="B9" i="6"/>
  <c r="B13" i="6"/>
  <c r="B17" i="6"/>
  <c r="B21" i="6"/>
  <c r="B25" i="6"/>
  <c r="B29" i="6"/>
  <c r="B33" i="6"/>
  <c r="B37" i="6"/>
  <c r="B41" i="6"/>
  <c r="B45" i="6"/>
  <c r="B49" i="6"/>
  <c r="B53" i="6"/>
  <c r="B4" i="6"/>
  <c r="B16" i="6"/>
  <c r="B24" i="6"/>
  <c r="B32" i="6"/>
  <c r="B48" i="6"/>
  <c r="B6" i="6"/>
  <c r="B10" i="6"/>
  <c r="B14" i="6"/>
  <c r="B18" i="6"/>
  <c r="B22" i="6"/>
  <c r="B26" i="6"/>
  <c r="B30" i="6"/>
  <c r="B34" i="6"/>
  <c r="B38" i="6"/>
  <c r="B42" i="6"/>
  <c r="B46" i="6"/>
  <c r="B50" i="6"/>
  <c r="B54" i="6"/>
  <c r="B8" i="6"/>
  <c r="B20" i="6"/>
  <c r="B28" i="6"/>
  <c r="B36" i="6"/>
  <c r="B44" i="6"/>
  <c r="B52" i="6"/>
  <c r="A2" i="6"/>
  <c r="D4" i="6"/>
  <c r="D8" i="6"/>
  <c r="D12" i="6"/>
  <c r="D16" i="6"/>
  <c r="D20" i="6"/>
  <c r="D24" i="6"/>
  <c r="D28" i="6"/>
  <c r="D32" i="6"/>
  <c r="D36" i="6"/>
  <c r="D40" i="6"/>
  <c r="D44" i="6"/>
  <c r="D48" i="6"/>
  <c r="D52" i="6"/>
  <c r="C4" i="6"/>
  <c r="C8" i="6"/>
  <c r="C12" i="6"/>
  <c r="C16" i="6"/>
  <c r="C20" i="6"/>
  <c r="C24" i="6"/>
  <c r="C28" i="6"/>
  <c r="C32" i="6"/>
  <c r="C36" i="6"/>
  <c r="C40" i="6"/>
  <c r="C44" i="6"/>
  <c r="C48" i="6"/>
  <c r="C52" i="6"/>
  <c r="C13" i="6"/>
  <c r="C17" i="6"/>
  <c r="C21" i="6"/>
  <c r="C25" i="6"/>
  <c r="C29" i="6"/>
  <c r="C33" i="6"/>
  <c r="C37" i="6"/>
  <c r="C41" i="6"/>
  <c r="C45" i="6"/>
  <c r="C49" i="6"/>
  <c r="C53" i="6"/>
  <c r="D6" i="6"/>
  <c r="D10" i="6"/>
  <c r="D14" i="6"/>
  <c r="D18" i="6"/>
  <c r="D22" i="6"/>
  <c r="D26" i="6"/>
  <c r="D30" i="6"/>
  <c r="D34" i="6"/>
  <c r="D38" i="6"/>
  <c r="D42" i="6"/>
  <c r="D46" i="6"/>
  <c r="D50" i="6"/>
  <c r="D54" i="6"/>
  <c r="C6" i="6"/>
  <c r="C10" i="6"/>
  <c r="C14" i="6"/>
  <c r="C18" i="6"/>
  <c r="C22" i="6"/>
  <c r="C26" i="6"/>
  <c r="C30" i="6"/>
  <c r="C34" i="6"/>
  <c r="C38" i="6"/>
  <c r="C42" i="6"/>
  <c r="C46" i="6"/>
  <c r="C50" i="6"/>
  <c r="C54" i="6"/>
  <c r="D7" i="6"/>
  <c r="D11" i="6"/>
  <c r="D15" i="6"/>
  <c r="D19" i="6"/>
  <c r="D23" i="6"/>
  <c r="D27" i="6"/>
  <c r="D31" i="6"/>
  <c r="D35" i="6"/>
  <c r="D39" i="6"/>
  <c r="D43" i="6"/>
  <c r="D47" i="6"/>
  <c r="D51" i="6"/>
  <c r="D55" i="6"/>
  <c r="C3" i="6"/>
  <c r="C7" i="6"/>
  <c r="C11" i="6"/>
  <c r="C15" i="6"/>
  <c r="C19" i="6"/>
  <c r="C23" i="6"/>
  <c r="C27" i="6"/>
  <c r="D5" i="6"/>
  <c r="D9" i="6"/>
  <c r="D13" i="6"/>
  <c r="D17" i="6"/>
  <c r="D21" i="6"/>
  <c r="D25" i="6"/>
  <c r="D29" i="6"/>
  <c r="D33" i="6"/>
  <c r="D37" i="6"/>
  <c r="D41" i="6"/>
  <c r="D45" i="6"/>
  <c r="D49" i="6"/>
  <c r="D53" i="6"/>
  <c r="D3" i="6"/>
  <c r="C5" i="6"/>
  <c r="C9" i="6"/>
  <c r="C35" i="6"/>
  <c r="C51" i="6"/>
  <c r="C39" i="6"/>
  <c r="C55" i="6"/>
  <c r="C43" i="6"/>
  <c r="C31" i="6"/>
  <c r="C47" i="6"/>
  <c r="C33" i="10" l="1"/>
  <c r="F33" i="10" s="1"/>
  <c r="B2" i="6"/>
  <c r="C2" i="6"/>
  <c r="G25" i="8"/>
  <c r="F25" i="8"/>
  <c r="F27" i="8"/>
  <c r="G27" i="8"/>
  <c r="G26" i="8"/>
  <c r="F26" i="8"/>
  <c r="G24" i="8"/>
  <c r="F24" i="8"/>
  <c r="G28" i="8"/>
  <c r="F28" i="8"/>
  <c r="G20" i="8"/>
  <c r="G16" i="8"/>
  <c r="F19" i="8"/>
  <c r="F15" i="8"/>
  <c r="G19" i="8"/>
  <c r="G15" i="8"/>
  <c r="F18" i="8"/>
  <c r="F14" i="8"/>
  <c r="G18" i="8"/>
  <c r="G14" i="8"/>
  <c r="F17" i="8"/>
  <c r="G17" i="8"/>
  <c r="F20" i="8"/>
  <c r="F16" i="8"/>
  <c r="D2" i="6"/>
  <c r="C34" i="10" l="1"/>
  <c r="F3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tc={EF885D6B-F90E-4C34-AD4B-86B6B6DE005E}</author>
  </authors>
  <commentList>
    <comment ref="E1" authorId="0" shapeId="0" xr:uid="{EF885D6B-F90E-4C34-AD4B-86B6B6DE005E}">
      <text>
        <t>[Threaded comment]
Your version of Excel allows you to read this threaded comment; however, any edits to it will get removed if the file is opened in a newer version of Excel. Learn more: https://go.microsoft.com/fwlink/?linkid=870924
Comment:
    Rating Trend  Shows the trend of ratings for individual movies over the years.( by selecting release year, sum of number of votes, avg of average rating)</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<sst xmlns="http://schemas.openxmlformats.org/spreadsheetml/2006/main" count="13301" uniqueCount="2385">
  <si>
    <t>id</t>
  </si>
  <si>
    <t>title</t>
  </si>
  <si>
    <t>genres</t>
  </si>
  <si>
    <t>averageRating</t>
  </si>
  <si>
    <t>numVotes</t>
  </si>
  <si>
    <t>releaseYear</t>
  </si>
  <si>
    <t>tt5988370</t>
  </si>
  <si>
    <t>Reis</t>
  </si>
  <si>
    <t>Biography, Drama</t>
  </si>
  <si>
    <t>tt7221896</t>
  </si>
  <si>
    <t>Cumali Ceber: Allah Seni Alsin</t>
  </si>
  <si>
    <t>Comedy</t>
  </si>
  <si>
    <t>tt13423846</t>
  </si>
  <si>
    <t>321 Action</t>
  </si>
  <si>
    <t>Drama</t>
  </si>
  <si>
    <t>tt20255706</t>
  </si>
  <si>
    <t>The Pogmentary</t>
  </si>
  <si>
    <t>Biography, Documentary, Sport</t>
  </si>
  <si>
    <t>tt21403988</t>
  </si>
  <si>
    <t>The Last Pharaoh</t>
  </si>
  <si>
    <t>Documentary, Drama, History</t>
  </si>
  <si>
    <t>tt21194980</t>
  </si>
  <si>
    <t>Golden Bull</t>
  </si>
  <si>
    <t>Action, Documentary, Drama</t>
  </si>
  <si>
    <t>tt7886848</t>
  </si>
  <si>
    <t>Sadak 2</t>
  </si>
  <si>
    <t>Action, Drama</t>
  </si>
  <si>
    <t>tt27528139</t>
  </si>
  <si>
    <t>Queen Cleopatra</t>
  </si>
  <si>
    <t>tt6038600</t>
  </si>
  <si>
    <t>Smolensk</t>
  </si>
  <si>
    <t>Drama, Thriller</t>
  </si>
  <si>
    <t>tt14878948</t>
  </si>
  <si>
    <t>15/07: Break of Dawn</t>
  </si>
  <si>
    <t>Action, Drama, War</t>
  </si>
  <si>
    <t>tt0421051</t>
  </si>
  <si>
    <t>Daniel the Wizard</t>
  </si>
  <si>
    <t>Comedy, Crime, Fantasy</t>
  </si>
  <si>
    <t>tt27530764</t>
  </si>
  <si>
    <t>Rivals</t>
  </si>
  <si>
    <t>tt8402090</t>
  </si>
  <si>
    <t>Cumali Ceber 2</t>
  </si>
  <si>
    <t>tt4009460</t>
  </si>
  <si>
    <t>Kirk Cameron's Saving Christmas</t>
  </si>
  <si>
    <t>Comedy, Family</t>
  </si>
  <si>
    <t>tt0249516</t>
  </si>
  <si>
    <t>Foodfight!</t>
  </si>
  <si>
    <t>Action, Adventure, Animation</t>
  </si>
  <si>
    <t>tt1309000</t>
  </si>
  <si>
    <t>Dream.net</t>
  </si>
  <si>
    <t>Comedy, Romance, Sport</t>
  </si>
  <si>
    <t>tt4884540</t>
  </si>
  <si>
    <t>Angels Apocalypse</t>
  </si>
  <si>
    <t>Action, Fantasy, Sci-Fi</t>
  </si>
  <si>
    <t>tt14723224</t>
  </si>
  <si>
    <t>The Cost of Deception</t>
  </si>
  <si>
    <t>Action, Crime, Drama</t>
  </si>
  <si>
    <t>tt0270846</t>
  </si>
  <si>
    <t>Superbabies: Baby Geniuses 2</t>
  </si>
  <si>
    <t>Comedy, Family, Sci-Fi</t>
  </si>
  <si>
    <t>tt0808240</t>
  </si>
  <si>
    <t>Turks in Space</t>
  </si>
  <si>
    <t>Action, Comedy, Sci-Fi</t>
  </si>
  <si>
    <t>tt14153790</t>
  </si>
  <si>
    <t>Velma</t>
  </si>
  <si>
    <t>Adventure, Animation, Comedy</t>
  </si>
  <si>
    <t>tt3165608</t>
  </si>
  <si>
    <t>Justin Bieber's Believe</t>
  </si>
  <si>
    <t>Documentary, Music</t>
  </si>
  <si>
    <t>tt1229827</t>
  </si>
  <si>
    <t>Jonas Brothers: The 3D Concert Experience</t>
  </si>
  <si>
    <t>Biography, Documentary, Music</t>
  </si>
  <si>
    <t>tt1702443</t>
  </si>
  <si>
    <t>Justin Bieber: Never Say Never</t>
  </si>
  <si>
    <t>tt0060666</t>
  </si>
  <si>
    <t>Manos: The Hands of Fate</t>
  </si>
  <si>
    <t>Horror</t>
  </si>
  <si>
    <t>tt4458206</t>
  </si>
  <si>
    <t>Code Name: K.O.Z.</t>
  </si>
  <si>
    <t>Crime, Mystery</t>
  </si>
  <si>
    <t>tt1316037</t>
  </si>
  <si>
    <t>Birdemic: Shock and Terror</t>
  </si>
  <si>
    <t>Horror, Thriller</t>
  </si>
  <si>
    <t>tt0417056</t>
  </si>
  <si>
    <t>Pledge This!</t>
  </si>
  <si>
    <t>tt12286260</t>
  </si>
  <si>
    <t>Santa Inc.</t>
  </si>
  <si>
    <t>Animation, Comedy, Fantasy</t>
  </si>
  <si>
    <t>tt1520498</t>
  </si>
  <si>
    <t>The Oogieloves in the Big Balloon Adventure</t>
  </si>
  <si>
    <t>Adventure, Family, Fantasy</t>
  </si>
  <si>
    <t>tt1640571</t>
  </si>
  <si>
    <t>Titanic II</t>
  </si>
  <si>
    <t>Action, Adventure, Drama</t>
  </si>
  <si>
    <t>tt0096870</t>
  </si>
  <si>
    <t>Going Overboard</t>
  </si>
  <si>
    <t>tt0059464</t>
  </si>
  <si>
    <t>Monster a Go-Go</t>
  </si>
  <si>
    <t>Horror, Sci-Fi</t>
  </si>
  <si>
    <t>tt10888594</t>
  </si>
  <si>
    <t>Radhe</t>
  </si>
  <si>
    <t>Action, Crime, Thriller</t>
  </si>
  <si>
    <t>tt1213644</t>
  </si>
  <si>
    <t>Disaster Movie</t>
  </si>
  <si>
    <t>Comedy, Sci-Fi</t>
  </si>
  <si>
    <t>tt7431594</t>
  </si>
  <si>
    <t>Race 3</t>
  </si>
  <si>
    <t>tt0339034</t>
  </si>
  <si>
    <t>From Justin to Kelly</t>
  </si>
  <si>
    <t>Comedy, Music, Musical</t>
  </si>
  <si>
    <t>tt0054673</t>
  </si>
  <si>
    <t>The Beast of Yucca Flats</t>
  </si>
  <si>
    <t>tt7668842</t>
  </si>
  <si>
    <t>Enes Batur: Imagination or Reality?</t>
  </si>
  <si>
    <t>tt0804492</t>
  </si>
  <si>
    <t>The Hottie &amp; the Nottie</t>
  </si>
  <si>
    <t>Comedy, Romance</t>
  </si>
  <si>
    <t>tt19857862</t>
  </si>
  <si>
    <t>Now or Never!</t>
  </si>
  <si>
    <t>Adventure, Biography, Drama</t>
  </si>
  <si>
    <t>tt0317676</t>
  </si>
  <si>
    <t>House of the Dead</t>
  </si>
  <si>
    <t>Action, Adventure, Horror</t>
  </si>
  <si>
    <t>tt7255568</t>
  </si>
  <si>
    <t>Student of the Year 2</t>
  </si>
  <si>
    <t>Action, Comedy, Drama</t>
  </si>
  <si>
    <t>tt17444636</t>
  </si>
  <si>
    <t>Final Draft</t>
  </si>
  <si>
    <t>Comedy, Drama, Romance</t>
  </si>
  <si>
    <t>tt0193524</t>
  </si>
  <si>
    <t>The Star Wars Holiday Special</t>
  </si>
  <si>
    <t>Adventure, Family, Musical</t>
  </si>
  <si>
    <t>tt8366590</t>
  </si>
  <si>
    <t>Baaghi 3</t>
  </si>
  <si>
    <t>Action, Adventure, Thriller</t>
  </si>
  <si>
    <t>tt0089280</t>
  </si>
  <si>
    <t>Hobgoblins</t>
  </si>
  <si>
    <t>Comedy, Horror, Sci-Fi</t>
  </si>
  <si>
    <t>tt0362165</t>
  </si>
  <si>
    <t>Son of the Mask</t>
  </si>
  <si>
    <t>Comedy, Family, Fantasy</t>
  </si>
  <si>
    <t>tt1754700</t>
  </si>
  <si>
    <t>The Prototype</t>
  </si>
  <si>
    <t>Action, Sci-Fi, Thriller</t>
  </si>
  <si>
    <t>tt11873440</t>
  </si>
  <si>
    <t>Heropanti 2</t>
  </si>
  <si>
    <t>Action, Comedy, Crime</t>
  </si>
  <si>
    <t>tt0785077</t>
  </si>
  <si>
    <t>Who's Your Caddy?</t>
  </si>
  <si>
    <t>Comedy, Sport</t>
  </si>
  <si>
    <t>tt0799949</t>
  </si>
  <si>
    <t>Epic Movie</t>
  </si>
  <si>
    <t>Adventure, Comedy, Fantasy</t>
  </si>
  <si>
    <t>tt0369226</t>
  </si>
  <si>
    <t>Alone in the Dark</t>
  </si>
  <si>
    <t>Action, Horror, Sci-Fi</t>
  </si>
  <si>
    <t>tt0118589</t>
  </si>
  <si>
    <t>Glitter</t>
  </si>
  <si>
    <t>Drama, Music, Romance</t>
  </si>
  <si>
    <t>tt6910020</t>
  </si>
  <si>
    <t>Nothing to Lose</t>
  </si>
  <si>
    <t>tt0185183</t>
  </si>
  <si>
    <t>Battlefield Earth</t>
  </si>
  <si>
    <t>Action, Adventure, Sci-Fi</t>
  </si>
  <si>
    <t>tt1098327</t>
  </si>
  <si>
    <t>Dragonball Evolution</t>
  </si>
  <si>
    <t>Action, Adventure, Fantasy</t>
  </si>
  <si>
    <t>tt10350922</t>
  </si>
  <si>
    <t>Laxmii</t>
  </si>
  <si>
    <t>Action, Comedy, Horror</t>
  </si>
  <si>
    <t>tt11762434</t>
  </si>
  <si>
    <t>Cosmic Sin</t>
  </si>
  <si>
    <t>Action, Sci-Fi</t>
  </si>
  <si>
    <t>tt14121726</t>
  </si>
  <si>
    <t>Jeepers Creepers: Reborn</t>
  </si>
  <si>
    <t>Horror, Mystery, Thriller</t>
  </si>
  <si>
    <t>tt1350498</t>
  </si>
  <si>
    <t>Mega Shark vs. Giant Octopus</t>
  </si>
  <si>
    <t>Action, Adventure, Comedy</t>
  </si>
  <si>
    <t>tt10885444</t>
  </si>
  <si>
    <t>Khaali Peeli</t>
  </si>
  <si>
    <t>Action, Comedy, Romance</t>
  </si>
  <si>
    <t>tt0123366</t>
  </si>
  <si>
    <t>The View</t>
  </si>
  <si>
    <t>Talk-Show</t>
  </si>
  <si>
    <t>tt0299930</t>
  </si>
  <si>
    <t>Gigli</t>
  </si>
  <si>
    <t>Comedy, Crime, Romance</t>
  </si>
  <si>
    <t>tt4435072</t>
  </si>
  <si>
    <t>Liger</t>
  </si>
  <si>
    <t>Action, Drama, Romance</t>
  </si>
  <si>
    <t>tt0329200</t>
  </si>
  <si>
    <t>Home Alone 4: Taking Back the House</t>
  </si>
  <si>
    <t>Comedy, Crime, Family</t>
  </si>
  <si>
    <t>tt0118665</t>
  </si>
  <si>
    <t>Baby Geniuses</t>
  </si>
  <si>
    <t>tt5013984</t>
  </si>
  <si>
    <t>Gully</t>
  </si>
  <si>
    <t>Crime, Drama</t>
  </si>
  <si>
    <t>tt0116839</t>
  </si>
  <si>
    <t>Lawnmower Man 2: Beyond Cyberspace</t>
  </si>
  <si>
    <t>tt12915716</t>
  </si>
  <si>
    <t>Adipurush</t>
  </si>
  <si>
    <t>tt2574698</t>
  </si>
  <si>
    <t>Gunday</t>
  </si>
  <si>
    <t>Action, Drama, Musical</t>
  </si>
  <si>
    <t>tt12996154</t>
  </si>
  <si>
    <t>365 Days: This Day</t>
  </si>
  <si>
    <t>Drama, Romance</t>
  </si>
  <si>
    <t>tt1883367</t>
  </si>
  <si>
    <t>The Human Centipede III (Final Sequence)</t>
  </si>
  <si>
    <t>Comedy, Horror</t>
  </si>
  <si>
    <t>tt1572311</t>
  </si>
  <si>
    <t>Tees Maar Khan</t>
  </si>
  <si>
    <t>Comedy, Crime</t>
  </si>
  <si>
    <t>tt0058548</t>
  </si>
  <si>
    <t>Santa Claus Conquers the Martians</t>
  </si>
  <si>
    <t>Adventure, Comedy, Family</t>
  </si>
  <si>
    <t>tt1127884</t>
  </si>
  <si>
    <t>Hannah Montana and Miley Cyrus: Best of Both Worlds Concert</t>
  </si>
  <si>
    <t>tt0896036</t>
  </si>
  <si>
    <t>BloodRayne: Deliverance</t>
  </si>
  <si>
    <t>Action, Fantasy, Western</t>
  </si>
  <si>
    <t>tt1716747</t>
  </si>
  <si>
    <t>Hellraiser: Revelations</t>
  </si>
  <si>
    <t>tt1073498</t>
  </si>
  <si>
    <t>Meet the Spartans</t>
  </si>
  <si>
    <t>Comedy, Fantasy</t>
  </si>
  <si>
    <t>tt0466342</t>
  </si>
  <si>
    <t>Date Movie</t>
  </si>
  <si>
    <t>tt5697572</t>
  </si>
  <si>
    <t>Cats</t>
  </si>
  <si>
    <t>Comedy, Drama, Family</t>
  </si>
  <si>
    <t>tt9096108</t>
  </si>
  <si>
    <t>Rasbhari</t>
  </si>
  <si>
    <t>tt4867110</t>
  </si>
  <si>
    <t>Swiped</t>
  </si>
  <si>
    <t>tt21106646</t>
  </si>
  <si>
    <t>The Next 365 Days</t>
  </si>
  <si>
    <t>tt0110169</t>
  </si>
  <si>
    <t>It's Pat: The Movie</t>
  </si>
  <si>
    <t>tt13334578</t>
  </si>
  <si>
    <t>Ganapath</t>
  </si>
  <si>
    <t>Action, Drama, Sci-Fi</t>
  </si>
  <si>
    <t>tt1725047</t>
  </si>
  <si>
    <t>My Little Princess</t>
  </si>
  <si>
    <t>Drama, Family, Romance</t>
  </si>
  <si>
    <t>tt1788979</t>
  </si>
  <si>
    <t>67th Street, New York, NY</t>
  </si>
  <si>
    <t>Crime, Thriller</t>
  </si>
  <si>
    <t>tt19623240</t>
  </si>
  <si>
    <t>Winnie-the-Pooh: Blood and Honey</t>
  </si>
  <si>
    <t>tt1086761</t>
  </si>
  <si>
    <t>Keeping Up with the Kardashians</t>
  </si>
  <si>
    <t>Family, Reality-TV</t>
  </si>
  <si>
    <t>tt9820556</t>
  </si>
  <si>
    <t>Breach</t>
  </si>
  <si>
    <t>tt9624766</t>
  </si>
  <si>
    <t>Jiu Jitsu</t>
  </si>
  <si>
    <t>tt0101615</t>
  </si>
  <si>
    <t>Cool as Ice</t>
  </si>
  <si>
    <t>Comedy, Drama, Music</t>
  </si>
  <si>
    <t>tt0093300</t>
  </si>
  <si>
    <t>Jaws: The Revenge</t>
  </si>
  <si>
    <t>Adventure, Horror, Thriller</t>
  </si>
  <si>
    <t>tt0383222</t>
  </si>
  <si>
    <t>BloodRayne</t>
  </si>
  <si>
    <t>Action, Fantasy, Horror</t>
  </si>
  <si>
    <t>tt0105643</t>
  </si>
  <si>
    <t>Troll 2</t>
  </si>
  <si>
    <t>Comedy, Fantasy, Horror</t>
  </si>
  <si>
    <t>tt7059844</t>
  </si>
  <si>
    <t>Dabangg 3</t>
  </si>
  <si>
    <t>tt0120207</t>
  </si>
  <si>
    <t>Steel</t>
  </si>
  <si>
    <t>Action, Adventure, Crime</t>
  </si>
  <si>
    <t>tt0118539</t>
  </si>
  <si>
    <t>3 Ninjas: High Noon at Mega Mountain</t>
  </si>
  <si>
    <t>tt0353324</t>
  </si>
  <si>
    <t>The Crow: Wicked Prayer</t>
  </si>
  <si>
    <t>tt0299981</t>
  </si>
  <si>
    <t>Highlander: The Source</t>
  </si>
  <si>
    <t>tt2467046</t>
  </si>
  <si>
    <t>Left Behind</t>
  </si>
  <si>
    <t>tt0246894</t>
  </si>
  <si>
    <t>Rollerball</t>
  </si>
  <si>
    <t>Action, Sci-Fi, Sport</t>
  </si>
  <si>
    <t>tt0116756</t>
  </si>
  <si>
    <t>Kazaam</t>
  </si>
  <si>
    <t>tt0804452</t>
  </si>
  <si>
    <t>Bratz</t>
  </si>
  <si>
    <t>Comedy, Family, Music</t>
  </si>
  <si>
    <t>tt11656172</t>
  </si>
  <si>
    <t>Hard Kill</t>
  </si>
  <si>
    <t>Action, Thriller</t>
  </si>
  <si>
    <t>tt2610768</t>
  </si>
  <si>
    <t>Celal and Ceren</t>
  </si>
  <si>
    <t>tt2403029</t>
  </si>
  <si>
    <t>The Starving Games</t>
  </si>
  <si>
    <t>Adventure, Comedy, Sci-Fi</t>
  </si>
  <si>
    <t>tt0462244</t>
  </si>
  <si>
    <t>Daddy Day Camp</t>
  </si>
  <si>
    <t>tt0103923</t>
  </si>
  <si>
    <t>Captain America</t>
  </si>
  <si>
    <t>tt0400426</t>
  </si>
  <si>
    <t>Far Cry</t>
  </si>
  <si>
    <t>tt0499487</t>
  </si>
  <si>
    <t>Goal! III</t>
  </si>
  <si>
    <t>Drama, Romance, Sport</t>
  </si>
  <si>
    <t>tt0110647</t>
  </si>
  <si>
    <t>The NeverEnding Story III</t>
  </si>
  <si>
    <t>tt15281656</t>
  </si>
  <si>
    <t>The Holy Trinity</t>
  </si>
  <si>
    <t>tt1619880</t>
  </si>
  <si>
    <t>Sharktopus</t>
  </si>
  <si>
    <t>tt6616074</t>
  </si>
  <si>
    <t>Amy Schumer: The Leather Special</t>
  </si>
  <si>
    <t>tt10886166</t>
  </si>
  <si>
    <t>365 Days</t>
  </si>
  <si>
    <t>tt0810913</t>
  </si>
  <si>
    <t>Jack and Jill</t>
  </si>
  <si>
    <t>tt2724064</t>
  </si>
  <si>
    <t>Sharknado</t>
  </si>
  <si>
    <t>tt5690360</t>
  </si>
  <si>
    <t>Slender Man</t>
  </si>
  <si>
    <t>tt7608028</t>
  </si>
  <si>
    <t>The Open House</t>
  </si>
  <si>
    <t>tt0065832</t>
  </si>
  <si>
    <t>Hercules in New York</t>
  </si>
  <si>
    <t>tt5842616</t>
  </si>
  <si>
    <t>Veere Di Wedding</t>
  </si>
  <si>
    <t>tt1411664</t>
  </si>
  <si>
    <t>Bucky Larson: Born to Be a Star</t>
  </si>
  <si>
    <t>tt7851428</t>
  </si>
  <si>
    <t>First Signal</t>
  </si>
  <si>
    <t>Drama, Sci-Fi</t>
  </si>
  <si>
    <t>tt0327554</t>
  </si>
  <si>
    <t>Catwoman</t>
  </si>
  <si>
    <t>Action, Crime, Fantasy</t>
  </si>
  <si>
    <t>tt4877122</t>
  </si>
  <si>
    <t>The Emoji Movie</t>
  </si>
  <si>
    <t>tt1666186</t>
  </si>
  <si>
    <t>Vampires Suck</t>
  </si>
  <si>
    <t>tt0329028</t>
  </si>
  <si>
    <t>Dumb and Dumberer: When Harry Met Lloyd</t>
  </si>
  <si>
    <t>tt0295427</t>
  </si>
  <si>
    <t>The Master of Disguise</t>
  </si>
  <si>
    <t>tt0110978</t>
  </si>
  <si>
    <t>Texas Chainsaw Massacre: The Next Generation</t>
  </si>
  <si>
    <t>Comedy, Horror, Thriller</t>
  </si>
  <si>
    <t>tt0295254</t>
  </si>
  <si>
    <t>Feardotcom</t>
  </si>
  <si>
    <t>Crime, Horror, Thriller</t>
  </si>
  <si>
    <t>tt6439558</t>
  </si>
  <si>
    <t>Recep Ivedik 5</t>
  </si>
  <si>
    <t>tt10739666</t>
  </si>
  <si>
    <t>Satyameva Jayate 2</t>
  </si>
  <si>
    <t>tt10930586</t>
  </si>
  <si>
    <t>Shikara</t>
  </si>
  <si>
    <t>Drama, History, Romance</t>
  </si>
  <si>
    <t>tt0095560</t>
  </si>
  <si>
    <t>Mac and Me</t>
  </si>
  <si>
    <t>tt0469111</t>
  </si>
  <si>
    <t>I'll Always Know What You Did Last Summer</t>
  </si>
  <si>
    <t>tt1594972</t>
  </si>
  <si>
    <t>Norm of the North</t>
  </si>
  <si>
    <t>tt0795461</t>
  </si>
  <si>
    <t>Scary Movie V</t>
  </si>
  <si>
    <t>tt0110857</t>
  </si>
  <si>
    <t>Police Academy: Mission to Moscow</t>
  </si>
  <si>
    <t>tt6990206</t>
  </si>
  <si>
    <t>Crimea</t>
  </si>
  <si>
    <t>tt0115624</t>
  </si>
  <si>
    <t>Barb Wire</t>
  </si>
  <si>
    <t>tt0372873</t>
  </si>
  <si>
    <t>Dragon Wars: D-War</t>
  </si>
  <si>
    <t>Action, Drama, Fantasy</t>
  </si>
  <si>
    <t>tt4667094</t>
  </si>
  <si>
    <t>Fifty Shades of Black</t>
  </si>
  <si>
    <t>tt10481868</t>
  </si>
  <si>
    <t>Black Christmas</t>
  </si>
  <si>
    <t>tt3138104</t>
  </si>
  <si>
    <t>The Hungover Games</t>
  </si>
  <si>
    <t>tt27785645</t>
  </si>
  <si>
    <t>Episode #1.7</t>
  </si>
  <si>
    <t>tt12335692</t>
  </si>
  <si>
    <t>Last Man Down</t>
  </si>
  <si>
    <t>tt0157262</t>
  </si>
  <si>
    <t>2001: A Space Travesty</t>
  </si>
  <si>
    <t>tt2308733</t>
  </si>
  <si>
    <t>Home Alone: The Holiday Heist</t>
  </si>
  <si>
    <t>tt0094118</t>
  </si>
  <si>
    <t>Teen Wolf Too</t>
  </si>
  <si>
    <t>tt3053228</t>
  </si>
  <si>
    <t>Day of the Dead: Bloodline</t>
  </si>
  <si>
    <t>Action, Drama, Horror</t>
  </si>
  <si>
    <t>tt0462395</t>
  </si>
  <si>
    <t>Larry the Cable Guy: Health Inspector</t>
  </si>
  <si>
    <t>tt8923396</t>
  </si>
  <si>
    <t>Jinn</t>
  </si>
  <si>
    <t>Drama, Fantasy, Horror</t>
  </si>
  <si>
    <t>tt0368226</t>
  </si>
  <si>
    <t>The Room</t>
  </si>
  <si>
    <t>tt0119707</t>
  </si>
  <si>
    <t>Mortal Kombat: Annihilation</t>
  </si>
  <si>
    <t>tt8712204</t>
  </si>
  <si>
    <t>Batwoman</t>
  </si>
  <si>
    <t>tt9196192</t>
  </si>
  <si>
    <t>Cuties</t>
  </si>
  <si>
    <t>tt0897361</t>
  </si>
  <si>
    <t>I Know Who Killed Me</t>
  </si>
  <si>
    <t>tt1517489</t>
  </si>
  <si>
    <t>The Survival of Humanity</t>
  </si>
  <si>
    <t>tt0367093</t>
  </si>
  <si>
    <t>Starship Troopers 2: Hero of the Federation</t>
  </si>
  <si>
    <t>tt11012066</t>
  </si>
  <si>
    <t>Home Sweet Home Alone</t>
  </si>
  <si>
    <t>tt13439476</t>
  </si>
  <si>
    <t>Kaamraj</t>
  </si>
  <si>
    <t>tt0291502</t>
  </si>
  <si>
    <t>Swept Away</t>
  </si>
  <si>
    <t>tt6988116</t>
  </si>
  <si>
    <t>Kalank</t>
  </si>
  <si>
    <t>tt1185266</t>
  </si>
  <si>
    <t>Stan Helsing</t>
  </si>
  <si>
    <t>tt1231277</t>
  </si>
  <si>
    <t>S. Darko</t>
  </si>
  <si>
    <t>Drama, Mystery, Sci-Fi</t>
  </si>
  <si>
    <t>tt7721946</t>
  </si>
  <si>
    <t>Housefull 4</t>
  </si>
  <si>
    <t>tt1153706</t>
  </si>
  <si>
    <t>Dance Flick</t>
  </si>
  <si>
    <t>Action, Comedy, Music</t>
  </si>
  <si>
    <t>tt5456546</t>
  </si>
  <si>
    <t>Judwaa 2</t>
  </si>
  <si>
    <t>tt7312940</t>
  </si>
  <si>
    <t>Singularity</t>
  </si>
  <si>
    <t>tt30007864</t>
  </si>
  <si>
    <t>The American Society of Magical Negroes</t>
  </si>
  <si>
    <t>tt9592496</t>
  </si>
  <si>
    <t>Pogaru</t>
  </si>
  <si>
    <t>Action</t>
  </si>
  <si>
    <t>tt0094074</t>
  </si>
  <si>
    <t>Superman IV: The Quest for Peace</t>
  </si>
  <si>
    <t>tt0085750</t>
  </si>
  <si>
    <t>Jaws 3-D</t>
  </si>
  <si>
    <t>tt0432291</t>
  </si>
  <si>
    <t>The Fog</t>
  </si>
  <si>
    <t>Horror, Mystery</t>
  </si>
  <si>
    <t>tt0120185</t>
  </si>
  <si>
    <t>Spice World</t>
  </si>
  <si>
    <t>tt0190374</t>
  </si>
  <si>
    <t>Dungeons &amp; Dragons</t>
  </si>
  <si>
    <t>tt0158622</t>
  </si>
  <si>
    <t>The Flintstones in Viva Rock Vegas</t>
  </si>
  <si>
    <t>Comedy, Family, Romance</t>
  </si>
  <si>
    <t>tt15387026</t>
  </si>
  <si>
    <t>Destiny</t>
  </si>
  <si>
    <t>tt0891592</t>
  </si>
  <si>
    <t>Street Fighter: The Legend of Chun-Li</t>
  </si>
  <si>
    <t>tt0308208</t>
  </si>
  <si>
    <t>Ballistic: Ecks vs. Sever</t>
  </si>
  <si>
    <t>Action, Crime, Mystery</t>
  </si>
  <si>
    <t>tt0283877</t>
  </si>
  <si>
    <t>American Psycho II: All American Girl</t>
  </si>
  <si>
    <t>tt1091617</t>
  </si>
  <si>
    <t>Expelled: No Intelligence Allowed</t>
  </si>
  <si>
    <t>Documentary</t>
  </si>
  <si>
    <t>tt0806147</t>
  </si>
  <si>
    <t>Extreme Movie</t>
  </si>
  <si>
    <t>tt0800003</t>
  </si>
  <si>
    <t>Delta Farce</t>
  </si>
  <si>
    <t>tt3832096</t>
  </si>
  <si>
    <t>Cabin Fever</t>
  </si>
  <si>
    <t>Horror, Sci-Fi, Thriller</t>
  </si>
  <si>
    <t>tt0120389</t>
  </si>
  <si>
    <t>Turbo: A Power Rangers Movie</t>
  </si>
  <si>
    <t>Action, Adventure, Family</t>
  </si>
  <si>
    <t>tt0118688</t>
  </si>
  <si>
    <t>Batman &amp; Robin</t>
  </si>
  <si>
    <t>tt0450345</t>
  </si>
  <si>
    <t>The Wicker Man</t>
  </si>
  <si>
    <t>tt0811138</t>
  </si>
  <si>
    <t>The Love Guru</t>
  </si>
  <si>
    <t>tt0460780</t>
  </si>
  <si>
    <t>In the Name of the King: A Dungeon Siege Tale</t>
  </si>
  <si>
    <t>tt1714203</t>
  </si>
  <si>
    <t>Piranha 3DD</t>
  </si>
  <si>
    <t>tt0118661</t>
  </si>
  <si>
    <t>The Avengers</t>
  </si>
  <si>
    <t>tt0275022</t>
  </si>
  <si>
    <t>Crossroads</t>
  </si>
  <si>
    <t>tt1530509</t>
  </si>
  <si>
    <t>The Human Centipede 2 (Full Sequence)</t>
  </si>
  <si>
    <t>tt0424774</t>
  </si>
  <si>
    <t>The Adventures of Sharkboy and Lavagirl 3-D</t>
  </si>
  <si>
    <t>tt0076009</t>
  </si>
  <si>
    <t>Exorcist II: The Heretic</t>
  </si>
  <si>
    <t>tt3477064</t>
  </si>
  <si>
    <t>Recep Ivedik 4</t>
  </si>
  <si>
    <t>tt0094824</t>
  </si>
  <si>
    <t>Caddyshack II</t>
  </si>
  <si>
    <t>tt21279138</t>
  </si>
  <si>
    <t>Maid in MalacaÃ±ang</t>
  </si>
  <si>
    <t>tt1104123</t>
  </si>
  <si>
    <t>The Scorpion King 2: Rise of a Warrior</t>
  </si>
  <si>
    <t>tt7897330</t>
  </si>
  <si>
    <t>Deadly Illusions</t>
  </si>
  <si>
    <t>Crime, Drama, Mystery</t>
  </si>
  <si>
    <t>tt4059702</t>
  </si>
  <si>
    <t>AmeriGeddon</t>
  </si>
  <si>
    <t>tt1552211</t>
  </si>
  <si>
    <t>The Last Days of American Crime</t>
  </si>
  <si>
    <t>tt10598156</t>
  </si>
  <si>
    <t>Dhaakad</t>
  </si>
  <si>
    <t>tt2292959</t>
  </si>
  <si>
    <t>The Canyons</t>
  </si>
  <si>
    <t>tt0489598</t>
  </si>
  <si>
    <t>The Hills</t>
  </si>
  <si>
    <t>Reality-TV</t>
  </si>
  <si>
    <t>tt8328716</t>
  </si>
  <si>
    <t>Doom: Annihilation</t>
  </si>
  <si>
    <t>tt0107612</t>
  </si>
  <si>
    <t>Mr. Nanny</t>
  </si>
  <si>
    <t>Action, Comedy, Family</t>
  </si>
  <si>
    <t>tt0082910</t>
  </si>
  <si>
    <t>Piranha II: The Spawning</t>
  </si>
  <si>
    <t>tt0120179</t>
  </si>
  <si>
    <t>Speed 2: Cruise Control</t>
  </si>
  <si>
    <t>tt0220506</t>
  </si>
  <si>
    <t>Halloween: Resurrection</t>
  </si>
  <si>
    <t>tt0052077</t>
  </si>
  <si>
    <t>Plan 9 from Outer Space</t>
  </si>
  <si>
    <t>tt1255919</t>
  </si>
  <si>
    <t>Holmes &amp; Watson</t>
  </si>
  <si>
    <t>Comedy, Crime, Mystery</t>
  </si>
  <si>
    <t>tt0926129</t>
  </si>
  <si>
    <t>Prom Night</t>
  </si>
  <si>
    <t>tt18072316</t>
  </si>
  <si>
    <t>Bade Miyan Chote Miyan</t>
  </si>
  <si>
    <t>tt6513656</t>
  </si>
  <si>
    <t>Escape Plan 2: Hades</t>
  </si>
  <si>
    <t>tt0365957</t>
  </si>
  <si>
    <t>You Got Served</t>
  </si>
  <si>
    <t>Drama, Music</t>
  </si>
  <si>
    <t>tt0180052</t>
  </si>
  <si>
    <t>The Adventures of Pluto Nash</t>
  </si>
  <si>
    <t>tt1014775</t>
  </si>
  <si>
    <t>Beverly Hills Chihuahua</t>
  </si>
  <si>
    <t>Adventure, Comedy, Drama</t>
  </si>
  <si>
    <t>tt1139592</t>
  </si>
  <si>
    <t>Jeepers Creepers III</t>
  </si>
  <si>
    <t>tt1563069</t>
  </si>
  <si>
    <t>Jersey Shore</t>
  </si>
  <si>
    <t>Comedy, Reality-TV, Romance</t>
  </si>
  <si>
    <t>tt5882970</t>
  </si>
  <si>
    <t>Tubelight</t>
  </si>
  <si>
    <t>Drama, War</t>
  </si>
  <si>
    <t>tt1656171</t>
  </si>
  <si>
    <t>Dam999</t>
  </si>
  <si>
    <t>Adventure, Drama, Sci-Fi</t>
  </si>
  <si>
    <t>tt0492389</t>
  </si>
  <si>
    <t>Furry Vengeance</t>
  </si>
  <si>
    <t>tt7510346</t>
  </si>
  <si>
    <t>The Turning</t>
  </si>
  <si>
    <t>Drama, Horror, Mystery</t>
  </si>
  <si>
    <t>tt8066940</t>
  </si>
  <si>
    <t>Indian 2</t>
  </si>
  <si>
    <t>Action, Drama, Thriller</t>
  </si>
  <si>
    <t>tt14865406</t>
  </si>
  <si>
    <t>Deep Fear</t>
  </si>
  <si>
    <t>Action, Horror, Thriller</t>
  </si>
  <si>
    <t>tt0106761</t>
  </si>
  <si>
    <t>Double Dragon</t>
  </si>
  <si>
    <t>tt1712159</t>
  </si>
  <si>
    <t>tt1273221</t>
  </si>
  <si>
    <t>London Fields</t>
  </si>
  <si>
    <t>Crime, Mystery, Thriller</t>
  </si>
  <si>
    <t>tt0160236</t>
  </si>
  <si>
    <t>Dudley Do-Right</t>
  </si>
  <si>
    <t>tt11771594</t>
  </si>
  <si>
    <t>American Pie Presents: Girls' Rules</t>
  </si>
  <si>
    <t>tt2364897</t>
  </si>
  <si>
    <t>The Disappointments Room</t>
  </si>
  <si>
    <t>Drama, Horror, Thriller</t>
  </si>
  <si>
    <t>tt1045655</t>
  </si>
  <si>
    <t>The Haunting of Molly Hartley</t>
  </si>
  <si>
    <t>tt6027920</t>
  </si>
  <si>
    <t>The Iron Throne</t>
  </si>
  <si>
    <t>tt0938283</t>
  </si>
  <si>
    <t>The Last Airbender</t>
  </si>
  <si>
    <t>tt11057302</t>
  </si>
  <si>
    <t>Madame Web</t>
  </si>
  <si>
    <t>tt3679040</t>
  </si>
  <si>
    <t>Kisi Ka Bhai Kisi Ki Jaan</t>
  </si>
  <si>
    <t>tt0229260</t>
  </si>
  <si>
    <t>Book of Shadows: Blair Witch 2</t>
  </si>
  <si>
    <t>Adventure, Fantasy, Horror</t>
  </si>
  <si>
    <t>tt0479968</t>
  </si>
  <si>
    <t>One Missed Call</t>
  </si>
  <si>
    <t>tt0433412</t>
  </si>
  <si>
    <t>Material Girls</t>
  </si>
  <si>
    <t>tt3062074</t>
  </si>
  <si>
    <t>Sharknado 2: The Second One</t>
  </si>
  <si>
    <t>tt10230426</t>
  </si>
  <si>
    <t>Mrs. Serial Killer</t>
  </si>
  <si>
    <t>Crime, Drama, Thriller</t>
  </si>
  <si>
    <t>tt2034139</t>
  </si>
  <si>
    <t>The Last Exorcism Part II</t>
  </si>
  <si>
    <t>tt8907992</t>
  </si>
  <si>
    <t>The Girl on the Train</t>
  </si>
  <si>
    <t>tt4600952</t>
  </si>
  <si>
    <t>The Guardians</t>
  </si>
  <si>
    <t>tt3899796</t>
  </si>
  <si>
    <t>Sharknado 3: Oh Hell No!</t>
  </si>
  <si>
    <t>tt14502344</t>
  </si>
  <si>
    <t>They/Them</t>
  </si>
  <si>
    <t>tt10303324</t>
  </si>
  <si>
    <t>Survive the Night</t>
  </si>
  <si>
    <t>tt9625664</t>
  </si>
  <si>
    <t>Trauma Center</t>
  </si>
  <si>
    <t>tt0212235</t>
  </si>
  <si>
    <t>Shriek If You Know What I Did Last Friday the Thirteenth</t>
  </si>
  <si>
    <t>tt11253090</t>
  </si>
  <si>
    <t>Annaatthe</t>
  </si>
  <si>
    <t>tt8400758</t>
  </si>
  <si>
    <t>Killers Anonymous</t>
  </si>
  <si>
    <t>tt13851804</t>
  </si>
  <si>
    <t>Siavash</t>
  </si>
  <si>
    <t>tt1190617</t>
  </si>
  <si>
    <t>An American Carol</t>
  </si>
  <si>
    <t>tt12262202</t>
  </si>
  <si>
    <t>The Acolyte</t>
  </si>
  <si>
    <t>tt0312528</t>
  </si>
  <si>
    <t>The Cat in the Hat</t>
  </si>
  <si>
    <t>tt0111301</t>
  </si>
  <si>
    <t>Street Fighter</t>
  </si>
  <si>
    <t>tt0107254</t>
  </si>
  <si>
    <t>Jason Goes to Hell</t>
  </si>
  <si>
    <t>Fantasy, Horror, Thriller</t>
  </si>
  <si>
    <t>tt0329691</t>
  </si>
  <si>
    <t>Torque</t>
  </si>
  <si>
    <t>tt1633356</t>
  </si>
  <si>
    <t>Shark Night</t>
  </si>
  <si>
    <t>tt1679235</t>
  </si>
  <si>
    <t>Mean Girls 2</t>
  </si>
  <si>
    <t>Comedy, Drama</t>
  </si>
  <si>
    <t>tt2375779</t>
  </si>
  <si>
    <t>Wrong Turn 5: Bloodlines</t>
  </si>
  <si>
    <t>Adventure, Horror</t>
  </si>
  <si>
    <t>tt5913798</t>
  </si>
  <si>
    <t>Wounds</t>
  </si>
  <si>
    <t>tt5970844</t>
  </si>
  <si>
    <t>Thugs of Hindostan</t>
  </si>
  <si>
    <t>Action, Adventure</t>
  </si>
  <si>
    <t>tt1433822</t>
  </si>
  <si>
    <t>The Apparition</t>
  </si>
  <si>
    <t>tt0960890</t>
  </si>
  <si>
    <t>Zombie Strippers!</t>
  </si>
  <si>
    <t>tt3612032</t>
  </si>
  <si>
    <t>Wrong Turn 6: Last Resort</t>
  </si>
  <si>
    <t>tt0119718</t>
  </si>
  <si>
    <t>Mr. Magoo</t>
  </si>
  <si>
    <t>tt5103758</t>
  </si>
  <si>
    <t>Troy: Fall of a City</t>
  </si>
  <si>
    <t>tt27785647</t>
  </si>
  <si>
    <t>Episode #1.8</t>
  </si>
  <si>
    <t>tt7869070</t>
  </si>
  <si>
    <t>The Fanatic</t>
  </si>
  <si>
    <t>Crime, Drama, Horror</t>
  </si>
  <si>
    <t>tt0120604</t>
  </si>
  <si>
    <t>Beowulf</t>
  </si>
  <si>
    <t>tt4382872</t>
  </si>
  <si>
    <t>Extraction</t>
  </si>
  <si>
    <t>tt8433210</t>
  </si>
  <si>
    <t>A Dark Foe</t>
  </si>
  <si>
    <t>tt0200469</t>
  </si>
  <si>
    <t>Bats</t>
  </si>
  <si>
    <t>tt12772746</t>
  </si>
  <si>
    <t>Diverged</t>
  </si>
  <si>
    <t>tt2322441</t>
  </si>
  <si>
    <t>Fifty Shades of Grey</t>
  </si>
  <si>
    <t>Drama, Romance, Thriller</t>
  </si>
  <si>
    <t>tt0477051</t>
  </si>
  <si>
    <t>Norbit</t>
  </si>
  <si>
    <t>tt10280276</t>
  </si>
  <si>
    <t>Coolie No. 1</t>
  </si>
  <si>
    <t>tt0108255</t>
  </si>
  <si>
    <t>Super Mario Bros.</t>
  </si>
  <si>
    <t>tt0107978</t>
  </si>
  <si>
    <t>RoboCop 3</t>
  </si>
  <si>
    <t>Action, Crime, Sci-Fi</t>
  </si>
  <si>
    <t>tt0141369</t>
  </si>
  <si>
    <t>Inspector Gadget</t>
  </si>
  <si>
    <t>tt0102034</t>
  </si>
  <si>
    <t>Highlander II: The Quickening</t>
  </si>
  <si>
    <t>tt9660182</t>
  </si>
  <si>
    <t>Resident Evil</t>
  </si>
  <si>
    <t>tt1560985</t>
  </si>
  <si>
    <t>The Devil Inside</t>
  </si>
  <si>
    <t>tt0357507</t>
  </si>
  <si>
    <t>Boogeyman</t>
  </si>
  <si>
    <t>tt0176269</t>
  </si>
  <si>
    <t>Universal Soldier: The Return</t>
  </si>
  <si>
    <t>tt3120430</t>
  </si>
  <si>
    <t>Mantus</t>
  </si>
  <si>
    <t>Comedy, Drama, Thriller</t>
  </si>
  <si>
    <t>tt10062556</t>
  </si>
  <si>
    <t>Bhuj: The Pride of India</t>
  </si>
  <si>
    <t>Action, Drama, History</t>
  </si>
  <si>
    <t>tt2309260</t>
  </si>
  <si>
    <t>The Gallows</t>
  </si>
  <si>
    <t>tt0318081</t>
  </si>
  <si>
    <t>A Sound of Thunder</t>
  </si>
  <si>
    <t>tt3704538</t>
  </si>
  <si>
    <t>V/H/S Viral</t>
  </si>
  <si>
    <t>tt2752758</t>
  </si>
  <si>
    <t>Devil's Due</t>
  </si>
  <si>
    <t>tt0120860</t>
  </si>
  <si>
    <t>From Dusk Till Dawn 2: Texas Blood Money</t>
  </si>
  <si>
    <t>tt3480796</t>
  </si>
  <si>
    <t>Vice</t>
  </si>
  <si>
    <t>tt8597594</t>
  </si>
  <si>
    <t>Adverse</t>
  </si>
  <si>
    <t>tt6372694</t>
  </si>
  <si>
    <t>Prisoners of the Ghostland</t>
  </si>
  <si>
    <t>tt5159414</t>
  </si>
  <si>
    <t>Escape Room</t>
  </si>
  <si>
    <t>tt13978306</t>
  </si>
  <si>
    <t>Brazen</t>
  </si>
  <si>
    <t>tt0120786</t>
  </si>
  <si>
    <t>The Patriot</t>
  </si>
  <si>
    <t>tt0354623</t>
  </si>
  <si>
    <t>Hellraiser: Hellworld</t>
  </si>
  <si>
    <t>tt7209472</t>
  </si>
  <si>
    <t>Aiyai: Wrathful Soul</t>
  </si>
  <si>
    <t>Mystery, Thriller</t>
  </si>
  <si>
    <t>tt0410650</t>
  </si>
  <si>
    <t>Species III</t>
  </si>
  <si>
    <t>tt2933474</t>
  </si>
  <si>
    <t>Superfast!</t>
  </si>
  <si>
    <t>tt2178508</t>
  </si>
  <si>
    <t>Son of Sardaar</t>
  </si>
  <si>
    <t>tt0089200</t>
  </si>
  <si>
    <t>Ghoulies</t>
  </si>
  <si>
    <t>tt13452100</t>
  </si>
  <si>
    <t>Fabulous Lives of Bollywood Wives</t>
  </si>
  <si>
    <t>Documentary, Reality-TV, Romance</t>
  </si>
  <si>
    <t>tt11576124</t>
  </si>
  <si>
    <t>Rogue</t>
  </si>
  <si>
    <t>tt1502712</t>
  </si>
  <si>
    <t>Fantastic Four</t>
  </si>
  <si>
    <t>tt1071875</t>
  </si>
  <si>
    <t>Ghost Rider: Spirit of Vengeance</t>
  </si>
  <si>
    <t>Action, Fantasy, Thriller</t>
  </si>
  <si>
    <t>tt1043726</t>
  </si>
  <si>
    <t>The Legend of Hercules</t>
  </si>
  <si>
    <t>tt15979666</t>
  </si>
  <si>
    <t>The Archies</t>
  </si>
  <si>
    <t>Comedy, Drama, Musical</t>
  </si>
  <si>
    <t>tt1620680</t>
  </si>
  <si>
    <t>A Wrinkle in Time</t>
  </si>
  <si>
    <t>Adventure, Drama, Family</t>
  </si>
  <si>
    <t>tt3089630</t>
  </si>
  <si>
    <t>Artemis Fowl</t>
  </si>
  <si>
    <t>tt4030600</t>
  </si>
  <si>
    <t>The Bye Bye Man</t>
  </si>
  <si>
    <t>tt2515086</t>
  </si>
  <si>
    <t>One Direction: This Is Us</t>
  </si>
  <si>
    <t>tt0844760</t>
  </si>
  <si>
    <t>Starship Troopers 3: Marauder</t>
  </si>
  <si>
    <t>tt11112808</t>
  </si>
  <si>
    <t>Cirkus</t>
  </si>
  <si>
    <t>tt0422774</t>
  </si>
  <si>
    <t>Are We Done Yet?</t>
  </si>
  <si>
    <t>tt0319931</t>
  </si>
  <si>
    <t>American Idol</t>
  </si>
  <si>
    <t>Documentary, Game-Show, Music</t>
  </si>
  <si>
    <t>tt1577061</t>
  </si>
  <si>
    <t>Recep Ivedik 3</t>
  </si>
  <si>
    <t>tt0131704</t>
  </si>
  <si>
    <t>The Adventures of Rocky &amp; Bullwinkle</t>
  </si>
  <si>
    <t>tt9649436</t>
  </si>
  <si>
    <t>Enaaya</t>
  </si>
  <si>
    <t>Musical, Romance</t>
  </si>
  <si>
    <t>tt1392197</t>
  </si>
  <si>
    <t>Marmaduke</t>
  </si>
  <si>
    <t>tt0131646</t>
  </si>
  <si>
    <t>Wing Commander</t>
  </si>
  <si>
    <t>tt6494418</t>
  </si>
  <si>
    <t>Siberia</t>
  </si>
  <si>
    <t>Crime, Drama, Romance</t>
  </si>
  <si>
    <t>tt13634480</t>
  </si>
  <si>
    <t>The Ice Age Adventures of Buck Wild</t>
  </si>
  <si>
    <t>tt4019560</t>
  </si>
  <si>
    <t>Exposed</t>
  </si>
  <si>
    <t>tt0997047</t>
  </si>
  <si>
    <t>College Road Trip</t>
  </si>
  <si>
    <t>tt3838992</t>
  </si>
  <si>
    <t>Yoga Hosers</t>
  </si>
  <si>
    <t>tt0961722</t>
  </si>
  <si>
    <t>Cabin Fever 2: Spring Fever</t>
  </si>
  <si>
    <t>tt1519461</t>
  </si>
  <si>
    <t>Area 51</t>
  </si>
  <si>
    <t>Horror, Mystery, Sci-Fi</t>
  </si>
  <si>
    <t>tt0167456</t>
  </si>
  <si>
    <t>Thunderbirds</t>
  </si>
  <si>
    <t>tt1320304</t>
  </si>
  <si>
    <t>30 Days of Night: Dark Days</t>
  </si>
  <si>
    <t>tt4824308</t>
  </si>
  <si>
    <t>God's Not Dead 2</t>
  </si>
  <si>
    <t>tt0790804</t>
  </si>
  <si>
    <t>The Comebacks</t>
  </si>
  <si>
    <t>tt6003368</t>
  </si>
  <si>
    <t>Diary of a Wimpy Kid: The Long Haul</t>
  </si>
  <si>
    <t>tt1935302</t>
  </si>
  <si>
    <t>Monsters: Dark Continent</t>
  </si>
  <si>
    <t>tt10098288</t>
  </si>
  <si>
    <t>Roohi</t>
  </si>
  <si>
    <t>tt13322120</t>
  </si>
  <si>
    <t>American Sicario</t>
  </si>
  <si>
    <t>tt0190524</t>
  </si>
  <si>
    <t>Left Behind: The Movie</t>
  </si>
  <si>
    <t>tt3803860</t>
  </si>
  <si>
    <t>Puli</t>
  </si>
  <si>
    <t>tt4575328</t>
  </si>
  <si>
    <t>2036 Origin Unknown</t>
  </si>
  <si>
    <t>tt1333125</t>
  </si>
  <si>
    <t>Movie 43</t>
  </si>
  <si>
    <t>tt14954666</t>
  </si>
  <si>
    <t>The Idol</t>
  </si>
  <si>
    <t>tt1467304</t>
  </si>
  <si>
    <t>The Human Centipede (First Sequence)</t>
  </si>
  <si>
    <t>tt0370032</t>
  </si>
  <si>
    <t>Ultraviolet</t>
  </si>
  <si>
    <t>tt0338459</t>
  </si>
  <si>
    <t>Spy Kids 3: Game Over</t>
  </si>
  <si>
    <t>tt1592873</t>
  </si>
  <si>
    <t>LOL</t>
  </si>
  <si>
    <t>tt10155932</t>
  </si>
  <si>
    <t>Cinderella</t>
  </si>
  <si>
    <t>tt0105477</t>
  </si>
  <si>
    <t>Stop! Or My Mom Will Shoot</t>
  </si>
  <si>
    <t>Action, Comedy</t>
  </si>
  <si>
    <t>tt0430912</t>
  </si>
  <si>
    <t>Basic Instinct 2</t>
  </si>
  <si>
    <t>Drama, Mystery, Thriller</t>
  </si>
  <si>
    <t>tt3450650</t>
  </si>
  <si>
    <t>Paul Blart: Mall Cop 2</t>
  </si>
  <si>
    <t>tt1615918</t>
  </si>
  <si>
    <t>Alvin and the Chipmunks: Chipwrecked</t>
  </si>
  <si>
    <t>tt0098105</t>
  </si>
  <si>
    <t>Police Academy 6: City Under Siege</t>
  </si>
  <si>
    <t>tt0107438</t>
  </si>
  <si>
    <t>Look Who's Talking Now</t>
  </si>
  <si>
    <t>tt0775440</t>
  </si>
  <si>
    <t>Cell</t>
  </si>
  <si>
    <t>tt3612126</t>
  </si>
  <si>
    <t>The Grudge</t>
  </si>
  <si>
    <t>Fantasy, Horror</t>
  </si>
  <si>
    <t>tt0115683</t>
  </si>
  <si>
    <t>Bio-Dome</t>
  </si>
  <si>
    <t>tt4590256</t>
  </si>
  <si>
    <t>He's All That</t>
  </si>
  <si>
    <t>tt5635026</t>
  </si>
  <si>
    <t>Peter Pan &amp; Wendy</t>
  </si>
  <si>
    <t>tt2167202</t>
  </si>
  <si>
    <t>Getaway</t>
  </si>
  <si>
    <t>tt0088206</t>
  </si>
  <si>
    <t>Supergirl</t>
  </si>
  <si>
    <t>tt3595298</t>
  </si>
  <si>
    <t>Prem Ratan Dhan Payo</t>
  </si>
  <si>
    <t>tt6950476</t>
  </si>
  <si>
    <t>Tejas</t>
  </si>
  <si>
    <t>tt0383060</t>
  </si>
  <si>
    <t>Zoom</t>
  </si>
  <si>
    <t>tt1748197</t>
  </si>
  <si>
    <t>Setup</t>
  </si>
  <si>
    <t>tt6745550</t>
  </si>
  <si>
    <t>Exit 0</t>
  </si>
  <si>
    <t>tt0393735</t>
  </si>
  <si>
    <t>The Shaggy Dog</t>
  </si>
  <si>
    <t>tt0192731</t>
  </si>
  <si>
    <t>Urban Legends: Final Cut</t>
  </si>
  <si>
    <t>tt0249380</t>
  </si>
  <si>
    <t>Baise-moi</t>
  </si>
  <si>
    <t>tt6772804</t>
  </si>
  <si>
    <t>Escape Plan: The Extractors</t>
  </si>
  <si>
    <t>tt7456312</t>
  </si>
  <si>
    <t>The Last Thing He Wanted</t>
  </si>
  <si>
    <t>tt1287468</t>
  </si>
  <si>
    <t>Cats &amp; Dogs: The Revenge of Kitty Galore</t>
  </si>
  <si>
    <t>tt0196267</t>
  </si>
  <si>
    <t>Cruel Intentions 2</t>
  </si>
  <si>
    <t>tt11947158</t>
  </si>
  <si>
    <t>Ek Villain Returns</t>
  </si>
  <si>
    <t>Action, Crime, Romance</t>
  </si>
  <si>
    <t>tt6528290</t>
  </si>
  <si>
    <t>Knights of the Zodiac</t>
  </si>
  <si>
    <t>tt0113010</t>
  </si>
  <si>
    <t>Fair Game</t>
  </si>
  <si>
    <t>Action, Romance, Thriller</t>
  </si>
  <si>
    <t>tt8195518</t>
  </si>
  <si>
    <t>Cuck</t>
  </si>
  <si>
    <t>tt0396592</t>
  </si>
  <si>
    <t>Fat Albert</t>
  </si>
  <si>
    <t>tt2314824</t>
  </si>
  <si>
    <t>Behaving Badly</t>
  </si>
  <si>
    <t>tt0337636</t>
  </si>
  <si>
    <t>Hellraiser: Deader</t>
  </si>
  <si>
    <t>tt3774790</t>
  </si>
  <si>
    <t>400 Days</t>
  </si>
  <si>
    <t>Mystery, Sci-Fi, Thriller</t>
  </si>
  <si>
    <t>tt3584496</t>
  </si>
  <si>
    <t>Mermaid Down</t>
  </si>
  <si>
    <t>Fantasy, Horror, Mystery</t>
  </si>
  <si>
    <t>tt0334965</t>
  </si>
  <si>
    <t>Bring It on: Again</t>
  </si>
  <si>
    <t>tt0469916</t>
  </si>
  <si>
    <t>Hollow Man II</t>
  </si>
  <si>
    <t>tt0113762</t>
  </si>
  <si>
    <t>The Mangler</t>
  </si>
  <si>
    <t>tt1564585</t>
  </si>
  <si>
    <t>Skyline</t>
  </si>
  <si>
    <t>tt1241317</t>
  </si>
  <si>
    <t>Death Note</t>
  </si>
  <si>
    <t>Crime, Drama, Fantasy</t>
  </si>
  <si>
    <t>tt1261945</t>
  </si>
  <si>
    <t>Sex and the City 2</t>
  </si>
  <si>
    <t>tt3554046</t>
  </si>
  <si>
    <t>Space Jam: A New Legacy</t>
  </si>
  <si>
    <t>tt4477536</t>
  </si>
  <si>
    <t>Fifty Shades Freed</t>
  </si>
  <si>
    <t>Drama, Mystery, Romance</t>
  </si>
  <si>
    <t>tt0329774</t>
  </si>
  <si>
    <t>xXx: State of the Union</t>
  </si>
  <si>
    <t>tt0211443</t>
  </si>
  <si>
    <t>Jason X</t>
  </si>
  <si>
    <t>tt0430304</t>
  </si>
  <si>
    <t>Little Man</t>
  </si>
  <si>
    <t>tt1204977</t>
  </si>
  <si>
    <t>Ouija</t>
  </si>
  <si>
    <t>tt0144528</t>
  </si>
  <si>
    <t>Nutty Professor II: The Klumps</t>
  </si>
  <si>
    <t>Comedy, Romance, Sci-Fi</t>
  </si>
  <si>
    <t>tt0097388</t>
  </si>
  <si>
    <t>Friday the 13th Part VIII: Jason Takes Manhattan</t>
  </si>
  <si>
    <t>tt0498381</t>
  </si>
  <si>
    <t>Rings</t>
  </si>
  <si>
    <t>tt0457297</t>
  </si>
  <si>
    <t>The Butterfly Effect 2</t>
  </si>
  <si>
    <t>Drama, Sci-Fi, Thriller</t>
  </si>
  <si>
    <t>tt15334030</t>
  </si>
  <si>
    <t>Martin</t>
  </si>
  <si>
    <t>tt0257568</t>
  </si>
  <si>
    <t>Kangaroo Jack</t>
  </si>
  <si>
    <t>tt0120841</t>
  </si>
  <si>
    <t>Species II</t>
  </si>
  <si>
    <t>tt13130948</t>
  </si>
  <si>
    <t>Shehzada</t>
  </si>
  <si>
    <t>tt1464174</t>
  </si>
  <si>
    <t>Big Mommas: Like Father, Like Son</t>
  </si>
  <si>
    <t>tt1865567</t>
  </si>
  <si>
    <t>Wrong Turn 4: Bloody Beginnings</t>
  </si>
  <si>
    <t>tt0367085</t>
  </si>
  <si>
    <t>Soul Plane</t>
  </si>
  <si>
    <t>tt9419834</t>
  </si>
  <si>
    <t>Secret Obsession</t>
  </si>
  <si>
    <t>tt0486640</t>
  </si>
  <si>
    <t>Postal</t>
  </si>
  <si>
    <t>tt4439620</t>
  </si>
  <si>
    <t>Redemption Day</t>
  </si>
  <si>
    <t>tt1373215</t>
  </si>
  <si>
    <t>Recep Ivedik 2</t>
  </si>
  <si>
    <t>tt0110027</t>
  </si>
  <si>
    <t>Highlander: The Final Dimension</t>
  </si>
  <si>
    <t>Action, Fantasy, Romance</t>
  </si>
  <si>
    <t>tt0489018</t>
  </si>
  <si>
    <t>Day of the Dead</t>
  </si>
  <si>
    <t>tt6915770</t>
  </si>
  <si>
    <t>Starfish</t>
  </si>
  <si>
    <t>tt10148174</t>
  </si>
  <si>
    <t>The Walking Dead: World Beyond</t>
  </si>
  <si>
    <t>Drama, Horror</t>
  </si>
  <si>
    <t>tt6774786</t>
  </si>
  <si>
    <t>Occupation</t>
  </si>
  <si>
    <t>tt1878841</t>
  </si>
  <si>
    <t>The Darkness</t>
  </si>
  <si>
    <t>tt0110687</t>
  </si>
  <si>
    <t>North</t>
  </si>
  <si>
    <t>tt1212974</t>
  </si>
  <si>
    <t>Bitch Slap</t>
  </si>
  <si>
    <t>tt4876134</t>
  </si>
  <si>
    <t>The Misfits</t>
  </si>
  <si>
    <t>tt0461703</t>
  </si>
  <si>
    <t>Skinwalkers</t>
  </si>
  <si>
    <t>tt0101627</t>
  </si>
  <si>
    <t>Critters 3</t>
  </si>
  <si>
    <t>tt0100934</t>
  </si>
  <si>
    <t>Wild Orchid</t>
  </si>
  <si>
    <t>tt0482603</t>
  </si>
  <si>
    <t>Space Chimps</t>
  </si>
  <si>
    <t>tt6143568</t>
  </si>
  <si>
    <t>The Humanity Bureau</t>
  </si>
  <si>
    <t>Sci-Fi, Thriller</t>
  </si>
  <si>
    <t>tt14813212</t>
  </si>
  <si>
    <t>The Munsters</t>
  </si>
  <si>
    <t>tt0787505</t>
  </si>
  <si>
    <t>Rest Stop</t>
  </si>
  <si>
    <t>Horror, Romance, Thriller</t>
  </si>
  <si>
    <t>tt1274586</t>
  </si>
  <si>
    <t>Dying of the Light</t>
  </si>
  <si>
    <t>tt1913166</t>
  </si>
  <si>
    <t>Nurse</t>
  </si>
  <si>
    <t>tt0308353</t>
  </si>
  <si>
    <t>Happily N'Ever After</t>
  </si>
  <si>
    <t>tt1031254</t>
  </si>
  <si>
    <t>Lost Boys: The Tribe</t>
  </si>
  <si>
    <t>tt0827782</t>
  </si>
  <si>
    <t>Return to House on Haunted Hill</t>
  </si>
  <si>
    <t>Crime, Fantasy, Horror</t>
  </si>
  <si>
    <t>tt2978626</t>
  </si>
  <si>
    <t>It's Entertainment</t>
  </si>
  <si>
    <t>tt0758730</t>
  </si>
  <si>
    <t>Aliens vs. Predator: Requiem</t>
  </si>
  <si>
    <t>tt0119303</t>
  </si>
  <si>
    <t>Home Alone 3</t>
  </si>
  <si>
    <t>tt4465564</t>
  </si>
  <si>
    <t>Fifty Shades Darker</t>
  </si>
  <si>
    <t>tt2109184</t>
  </si>
  <si>
    <t>Paranormal Activity 4</t>
  </si>
  <si>
    <t>tt11117570</t>
  </si>
  <si>
    <t>Tandav</t>
  </si>
  <si>
    <t>tt1231580</t>
  </si>
  <si>
    <t>Alvin and the Chipmunks: The Squeakquel</t>
  </si>
  <si>
    <t>tt0155975</t>
  </si>
  <si>
    <t>Psycho</t>
  </si>
  <si>
    <t>tt0117765</t>
  </si>
  <si>
    <t>Striptease</t>
  </si>
  <si>
    <t>Comedy, Crime, Drama</t>
  </si>
  <si>
    <t>tt10121392</t>
  </si>
  <si>
    <t>Thunder Force</t>
  </si>
  <si>
    <t>tt2528814</t>
  </si>
  <si>
    <t>God's Not Dead</t>
  </si>
  <si>
    <t>tt0316732</t>
  </si>
  <si>
    <t>Taxi</t>
  </si>
  <si>
    <t>tt0132245</t>
  </si>
  <si>
    <t>Driven</t>
  </si>
  <si>
    <t>Action, Drama, Sport</t>
  </si>
  <si>
    <t>tt0084021</t>
  </si>
  <si>
    <t>Grease 2</t>
  </si>
  <si>
    <t>tt0095882</t>
  </si>
  <si>
    <t>Police Academy 5: Assignment: Miami Beach</t>
  </si>
  <si>
    <t>tt1255916</t>
  </si>
  <si>
    <t>Hostel: Part III</t>
  </si>
  <si>
    <t>tt0116654</t>
  </si>
  <si>
    <t>The Island of Dr. Moreau</t>
  </si>
  <si>
    <t>tt0110657</t>
  </si>
  <si>
    <t>The Next Karate Kid</t>
  </si>
  <si>
    <t>Action, Drama, Family</t>
  </si>
  <si>
    <t>tt2473510</t>
  </si>
  <si>
    <t>Paranormal Activity: The Ghost Dimension</t>
  </si>
  <si>
    <t>tt4978420</t>
  </si>
  <si>
    <t>Borderlands</t>
  </si>
  <si>
    <t>tt1261978</t>
  </si>
  <si>
    <t>Wrong Turn 3: Left for Dead</t>
  </si>
  <si>
    <t>tt2799166</t>
  </si>
  <si>
    <t>The Pyramid</t>
  </si>
  <si>
    <t>tt0110725</t>
  </si>
  <si>
    <t>On Deadly Ground</t>
  </si>
  <si>
    <t>tt0374563</t>
  </si>
  <si>
    <t>Captivity</t>
  </si>
  <si>
    <t>Crime, Horror, Mystery</t>
  </si>
  <si>
    <t>tt1798632</t>
  </si>
  <si>
    <t>Firestarter</t>
  </si>
  <si>
    <t>Drama, Horror, Sci-Fi</t>
  </si>
  <si>
    <t>tt1302067</t>
  </si>
  <si>
    <t>Yogi Bear</t>
  </si>
  <si>
    <t>tt0115986</t>
  </si>
  <si>
    <t>The Crow: City of Angels</t>
  </si>
  <si>
    <t>tt0338763</t>
  </si>
  <si>
    <t>Battle Royale II</t>
  </si>
  <si>
    <t>tt0144964</t>
  </si>
  <si>
    <t>Highlander: Endgame</t>
  </si>
  <si>
    <t>tt1472584</t>
  </si>
  <si>
    <t>Max Steel</t>
  </si>
  <si>
    <t>tt1901024</t>
  </si>
  <si>
    <t>Dark Crimes</t>
  </si>
  <si>
    <t>tt1053859</t>
  </si>
  <si>
    <t>The Grudge 3</t>
  </si>
  <si>
    <t>tt1085492</t>
  </si>
  <si>
    <t>The Prince</t>
  </si>
  <si>
    <t>tt22050754</t>
  </si>
  <si>
    <t>The Strangers: Chapter 1</t>
  </si>
  <si>
    <t>tt1886493</t>
  </si>
  <si>
    <t>Catch .44</t>
  </si>
  <si>
    <t>tt0492486</t>
  </si>
  <si>
    <t>Shrooms</t>
  </si>
  <si>
    <t>Comedy, Horror, Mystery</t>
  </si>
  <si>
    <t>tt5834874</t>
  </si>
  <si>
    <t>Trigger Warning</t>
  </si>
  <si>
    <t>tt4685762</t>
  </si>
  <si>
    <t>The Craft: Legacy</t>
  </si>
  <si>
    <t>tt0297162</t>
  </si>
  <si>
    <t>Half Past Dead</t>
  </si>
  <si>
    <t>tt1087461</t>
  </si>
  <si>
    <t>Megan Is Missing</t>
  </si>
  <si>
    <t>tt5059406</t>
  </si>
  <si>
    <t>I Am the Pretty Thing That Lives in the House</t>
  </si>
  <si>
    <t>tt0106453</t>
  </si>
  <si>
    <t>Body of Evidence</t>
  </si>
  <si>
    <t>tt0358349</t>
  </si>
  <si>
    <t>Agent Cody Banks 2: Destination London</t>
  </si>
  <si>
    <t>tt0080391</t>
  </si>
  <si>
    <t>Attack of the Killer Tomatoes!</t>
  </si>
  <si>
    <t>Adventure, Comedy, Horror</t>
  </si>
  <si>
    <t>tt1552224</t>
  </si>
  <si>
    <t>Outcast</t>
  </si>
  <si>
    <t>tt10308928</t>
  </si>
  <si>
    <t>Force of Nature</t>
  </si>
  <si>
    <t>tt1142800</t>
  </si>
  <si>
    <t>Madea Goes to Jail</t>
  </si>
  <si>
    <t>tt0844671</t>
  </si>
  <si>
    <t>College</t>
  </si>
  <si>
    <t>tt15387058</t>
  </si>
  <si>
    <t>Choice</t>
  </si>
  <si>
    <t>tt3322892</t>
  </si>
  <si>
    <t>XX</t>
  </si>
  <si>
    <t>tt14145436</t>
  </si>
  <si>
    <t>Pet Sematary: Bloodlines</t>
  </si>
  <si>
    <t>tt0462229</t>
  </si>
  <si>
    <t>Code Name: The Cleaner</t>
  </si>
  <si>
    <t>tt0110329</t>
  </si>
  <si>
    <t>Leprechaun 2</t>
  </si>
  <si>
    <t>tt0092115</t>
  </si>
  <si>
    <t>Troll</t>
  </si>
  <si>
    <t>tt0486578</t>
  </si>
  <si>
    <t>First Sunday</t>
  </si>
  <si>
    <t>tt0103003</t>
  </si>
  <si>
    <t>Suburban Commando</t>
  </si>
  <si>
    <t>tt7238392</t>
  </si>
  <si>
    <t>Taxi 5</t>
  </si>
  <si>
    <t>tt0428251</t>
  </si>
  <si>
    <t>Venom</t>
  </si>
  <si>
    <t>tt14263856</t>
  </si>
  <si>
    <t>Last the Night</t>
  </si>
  <si>
    <t>tt0092534</t>
  </si>
  <si>
    <t>Allan Quatermain and the Lost City of Gold</t>
  </si>
  <si>
    <t>tt7638344</t>
  </si>
  <si>
    <t>Dhadak</t>
  </si>
  <si>
    <t>tt0130236</t>
  </si>
  <si>
    <t>Samurai Cop</t>
  </si>
  <si>
    <t>tt3458254</t>
  </si>
  <si>
    <t>Patient Zero</t>
  </si>
  <si>
    <t>tt11656220</t>
  </si>
  <si>
    <t>Midnight in the Switchgrass</t>
  </si>
  <si>
    <t>tt0109015</t>
  </si>
  <si>
    <t>3 Ninjas Kick Back</t>
  </si>
  <si>
    <t>tt4651410</t>
  </si>
  <si>
    <t>Precious Cargo</t>
  </si>
  <si>
    <t>Action, Comedy, Thriller</t>
  </si>
  <si>
    <t>tt0357277</t>
  </si>
  <si>
    <t>Elektra</t>
  </si>
  <si>
    <t>tt0426592</t>
  </si>
  <si>
    <t>Superhero Movie</t>
  </si>
  <si>
    <t>tt1608290</t>
  </si>
  <si>
    <t>Zoolander 2</t>
  </si>
  <si>
    <t>tt0110216</t>
  </si>
  <si>
    <t>Junior</t>
  </si>
  <si>
    <t>tt11755740</t>
  </si>
  <si>
    <t>Texas Chainsaw Massacre</t>
  </si>
  <si>
    <t>tt0831887</t>
  </si>
  <si>
    <t>The Spirit</t>
  </si>
  <si>
    <t>tt1075747</t>
  </si>
  <si>
    <t>Jonah Hex</t>
  </si>
  <si>
    <t>tt8426926</t>
  </si>
  <si>
    <t>Shamshera</t>
  </si>
  <si>
    <t>tt0367652</t>
  </si>
  <si>
    <t>Deuce Bigalow: European Gigolo</t>
  </si>
  <si>
    <t>tt1139668</t>
  </si>
  <si>
    <t>The Unborn</t>
  </si>
  <si>
    <t>tt0101917</t>
  </si>
  <si>
    <t>Freddy's Dead: The Final Nightmare</t>
  </si>
  <si>
    <t>tt0240515</t>
  </si>
  <si>
    <t>Freddy Got Fingered</t>
  </si>
  <si>
    <t>tt0091225</t>
  </si>
  <si>
    <t>Howard the Duck</t>
  </si>
  <si>
    <t>tt1407050</t>
  </si>
  <si>
    <t>American Pie Presents: The Book of Love</t>
  </si>
  <si>
    <t>tt0100050</t>
  </si>
  <si>
    <t>Look Who's Talking Too</t>
  </si>
  <si>
    <t>tt0240462</t>
  </si>
  <si>
    <t>Dr. Dolittle 2</t>
  </si>
  <si>
    <t>tt3181822</t>
  </si>
  <si>
    <t>The Boy Next Door</t>
  </si>
  <si>
    <t>Thriller</t>
  </si>
  <si>
    <t>tt1114677</t>
  </si>
  <si>
    <t>Hannah Montana: The Movie</t>
  </si>
  <si>
    <t>tt0113253</t>
  </si>
  <si>
    <t>Halloween: The Curse of Michael Myers</t>
  </si>
  <si>
    <t>tt2334871</t>
  </si>
  <si>
    <t>Snatched</t>
  </si>
  <si>
    <t>tt1714209</t>
  </si>
  <si>
    <t>In the Land of Blood and Honey</t>
  </si>
  <si>
    <t>Drama, Romance, War</t>
  </si>
  <si>
    <t>tt0366174</t>
  </si>
  <si>
    <t>Anacondas: The Hunt for the Blood Orchid</t>
  </si>
  <si>
    <t>tt7721800</t>
  </si>
  <si>
    <t>Bharat</t>
  </si>
  <si>
    <t>tt0361467</t>
  </si>
  <si>
    <t>Confessions of a Teenage Drama Queen</t>
  </si>
  <si>
    <t>tt0454919</t>
  </si>
  <si>
    <t>Pulse</t>
  </si>
  <si>
    <t>tt0454082</t>
  </si>
  <si>
    <t>tt0270980</t>
  </si>
  <si>
    <t>My Boss's Daughter</t>
  </si>
  <si>
    <t>tt13610562</t>
  </si>
  <si>
    <t>The Bubble</t>
  </si>
  <si>
    <t>tt1729637</t>
  </si>
  <si>
    <t>Bodyguard</t>
  </si>
  <si>
    <t>tt14482414</t>
  </si>
  <si>
    <t>Racket Boys</t>
  </si>
  <si>
    <t>Comedy, Drama, Sport</t>
  </si>
  <si>
    <t>tt14174940</t>
  </si>
  <si>
    <t>Interceptor</t>
  </si>
  <si>
    <t>tt13280476</t>
  </si>
  <si>
    <t>Sins of the Father</t>
  </si>
  <si>
    <t>tt13186604</t>
  </si>
  <si>
    <t>Uglies</t>
  </si>
  <si>
    <t>tt1603257</t>
  </si>
  <si>
    <t>ATM</t>
  </si>
  <si>
    <t>tt0114825</t>
  </si>
  <si>
    <t>Vampire in Brooklyn</t>
  </si>
  <si>
    <t>tt9682428</t>
  </si>
  <si>
    <t>Night Swim</t>
  </si>
  <si>
    <t>tt1340094</t>
  </si>
  <si>
    <t>The Crow</t>
  </si>
  <si>
    <t>tt0411705</t>
  </si>
  <si>
    <t>9 Songs</t>
  </si>
  <si>
    <t>tt2828996</t>
  </si>
  <si>
    <t>A Haunted House 2</t>
  </si>
  <si>
    <t>tt6199572</t>
  </si>
  <si>
    <t>Capone</t>
  </si>
  <si>
    <t>Biography, Crime, Drama</t>
  </si>
  <si>
    <t>tt9173418</t>
  </si>
  <si>
    <t>Brahms: The Boy II</t>
  </si>
  <si>
    <t>tt0095889</t>
  </si>
  <si>
    <t>Poltergeist III</t>
  </si>
  <si>
    <t>tt1935896</t>
  </si>
  <si>
    <t>The ABCs of Death</t>
  </si>
  <si>
    <t>tt0205271</t>
  </si>
  <si>
    <t>Dr. T &amp; the Women</t>
  </si>
  <si>
    <t>tt9067020</t>
  </si>
  <si>
    <t>The I-Land</t>
  </si>
  <si>
    <t>Adventure, Drama, Mystery</t>
  </si>
  <si>
    <t>tt1524575</t>
  </si>
  <si>
    <t>The Vatican Tapes</t>
  </si>
  <si>
    <t>tt10600398</t>
  </si>
  <si>
    <t>We Can Be Heroes</t>
  </si>
  <si>
    <t>Action, Animation, Comedy</t>
  </si>
  <si>
    <t>tt15012366</t>
  </si>
  <si>
    <t>The Empire</t>
  </si>
  <si>
    <t>tt2124787</t>
  </si>
  <si>
    <t>Final Girl</t>
  </si>
  <si>
    <t>tt8615822</t>
  </si>
  <si>
    <t>Occupation: Rainfall</t>
  </si>
  <si>
    <t>tt7545266</t>
  </si>
  <si>
    <t>Like a Boss</t>
  </si>
  <si>
    <t>tt11364772</t>
  </si>
  <si>
    <t>Kabzaa</t>
  </si>
  <si>
    <t>tt0246544</t>
  </si>
  <si>
    <t>The Musketeer</t>
  </si>
  <si>
    <t>Action, Adventure, Romance</t>
  </si>
  <si>
    <t>tt26658104</t>
  </si>
  <si>
    <t>Imaginary</t>
  </si>
  <si>
    <t>tt1300853</t>
  </si>
  <si>
    <t>Green Street Hooligans 2</t>
  </si>
  <si>
    <t>Crime, Drama, Sport</t>
  </si>
  <si>
    <t>tt5539054</t>
  </si>
  <si>
    <t>You Get Me</t>
  </si>
  <si>
    <t>tt0326769</t>
  </si>
  <si>
    <t>Biker Boyz</t>
  </si>
  <si>
    <t>tt0844993</t>
  </si>
  <si>
    <t>Hoodwinked Too! Hood vs. Evil</t>
  </si>
  <si>
    <t>tt0250310</t>
  </si>
  <si>
    <t>Corky Romano</t>
  </si>
  <si>
    <t>tt0106471</t>
  </si>
  <si>
    <t>Boxing Helena</t>
  </si>
  <si>
    <t>tt1117581</t>
  </si>
  <si>
    <t>Arena</t>
  </si>
  <si>
    <t>tt13070038</t>
  </si>
  <si>
    <t>After Ever Happy</t>
  </si>
  <si>
    <t>tt0433442</t>
  </si>
  <si>
    <t>The Return</t>
  </si>
  <si>
    <t>tt0093278</t>
  </si>
  <si>
    <t>Ishtar</t>
  </si>
  <si>
    <t>tt27785634</t>
  </si>
  <si>
    <t>Episode #1.1</t>
  </si>
  <si>
    <t>tt0156841</t>
  </si>
  <si>
    <t>The Next Best Thing</t>
  </si>
  <si>
    <t>tt0290212</t>
  </si>
  <si>
    <t>Full Frontal</t>
  </si>
  <si>
    <t>tt9026184</t>
  </si>
  <si>
    <t>Girl on the Third Floor</t>
  </si>
  <si>
    <t>tt0270707</t>
  </si>
  <si>
    <t>The Truth About Charlie</t>
  </si>
  <si>
    <t>tt13235822</t>
  </si>
  <si>
    <t>Umma</t>
  </si>
  <si>
    <t>tt0116671</t>
  </si>
  <si>
    <t>Jack Frost</t>
  </si>
  <si>
    <t>tt0119152</t>
  </si>
  <si>
    <t>Free Willy 3: The Rescue</t>
  </si>
  <si>
    <t>tt1815708</t>
  </si>
  <si>
    <t>Freelancers</t>
  </si>
  <si>
    <t>tt1385912</t>
  </si>
  <si>
    <t>I Can Do Bad All by Myself</t>
  </si>
  <si>
    <t>tt10023024</t>
  </si>
  <si>
    <t>Love Aaj Kal</t>
  </si>
  <si>
    <t>tt1391137</t>
  </si>
  <si>
    <t>Why Did I Get Married Too?</t>
  </si>
  <si>
    <t>tt1259571</t>
  </si>
  <si>
    <t>The Twilight Saga: New Moon</t>
  </si>
  <si>
    <t>Adventure, Drama, Fantasy</t>
  </si>
  <si>
    <t>tt1815862</t>
  </si>
  <si>
    <t>After Earth</t>
  </si>
  <si>
    <t>tt0130018</t>
  </si>
  <si>
    <t>I Still Know What You Did Last Summer</t>
  </si>
  <si>
    <t>tt0374536</t>
  </si>
  <si>
    <t>Bewitched</t>
  </si>
  <si>
    <t>Comedy, Fantasy, Romance</t>
  </si>
  <si>
    <t>tt0333780</t>
  </si>
  <si>
    <t>Legally Blonde 2: Red, White &amp; Blonde</t>
  </si>
  <si>
    <t>tt0255798</t>
  </si>
  <si>
    <t>The Animal</t>
  </si>
  <si>
    <t>tt1311067</t>
  </si>
  <si>
    <t>Halloween II</t>
  </si>
  <si>
    <t>tt1572315</t>
  </si>
  <si>
    <t>Texas Chainsaw</t>
  </si>
  <si>
    <t>tt0421729</t>
  </si>
  <si>
    <t>Big Momma's House 2</t>
  </si>
  <si>
    <t>tt0398913</t>
  </si>
  <si>
    <t>DOA: Dead or Alive</t>
  </si>
  <si>
    <t>Action, Adventure, Mystery</t>
  </si>
  <si>
    <t>tt3387542</t>
  </si>
  <si>
    <t>The Forest</t>
  </si>
  <si>
    <t>tt3291150</t>
  </si>
  <si>
    <t>The Expendables 4</t>
  </si>
  <si>
    <t>tt0089173</t>
  </si>
  <si>
    <t>Friday the 13th: A New Beginning</t>
  </si>
  <si>
    <t>tt0881891</t>
  </si>
  <si>
    <t>All About Steve</t>
  </si>
  <si>
    <t>tt12921446</t>
  </si>
  <si>
    <t>The Exorcist: Believer</t>
  </si>
  <si>
    <t>tt0452681</t>
  </si>
  <si>
    <t>The Santa Clause 3: The Escape Clause</t>
  </si>
  <si>
    <t>tt1265990</t>
  </si>
  <si>
    <t>The Roommate</t>
  </si>
  <si>
    <t>tt0211181</t>
  </si>
  <si>
    <t>102 Dalmatians</t>
  </si>
  <si>
    <t>tt4191580</t>
  </si>
  <si>
    <t>Meet the Blacks</t>
  </si>
  <si>
    <t>tt0119013</t>
  </si>
  <si>
    <t>Double Team</t>
  </si>
  <si>
    <t>tt0108308</t>
  </si>
  <si>
    <t>Teenage Mutant Ninja Turtles III</t>
  </si>
  <si>
    <t>tt3256226</t>
  </si>
  <si>
    <t>IO</t>
  </si>
  <si>
    <t>tt0419946</t>
  </si>
  <si>
    <t>The Marine</t>
  </si>
  <si>
    <t>tt0368578</t>
  </si>
  <si>
    <t>Are We There Yet?</t>
  </si>
  <si>
    <t>tt4986098</t>
  </si>
  <si>
    <t>The Titan</t>
  </si>
  <si>
    <t>tt0326856</t>
  </si>
  <si>
    <t>Envy</t>
  </si>
  <si>
    <t>tt0107387</t>
  </si>
  <si>
    <t>Leprechaun</t>
  </si>
  <si>
    <t>tt2339741</t>
  </si>
  <si>
    <t>The Woman in Black 2: Angel of Death</t>
  </si>
  <si>
    <t>tt0411951</t>
  </si>
  <si>
    <t>Tekken</t>
  </si>
  <si>
    <t>tt11514780</t>
  </si>
  <si>
    <t>Choose or Die</t>
  </si>
  <si>
    <t>tt0335121</t>
  </si>
  <si>
    <t>Godsend</t>
  </si>
  <si>
    <t>tt0231402</t>
  </si>
  <si>
    <t>Crocodile Dundee in Los Angeles</t>
  </si>
  <si>
    <t>tt14060094</t>
  </si>
  <si>
    <t>Blacklight</t>
  </si>
  <si>
    <t>tt14088510</t>
  </si>
  <si>
    <t>Tarot</t>
  </si>
  <si>
    <t>tt0104009</t>
  </si>
  <si>
    <t>Cool World</t>
  </si>
  <si>
    <t>tt0480271</t>
  </si>
  <si>
    <t>Van Wilder: The Rise of Taj</t>
  </si>
  <si>
    <t>tt2578802</t>
  </si>
  <si>
    <t>Remember the Monsters?</t>
  </si>
  <si>
    <t>tt12783454</t>
  </si>
  <si>
    <t>The Kissing Booth 3</t>
  </si>
  <si>
    <t>tt0467110</t>
  </si>
  <si>
    <t>Underdog</t>
  </si>
  <si>
    <t>tt1134854</t>
  </si>
  <si>
    <t>Survival of the Dead</t>
  </si>
  <si>
    <t>Comedy, Drama, Horror</t>
  </si>
  <si>
    <t>tt4244162</t>
  </si>
  <si>
    <t>Beta Test</t>
  </si>
  <si>
    <t>tt0872230</t>
  </si>
  <si>
    <t>My Soul to Take</t>
  </si>
  <si>
    <t>tt13069986</t>
  </si>
  <si>
    <t>After We Fell</t>
  </si>
  <si>
    <t>tt2784512</t>
  </si>
  <si>
    <t>Zombeavers</t>
  </si>
  <si>
    <t>tt2112131</t>
  </si>
  <si>
    <t>Fearless 2</t>
  </si>
  <si>
    <t>tt0134983</t>
  </si>
  <si>
    <t>Supernova</t>
  </si>
  <si>
    <t>tt0166276</t>
  </si>
  <si>
    <t>Monkeybone</t>
  </si>
  <si>
    <t>tt0144814</t>
  </si>
  <si>
    <t>The Rage: Carrie 2</t>
  </si>
  <si>
    <t>tt6394324</t>
  </si>
  <si>
    <t>Charmed</t>
  </si>
  <si>
    <t>Drama, Fantasy, Mystery</t>
  </si>
  <si>
    <t>tt15387030</t>
  </si>
  <si>
    <t>Day</t>
  </si>
  <si>
    <t>tt0086361</t>
  </si>
  <si>
    <t>Staying Alive</t>
  </si>
  <si>
    <t>tt0143808</t>
  </si>
  <si>
    <t>Pocahontas 2: Journey to a New World</t>
  </si>
  <si>
    <t>Adventure, Animation, Drama</t>
  </si>
  <si>
    <t>tt1801552</t>
  </si>
  <si>
    <t>Gotti</t>
  </si>
  <si>
    <t>tt1975159</t>
  </si>
  <si>
    <t>Flight 7500</t>
  </si>
  <si>
    <t>tt21307994</t>
  </si>
  <si>
    <t>Skinamarink</t>
  </si>
  <si>
    <t>tt4565520</t>
  </si>
  <si>
    <t>The Layover</t>
  </si>
  <si>
    <t>tt0484562</t>
  </si>
  <si>
    <t>The Seeker: The Dark Is Rising</t>
  </si>
  <si>
    <t>tt1935897</t>
  </si>
  <si>
    <t>Amityville: The Awakening</t>
  </si>
  <si>
    <t>tt8461224</t>
  </si>
  <si>
    <t>The Tax Collector</t>
  </si>
  <si>
    <t>tt0409011</t>
  </si>
  <si>
    <t>Lovewrecked</t>
  </si>
  <si>
    <t>Adventure, Comedy, Romance</t>
  </si>
  <si>
    <t>tt5689068</t>
  </si>
  <si>
    <t>Why We're Killing Gunther</t>
  </si>
  <si>
    <t>tt12004280</t>
  </si>
  <si>
    <t>Too Hot to Handle</t>
  </si>
  <si>
    <t>Documentary, Game-Show, Reality-TV</t>
  </si>
  <si>
    <t>tt0772193</t>
  </si>
  <si>
    <t>Primeval</t>
  </si>
  <si>
    <t>tt26926267</t>
  </si>
  <si>
    <t>Mother of the Bride</t>
  </si>
  <si>
    <t>tt2582500</t>
  </si>
  <si>
    <t>Shut In</t>
  </si>
  <si>
    <t>tt0108539</t>
  </si>
  <si>
    <t>Weekend at Bernie's II</t>
  </si>
  <si>
    <t>tt0283632</t>
  </si>
  <si>
    <t>They</t>
  </si>
  <si>
    <t>tt1576699</t>
  </si>
  <si>
    <t>Mirrors 2</t>
  </si>
  <si>
    <t>tt11950142</t>
  </si>
  <si>
    <t>Just Jen</t>
  </si>
  <si>
    <t>tt1705952</t>
  </si>
  <si>
    <t>Tarzan</t>
  </si>
  <si>
    <t>tt0120695</t>
  </si>
  <si>
    <t>From Dusk Till Dawn 3: The Hangman's Daughter</t>
  </si>
  <si>
    <t>Horror, Thriller, Western</t>
  </si>
  <si>
    <t>tt1780762</t>
  </si>
  <si>
    <t>Aftershock</t>
  </si>
  <si>
    <t>tt1319733</t>
  </si>
  <si>
    <t>Road Trip: Beer Pong</t>
  </si>
  <si>
    <t>tt1231287</t>
  </si>
  <si>
    <t>Labor Pains</t>
  </si>
  <si>
    <t>tt1132449</t>
  </si>
  <si>
    <t>Lay the Favorite</t>
  </si>
  <si>
    <t>tt1756851</t>
  </si>
  <si>
    <t>Twixt</t>
  </si>
  <si>
    <t>tt6843812</t>
  </si>
  <si>
    <t>Baaghi 2</t>
  </si>
  <si>
    <t>tt12592252</t>
  </si>
  <si>
    <t>Songbird</t>
  </si>
  <si>
    <t>tt5498354</t>
  </si>
  <si>
    <t>Horizon Line</t>
  </si>
  <si>
    <t>tt8075016</t>
  </si>
  <si>
    <t>The Courier</t>
  </si>
  <si>
    <t>tt3836512</t>
  </si>
  <si>
    <t>Ratter</t>
  </si>
  <si>
    <t>tt0160484</t>
  </si>
  <si>
    <t>Lost Souls</t>
  </si>
  <si>
    <t>tt0084814</t>
  </si>
  <si>
    <t>Trail of the Pink Panther</t>
  </si>
  <si>
    <t>tt5862166</t>
  </si>
  <si>
    <t>The Poison Rose</t>
  </si>
  <si>
    <t>tt0093608</t>
  </si>
  <si>
    <t>Nekromantik</t>
  </si>
  <si>
    <t>tt0094321</t>
  </si>
  <si>
    <t>Who's That Girl</t>
  </si>
  <si>
    <t>Comedy, Music, Romance</t>
  </si>
  <si>
    <t>tt4552524</t>
  </si>
  <si>
    <t>Jeruzalem</t>
  </si>
  <si>
    <t>tt2247692</t>
  </si>
  <si>
    <t>2016: Obama's America</t>
  </si>
  <si>
    <t>tt1945062</t>
  </si>
  <si>
    <t>About Cherry</t>
  </si>
  <si>
    <t>tt0119214</t>
  </si>
  <si>
    <t>Gone Fishin'</t>
  </si>
  <si>
    <t>tt1407049</t>
  </si>
  <si>
    <t>Altitude</t>
  </si>
  <si>
    <t>tt4157728</t>
  </si>
  <si>
    <t>The Last Boy</t>
  </si>
  <si>
    <t>Fantasy, Mystery, Sci-Fi</t>
  </si>
  <si>
    <t>tt0267248</t>
  </si>
  <si>
    <t>Abandon</t>
  </si>
  <si>
    <t>tt7838536</t>
  </si>
  <si>
    <t>Awoken</t>
  </si>
  <si>
    <t>tt0100475</t>
  </si>
  <si>
    <t>Repossessed</t>
  </si>
  <si>
    <t>tt1324999</t>
  </si>
  <si>
    <t>The Twilight Saga: Breaking Dawn - Part 1</t>
  </si>
  <si>
    <t>tt0120891</t>
  </si>
  <si>
    <t>Wild Wild West</t>
  </si>
  <si>
    <t>tt0305357</t>
  </si>
  <si>
    <t>Charlie's Angels: Full Throttle</t>
  </si>
  <si>
    <t>tt0118615</t>
  </si>
  <si>
    <t>Anaconda</t>
  </si>
  <si>
    <t>tt3605418</t>
  </si>
  <si>
    <t>Knock Knock</t>
  </si>
  <si>
    <t>tt1045778</t>
  </si>
  <si>
    <t>Year One</t>
  </si>
  <si>
    <t>tt1320261</t>
  </si>
  <si>
    <t>Gulliver's Travels</t>
  </si>
  <si>
    <t>tt1273235</t>
  </si>
  <si>
    <t>A Serbian Film</t>
  </si>
  <si>
    <t>tt0938330</t>
  </si>
  <si>
    <t>Silent Hill: Revelation</t>
  </si>
  <si>
    <t>tt1093357</t>
  </si>
  <si>
    <t>The Darkest Hour</t>
  </si>
  <si>
    <t>tt1029360</t>
  </si>
  <si>
    <t>Poltergeist</t>
  </si>
  <si>
    <t>tt0983946</t>
  </si>
  <si>
    <t>Fantasy Island</t>
  </si>
  <si>
    <t>tt0228333</t>
  </si>
  <si>
    <t>Ghosts of Mars</t>
  </si>
  <si>
    <t>tt19768024</t>
  </si>
  <si>
    <t>Indian Police Force</t>
  </si>
  <si>
    <t>tt2103254</t>
  </si>
  <si>
    <t>Tammy</t>
  </si>
  <si>
    <t>tt2479478</t>
  </si>
  <si>
    <t>The Ridiculous 6</t>
  </si>
  <si>
    <t>tt0400497</t>
  </si>
  <si>
    <t>Herbie Fully Loaded</t>
  </si>
  <si>
    <t>tt0387575</t>
  </si>
  <si>
    <t>Seed of Chucky</t>
  </si>
  <si>
    <t>tt0097474</t>
  </si>
  <si>
    <t>Halloween 5: The Revenge of Michael Myers</t>
  </si>
  <si>
    <t>tt1562871</t>
  </si>
  <si>
    <t>Ra.One</t>
  </si>
  <si>
    <t>tt0104437</t>
  </si>
  <si>
    <t>Honey, I Blew Up the Kid</t>
  </si>
  <si>
    <t>tt12785720</t>
  </si>
  <si>
    <t>The Witcher: Blood Origin</t>
  </si>
  <si>
    <t>tt0265087</t>
  </si>
  <si>
    <t>Black Knight</t>
  </si>
  <si>
    <t>tt1314228</t>
  </si>
  <si>
    <t>Did You Hear About the Morgans?</t>
  </si>
  <si>
    <t>tt1366365</t>
  </si>
  <si>
    <t>The Cold Light of Day</t>
  </si>
  <si>
    <t>tt0219653</t>
  </si>
  <si>
    <t>Dracula 2000</t>
  </si>
  <si>
    <t>tt0118747</t>
  </si>
  <si>
    <t>Blues Brothers 2000</t>
  </si>
  <si>
    <t>tt0285462</t>
  </si>
  <si>
    <t>Boat Trip</t>
  </si>
  <si>
    <t>tt0242998</t>
  </si>
  <si>
    <t>Valentine</t>
  </si>
  <si>
    <t>tt1193516</t>
  </si>
  <si>
    <t>Recep Ivedik</t>
  </si>
  <si>
    <t>tt11497716</t>
  </si>
  <si>
    <t>The Legend</t>
  </si>
  <si>
    <t>tt4154858</t>
  </si>
  <si>
    <t>Inhumans</t>
  </si>
  <si>
    <t>tt1452628</t>
  </si>
  <si>
    <t>Vanishing on 7th Street</t>
  </si>
  <si>
    <t>tt10418662</t>
  </si>
  <si>
    <t>Awake</t>
  </si>
  <si>
    <t>tt0363282</t>
  </si>
  <si>
    <t>New York Minute</t>
  </si>
  <si>
    <t>Adventure, Comedy, Crime</t>
  </si>
  <si>
    <t>tt24517830</t>
  </si>
  <si>
    <t>Bad Newz</t>
  </si>
  <si>
    <t>tt0102719</t>
  </si>
  <si>
    <t>Problem Child 2</t>
  </si>
  <si>
    <t>tt0105128</t>
  </si>
  <si>
    <t>Pet Sematary II</t>
  </si>
  <si>
    <t>tt2974918</t>
  </si>
  <si>
    <t>Alvin and the Chipmunks: The Road Chip</t>
  </si>
  <si>
    <t>tt13029044</t>
  </si>
  <si>
    <t>Mother/Android</t>
  </si>
  <si>
    <t>tt14042066</t>
  </si>
  <si>
    <t>Dobaaraa</t>
  </si>
  <si>
    <t>tt1179817</t>
  </si>
  <si>
    <t>The Secret Life of the American Teenager</t>
  </si>
  <si>
    <t>tt8150814</t>
  </si>
  <si>
    <t>There's Someone Inside Your House</t>
  </si>
  <si>
    <t>tt1708532</t>
  </si>
  <si>
    <t>Ready</t>
  </si>
  <si>
    <t>tt0315824</t>
  </si>
  <si>
    <t>The Big Bounce</t>
  </si>
  <si>
    <t>tt2386237</t>
  </si>
  <si>
    <t>Malevolent</t>
  </si>
  <si>
    <t>tt0865554</t>
  </si>
  <si>
    <t>The Informers</t>
  </si>
  <si>
    <t>tt0811106</t>
  </si>
  <si>
    <t>The Ten</t>
  </si>
  <si>
    <t>tt0330099</t>
  </si>
  <si>
    <t>The Brown Bunny</t>
  </si>
  <si>
    <t>tt0120724</t>
  </si>
  <si>
    <t>Knock Off</t>
  </si>
  <si>
    <t>tt1911662</t>
  </si>
  <si>
    <t>Vehicle 19</t>
  </si>
  <si>
    <t>tt1653690</t>
  </si>
  <si>
    <t>Ong Bak 3</t>
  </si>
  <si>
    <t>tt0274546</t>
  </si>
  <si>
    <t>Hellraiser: Hellseeker</t>
  </si>
  <si>
    <t>tt11240506</t>
  </si>
  <si>
    <t>Nobody Sleeps in the Woods Tonight</t>
  </si>
  <si>
    <t>tt2193265</t>
  </si>
  <si>
    <t>Welcome to the Jungle</t>
  </si>
  <si>
    <t>tt4558376</t>
  </si>
  <si>
    <t>Downhill</t>
  </si>
  <si>
    <t>tt1785635</t>
  </si>
  <si>
    <t>The Vault</t>
  </si>
  <si>
    <t>tt0162983</t>
  </si>
  <si>
    <t>Hanging Up</t>
  </si>
  <si>
    <t>tt0132910</t>
  </si>
  <si>
    <t>The Crow: Salvation</t>
  </si>
  <si>
    <t>tt0389328</t>
  </si>
  <si>
    <t>Rise: Blood Hunter</t>
  </si>
  <si>
    <t>Action, Crime, Horror</t>
  </si>
  <si>
    <t>tt0476958</t>
  </si>
  <si>
    <t>Amusement</t>
  </si>
  <si>
    <t>tt2070862</t>
  </si>
  <si>
    <t>Temptation: Confessions of a Marriage Counselor</t>
  </si>
  <si>
    <t>tt16437278</t>
  </si>
  <si>
    <t>The Strays</t>
  </si>
  <si>
    <t>tt3082898</t>
  </si>
  <si>
    <t>Kickboxer: Vengeance</t>
  </si>
  <si>
    <t>tt0306734</t>
  </si>
  <si>
    <t>The Divorce</t>
  </si>
  <si>
    <t>tt1918734</t>
  </si>
  <si>
    <t>Mystery, Sci-Fi</t>
  </si>
  <si>
    <t>tt7394816</t>
  </si>
  <si>
    <t>Primal</t>
  </si>
  <si>
    <t>tt5215088</t>
  </si>
  <si>
    <t>A.I. Rising</t>
  </si>
  <si>
    <t>Drama, Romance, Sci-Fi</t>
  </si>
  <si>
    <t>tt5075662</t>
  </si>
  <si>
    <t>The Isle</t>
  </si>
  <si>
    <t>Fantasy, Mystery, Thriller</t>
  </si>
  <si>
    <t>tt4559046</t>
  </si>
  <si>
    <t>Housefull 3</t>
  </si>
  <si>
    <t>tt1268987</t>
  </si>
  <si>
    <t>Operation: Endgame</t>
  </si>
  <si>
    <t>tt0377309</t>
  </si>
  <si>
    <t>Survival Island</t>
  </si>
  <si>
    <t>tt0463398</t>
  </si>
  <si>
    <t>Dancing with the Stars</t>
  </si>
  <si>
    <t>Family, Music, Reality-TV</t>
  </si>
  <si>
    <t>tt2318527</t>
  </si>
  <si>
    <t>Hell Baby</t>
  </si>
  <si>
    <t>tt0949731</t>
  </si>
  <si>
    <t>The Happening</t>
  </si>
  <si>
    <t>tt0109813</t>
  </si>
  <si>
    <t>The Flintstones</t>
  </si>
  <si>
    <t>tt9224104</t>
  </si>
  <si>
    <t>Meg 2: The Trench</t>
  </si>
  <si>
    <t>tt0171363</t>
  </si>
  <si>
    <t>The Haunting</t>
  </si>
  <si>
    <t>tt5033998</t>
  </si>
  <si>
    <t>Charlie's Angels</t>
  </si>
  <si>
    <t>tt0436058</t>
  </si>
  <si>
    <t>American Pie Presents: Band Camp</t>
  </si>
  <si>
    <t>tt0086393</t>
  </si>
  <si>
    <t>Superman III</t>
  </si>
  <si>
    <t>tt10665342</t>
  </si>
  <si>
    <t>Halloween Ends</t>
  </si>
  <si>
    <t>tt1991245</t>
  </si>
  <si>
    <t>Chernobyl Diaries</t>
  </si>
  <si>
    <t>tt0962726</t>
  </si>
  <si>
    <t>High School Musical 3: Senior Year</t>
  </si>
  <si>
    <t>tt0097981</t>
  </si>
  <si>
    <t>A Nightmare on Elm Street: The Dream Child</t>
  </si>
  <si>
    <t>tt2243537</t>
  </si>
  <si>
    <t>A Haunted House</t>
  </si>
  <si>
    <t>tt1540011</t>
  </si>
  <si>
    <t>Blair Witch</t>
  </si>
  <si>
    <t>tt0808510</t>
  </si>
  <si>
    <t>Tooth Fairy</t>
  </si>
  <si>
    <t>tt0455499</t>
  </si>
  <si>
    <t>Garfield: A Tail of Two Kitties</t>
  </si>
  <si>
    <t>tt0093756</t>
  </si>
  <si>
    <t>Police Academy 4: Citizens on Patrol</t>
  </si>
  <si>
    <t>tt2473682</t>
  </si>
  <si>
    <t>Paranormal Activity: The Marked Ones</t>
  </si>
  <si>
    <t>tt2637294</t>
  </si>
  <si>
    <t>Hot Tub Time Machine 2</t>
  </si>
  <si>
    <t>Comedy, Mystery, Sci-Fi</t>
  </si>
  <si>
    <t>tt2461132</t>
  </si>
  <si>
    <t>Happy New Year</t>
  </si>
  <si>
    <t>tt1649444</t>
  </si>
  <si>
    <t>[REC] 3: Genesis</t>
  </si>
  <si>
    <t>tt10699086</t>
  </si>
  <si>
    <t>Bachchhan Paandey</t>
  </si>
  <si>
    <t>tt0097138</t>
  </si>
  <si>
    <t>Cyborg</t>
  </si>
  <si>
    <t>tt1198138</t>
  </si>
  <si>
    <t>Obsessed</t>
  </si>
  <si>
    <t>tt0441796</t>
  </si>
  <si>
    <t>Stay Alive</t>
  </si>
  <si>
    <t>tt0282209</t>
  </si>
  <si>
    <t>Darkness Falls</t>
  </si>
  <si>
    <t>tt0061452</t>
  </si>
  <si>
    <t>Casino Royale</t>
  </si>
  <si>
    <t>tt1754730</t>
  </si>
  <si>
    <t>The Way to Paradise</t>
  </si>
  <si>
    <t>tt9691136</t>
  </si>
  <si>
    <t>Shadow in the Cloud</t>
  </si>
  <si>
    <t>Action, Horror, War</t>
  </si>
  <si>
    <t>tt7329656</t>
  </si>
  <si>
    <t>47 Meters Down: Uncaged</t>
  </si>
  <si>
    <t>Adventure, Drama, Horror</t>
  </si>
  <si>
    <t>tt26932223</t>
  </si>
  <si>
    <t>Bhool Bhulaiyaa 3</t>
  </si>
  <si>
    <t>tt0120458</t>
  </si>
  <si>
    <t>Virus</t>
  </si>
  <si>
    <t>tt0106375</t>
  </si>
  <si>
    <t>Beethoven's 2nd</t>
  </si>
  <si>
    <t>tt0437179</t>
  </si>
  <si>
    <t>See No Evil</t>
  </si>
  <si>
    <t>tt27729779</t>
  </si>
  <si>
    <t>The Platform 2</t>
  </si>
  <si>
    <t>tt2620590</t>
  </si>
  <si>
    <t>Leatherface</t>
  </si>
  <si>
    <t>tt0429573</t>
  </si>
  <si>
    <t>An American Haunting</t>
  </si>
  <si>
    <t>tt2401807</t>
  </si>
  <si>
    <t>Rage</t>
  </si>
  <si>
    <t>tt0331468</t>
  </si>
  <si>
    <t>Cold Creek Manor</t>
  </si>
  <si>
    <t>tt0430770</t>
  </si>
  <si>
    <t>The Women</t>
  </si>
  <si>
    <t>tt0360556</t>
  </si>
  <si>
    <t>Fahrenheit 451</t>
  </si>
  <si>
    <t>tt1151922</t>
  </si>
  <si>
    <t>Miss March</t>
  </si>
  <si>
    <t>tt1766094</t>
  </si>
  <si>
    <t>So Undercover</t>
  </si>
  <si>
    <t>tt1742650</t>
  </si>
  <si>
    <t>I Don't Know How She Does It</t>
  </si>
  <si>
    <t>tt0120701</t>
  </si>
  <si>
    <t>Holy Man</t>
  </si>
  <si>
    <t>tt1188982</t>
  </si>
  <si>
    <t>Jai Ho</t>
  </si>
  <si>
    <t>tt0099994</t>
  </si>
  <si>
    <t>Leatherface: Texas Chainsaw Massacre III</t>
  </si>
  <si>
    <t>tt2923316</t>
  </si>
  <si>
    <t>American Heist</t>
  </si>
  <si>
    <t>tt0119310</t>
  </si>
  <si>
    <t>Honey, We Shrunk Ourselves!</t>
  </si>
  <si>
    <t>tt1016075</t>
  </si>
  <si>
    <t>Fame</t>
  </si>
  <si>
    <t>Drama, Musical, Romance</t>
  </si>
  <si>
    <t>tt2960930</t>
  </si>
  <si>
    <t>Extraterrestrial</t>
  </si>
  <si>
    <t>Action, Horror, Mystery</t>
  </si>
  <si>
    <t>tt0411475</t>
  </si>
  <si>
    <t>Hell Ride</t>
  </si>
  <si>
    <t>tt0120662</t>
  </si>
  <si>
    <t>Eye of the Beholder</t>
  </si>
  <si>
    <t>tt0186975</t>
  </si>
  <si>
    <t>Down to You</t>
  </si>
  <si>
    <t>tt2072230</t>
  </si>
  <si>
    <t>Attack on Titan Part 1</t>
  </si>
  <si>
    <t>tt0110123</t>
  </si>
  <si>
    <t>In the Army Now</t>
  </si>
  <si>
    <t>Comedy, War</t>
  </si>
  <si>
    <t>tt1661326</t>
  </si>
  <si>
    <t>Shake It Up</t>
  </si>
  <si>
    <t>tt1319743</t>
  </si>
  <si>
    <t>Smokin' Aces 2: Assassins' Ball</t>
  </si>
  <si>
    <t>tt0291082</t>
  </si>
  <si>
    <t>Cinderella II: Dreams Come True</t>
  </si>
  <si>
    <t>Animation, Family, Fantasy</t>
  </si>
  <si>
    <t>tt0239949</t>
  </si>
  <si>
    <t>Say It Isn't So</t>
  </si>
  <si>
    <t>tt1646926</t>
  </si>
  <si>
    <t>Open Season 3</t>
  </si>
  <si>
    <t>tt0099697</t>
  </si>
  <si>
    <t>Graveyard Shift</t>
  </si>
  <si>
    <t>tt0086129</t>
  </si>
  <si>
    <t>Porky's II: The Next Day</t>
  </si>
  <si>
    <t>tt0120390</t>
  </si>
  <si>
    <t>Turbulence</t>
  </si>
  <si>
    <t>tt1403988</t>
  </si>
  <si>
    <t>The Romantics</t>
  </si>
  <si>
    <t>tt5884234</t>
  </si>
  <si>
    <t>First Kill</t>
  </si>
  <si>
    <t>tt2205401</t>
  </si>
  <si>
    <t>Addicted</t>
  </si>
  <si>
    <t>tt12547822</t>
  </si>
  <si>
    <t>Run Rabbit Run</t>
  </si>
  <si>
    <t>tt3038708</t>
  </si>
  <si>
    <t>Iron Sky: The Coming Race</t>
  </si>
  <si>
    <t>tt1757742</t>
  </si>
  <si>
    <t>Apartment 143</t>
  </si>
  <si>
    <t>tt0117283</t>
  </si>
  <si>
    <t>The Pallbearer</t>
  </si>
  <si>
    <t>tt0344864</t>
  </si>
  <si>
    <t>Atlantis: Milo's Return</t>
  </si>
  <si>
    <t>tt2215285</t>
  </si>
  <si>
    <t>Madea's Witness Protection</t>
  </si>
  <si>
    <t>tt6536562</t>
  </si>
  <si>
    <t>Payitaht AbdÃ¼lhamid</t>
  </si>
  <si>
    <t>tt0804507</t>
  </si>
  <si>
    <t>Mother of Tears</t>
  </si>
  <si>
    <t>tt9815554</t>
  </si>
  <si>
    <t>Not to Forget</t>
  </si>
  <si>
    <t>tt0401815</t>
  </si>
  <si>
    <t>Tamara</t>
  </si>
  <si>
    <t>tt1578882</t>
  </si>
  <si>
    <t>Elephant White</t>
  </si>
  <si>
    <t>tt1427298</t>
  </si>
  <si>
    <t>The Human Race</t>
  </si>
  <si>
    <t>tt1806913</t>
  </si>
  <si>
    <t>Golmaal Again</t>
  </si>
  <si>
    <t>tt6421110</t>
  </si>
  <si>
    <t>Proud Mary</t>
  </si>
  <si>
    <t>tt1033483</t>
  </si>
  <si>
    <t>Kandisha</t>
  </si>
  <si>
    <t>tt1929308</t>
  </si>
  <si>
    <t>Magic Magic</t>
  </si>
  <si>
    <t>tt20879602</t>
  </si>
  <si>
    <t>Maybe I Do</t>
  </si>
  <si>
    <t>tt1325004</t>
  </si>
  <si>
    <t>The Twilight Saga: Eclipse</t>
  </si>
  <si>
    <t>tt5108870</t>
  </si>
  <si>
    <t>Morbius</t>
  </si>
  <si>
    <t>tt0443649</t>
  </si>
  <si>
    <t>10,000 BC</t>
  </si>
  <si>
    <t>tt0449010</t>
  </si>
  <si>
    <t>Eragon</t>
  </si>
  <si>
    <t>tt0362120</t>
  </si>
  <si>
    <t>Scary Movie 4</t>
  </si>
  <si>
    <t>tt1956620</t>
  </si>
  <si>
    <t>Sex Tape</t>
  </si>
  <si>
    <t>tt1144884</t>
  </si>
  <si>
    <t>The Final Destination</t>
  </si>
  <si>
    <t>tt5834426</t>
  </si>
  <si>
    <t>Moonfall</t>
  </si>
  <si>
    <t>tt0356634</t>
  </si>
  <si>
    <t>Garfield: The Movie</t>
  </si>
  <si>
    <t>tt1418377</t>
  </si>
  <si>
    <t>I, Frankenstein</t>
  </si>
  <si>
    <t>tt1600195</t>
  </si>
  <si>
    <t>Abduction</t>
  </si>
  <si>
    <t>Action, Drama, Mystery</t>
  </si>
  <si>
    <t>tt0377818</t>
  </si>
  <si>
    <t>The Dukes of Hazzard</t>
  </si>
  <si>
    <t>tt0114436</t>
  </si>
  <si>
    <t>Showgirls</t>
  </si>
  <si>
    <t>tt0808146</t>
  </si>
  <si>
    <t>American Pie Presents: The Naked Mile</t>
  </si>
  <si>
    <t>tt0800069</t>
  </si>
  <si>
    <t>The Hills Have Eyes 2</t>
  </si>
  <si>
    <t>tt5246700</t>
  </si>
  <si>
    <t>How It Ends</t>
  </si>
  <si>
    <t>tt0382992</t>
  </si>
  <si>
    <t>Stealth</t>
  </si>
  <si>
    <t>tt2967224</t>
  </si>
  <si>
    <t>Hot Pursuit</t>
  </si>
  <si>
    <t>tt0433386</t>
  </si>
  <si>
    <t>The Grudge 2</t>
  </si>
  <si>
    <t>tt0436339</t>
  </si>
  <si>
    <t>G-Force</t>
  </si>
  <si>
    <t>tt1480656</t>
  </si>
  <si>
    <t>Cosmopolis</t>
  </si>
  <si>
    <t>tt0455857</t>
  </si>
  <si>
    <t>When a Stranger Calls</t>
  </si>
  <si>
    <t>tt0089893</t>
  </si>
  <si>
    <t>Red Sonja</t>
  </si>
  <si>
    <t>tt0765476</t>
  </si>
  <si>
    <t>Meet Dave</t>
  </si>
  <si>
    <t>tt4593060</t>
  </si>
  <si>
    <t>Pinocchio</t>
  </si>
  <si>
    <t>tt0402901</t>
  </si>
  <si>
    <t>The Cave</t>
  </si>
  <si>
    <t>Adventure, Horror, Sci-Fi</t>
  </si>
  <si>
    <t>tt14309446</t>
  </si>
  <si>
    <t>Me Time</t>
  </si>
  <si>
    <t>tt0204313</t>
  </si>
  <si>
    <t>Exorcist: The Beginning</t>
  </si>
  <si>
    <t>tt10362466</t>
  </si>
  <si>
    <t>After We Collided</t>
  </si>
  <si>
    <t>tt4535650</t>
  </si>
  <si>
    <t>Dilwale</t>
  </si>
  <si>
    <t>tt0313911</t>
  </si>
  <si>
    <t>Agent Cody Banks</t>
  </si>
  <si>
    <t>tt0117331</t>
  </si>
  <si>
    <t>The Phantom</t>
  </si>
  <si>
    <t>tt0257516</t>
  </si>
  <si>
    <t>Cursed</t>
  </si>
  <si>
    <t>tt0108162</t>
  </si>
  <si>
    <t>Sliver</t>
  </si>
  <si>
    <t>tt0105629</t>
  </si>
  <si>
    <t>Toys</t>
  </si>
  <si>
    <t>tt0383010</t>
  </si>
  <si>
    <t>The Three Stooges</t>
  </si>
  <si>
    <t>tt0790604</t>
  </si>
  <si>
    <t>Deck the Halls</t>
  </si>
  <si>
    <t>tt1232783</t>
  </si>
  <si>
    <t>Sorority Row</t>
  </si>
  <si>
    <t>tt9419056</t>
  </si>
  <si>
    <t>The Unholy</t>
  </si>
  <si>
    <t>tt0361620</t>
  </si>
  <si>
    <t>First Daughter</t>
  </si>
  <si>
    <t>tt2231554</t>
  </si>
  <si>
    <t>Grave Encounters 2</t>
  </si>
  <si>
    <t>tt0102558</t>
  </si>
  <si>
    <t>Nothing But Trouble</t>
  </si>
  <si>
    <t>tt0100240</t>
  </si>
  <si>
    <t>The NeverEnding Story II: The Next Chapter</t>
  </si>
  <si>
    <t>tt0118604</t>
  </si>
  <si>
    <t>An American Werewolf in Paris</t>
  </si>
  <si>
    <t>tt0457495</t>
  </si>
  <si>
    <t>Stormbreaker</t>
  </si>
  <si>
    <t>tt0116514</t>
  </si>
  <si>
    <t>Hellraiser: Bloodline</t>
  </si>
  <si>
    <t>tt0097368</t>
  </si>
  <si>
    <t>The Fly II</t>
  </si>
  <si>
    <t>tt6836936</t>
  </si>
  <si>
    <t>Saaho</t>
  </si>
  <si>
    <t>tt23900194</t>
  </si>
  <si>
    <t>Harry &amp; Meghan</t>
  </si>
  <si>
    <t>Biography, Documentary</t>
  </si>
  <si>
    <t>tt3835080</t>
  </si>
  <si>
    <t>tt5322012</t>
  </si>
  <si>
    <t>Wish Upon</t>
  </si>
  <si>
    <t>tt15387022</t>
  </si>
  <si>
    <t>Revenge/Justice</t>
  </si>
  <si>
    <t>tt5997666</t>
  </si>
  <si>
    <t>Jab Harry Met Sejal</t>
  </si>
  <si>
    <t>tt15441054</t>
  </si>
  <si>
    <t>Gadar 2</t>
  </si>
  <si>
    <t>tt5360952</t>
  </si>
  <si>
    <t>The Hurricane Heist</t>
  </si>
  <si>
    <t>tt1659343</t>
  </si>
  <si>
    <t>Universal Soldier: Day of Reckoning</t>
  </si>
  <si>
    <t>tt0283026</t>
  </si>
  <si>
    <t>Swimfan</t>
  </si>
  <si>
    <t>tt2235779</t>
  </si>
  <si>
    <t>The Quiet Ones</t>
  </si>
  <si>
    <t>tt1020885</t>
  </si>
  <si>
    <t>Vampire Killers</t>
  </si>
  <si>
    <t>Action, Comedy, Fantasy</t>
  </si>
  <si>
    <t>tt0106400</t>
  </si>
  <si>
    <t>The Beverly Hillbillies</t>
  </si>
  <si>
    <t>tt0113114</t>
  </si>
  <si>
    <t>Free Willy 2: The Adventure Home</t>
  </si>
  <si>
    <t>tt1945084</t>
  </si>
  <si>
    <t>Everly</t>
  </si>
  <si>
    <t>tt0119123</t>
  </si>
  <si>
    <t>Fire Down Below</t>
  </si>
  <si>
    <t>tt4196566</t>
  </si>
  <si>
    <t>The Deliverance</t>
  </si>
  <si>
    <t>tt0120596</t>
  </si>
  <si>
    <t>The Bachelor</t>
  </si>
  <si>
    <t>tt1391034</t>
  </si>
  <si>
    <t>And Soon the Darkness</t>
  </si>
  <si>
    <t>tt0304711</t>
  </si>
  <si>
    <t>The Order</t>
  </si>
  <si>
    <t>tt1535612</t>
  </si>
  <si>
    <t>The Son of No One</t>
  </si>
  <si>
    <t>tt7805960</t>
  </si>
  <si>
    <t>Torbaaz</t>
  </si>
  <si>
    <t>tt0107478</t>
  </si>
  <si>
    <t>Made in America</t>
  </si>
  <si>
    <t>tt0087032</t>
  </si>
  <si>
    <t>Cannonball Run II</t>
  </si>
  <si>
    <t>tt10128846</t>
  </si>
  <si>
    <t>Megalopolis</t>
  </si>
  <si>
    <t>Drama, Fantasy, Sci-Fi</t>
  </si>
  <si>
    <t>tt3462710</t>
  </si>
  <si>
    <t>Unforgettable</t>
  </si>
  <si>
    <t>tt9134216</t>
  </si>
  <si>
    <t>Playing with Fire</t>
  </si>
  <si>
    <t>tt0234829</t>
  </si>
  <si>
    <t>Summer Catch</t>
  </si>
  <si>
    <t>tt22504924</t>
  </si>
  <si>
    <t>No War</t>
  </si>
  <si>
    <t>Action, Drama, Short</t>
  </si>
  <si>
    <t>tt4530884</t>
  </si>
  <si>
    <t>I Spit on Your Grave: Vengeance Is Mine</t>
  </si>
  <si>
    <t>tt1013860</t>
  </si>
  <si>
    <t>Dylan Dog: Dead of Night</t>
  </si>
  <si>
    <t>tt0093857</t>
  </si>
  <si>
    <t>Revenge of the Nerds II: Nerds in Paradise</t>
  </si>
  <si>
    <t>tt0163983</t>
  </si>
  <si>
    <t>Bless the Child</t>
  </si>
  <si>
    <t>tt1213012</t>
  </si>
  <si>
    <t>Alpha and Omega</t>
  </si>
  <si>
    <t>tt1276434</t>
  </si>
  <si>
    <t>Van Wilder: Freshman Year</t>
  </si>
  <si>
    <t>tt2409818</t>
  </si>
  <si>
    <t>Open Windows</t>
  </si>
  <si>
    <t>tt3622110</t>
  </si>
  <si>
    <t>Don't Knock Twice</t>
  </si>
  <si>
    <t>tt2372251</t>
  </si>
  <si>
    <t>Down a Dark Hall</t>
  </si>
  <si>
    <t>tt2948790</t>
  </si>
  <si>
    <t>Return to Sender</t>
  </si>
  <si>
    <t>tt0120764</t>
  </si>
  <si>
    <t>My Favorite Martian</t>
  </si>
  <si>
    <t>tt0455362</t>
  </si>
  <si>
    <t>The Breed</t>
  </si>
  <si>
    <t>tt0972785</t>
  </si>
  <si>
    <t>Bring It On: In It to Win It</t>
  </si>
  <si>
    <t>tt0449086</t>
  </si>
  <si>
    <t>Dominion: Prequel to the Exorcist</t>
  </si>
  <si>
    <t>tt0265808</t>
  </si>
  <si>
    <t>Stealing Harvard</t>
  </si>
  <si>
    <t>tt0365125</t>
  </si>
  <si>
    <t>A Dirty Shame</t>
  </si>
  <si>
    <t>tt2885364</t>
  </si>
  <si>
    <t>Willow Creek</t>
  </si>
  <si>
    <t>tt15387054</t>
  </si>
  <si>
    <t>Teach/Corrupt</t>
  </si>
  <si>
    <t>tt10698174</t>
  </si>
  <si>
    <t>Wolf</t>
  </si>
  <si>
    <t>tt2091478</t>
  </si>
  <si>
    <t>Air</t>
  </si>
  <si>
    <t>tt6495770</t>
  </si>
  <si>
    <t>Action Point</t>
  </si>
  <si>
    <t>tt2571140</t>
  </si>
  <si>
    <t>Boss</t>
  </si>
  <si>
    <t>tt6210996</t>
  </si>
  <si>
    <t>10x10</t>
  </si>
  <si>
    <t>tt13429362</t>
  </si>
  <si>
    <t>In the Earth</t>
  </si>
  <si>
    <t>tt4419364</t>
  </si>
  <si>
    <t>Holidays</t>
  </si>
  <si>
    <t>tt0979434</t>
  </si>
  <si>
    <t>Lottery Ticket</t>
  </si>
  <si>
    <t>tt2690138</t>
  </si>
  <si>
    <t>The D Train</t>
  </si>
  <si>
    <t>tt22743064</t>
  </si>
  <si>
    <t>Yaariyan 2</t>
  </si>
  <si>
    <t>tt0082700</t>
  </si>
  <si>
    <t>Cannibal Ferox</t>
  </si>
  <si>
    <t>tt0219952</t>
  </si>
  <si>
    <t>Lucky Numbers</t>
  </si>
  <si>
    <t>tt0393635</t>
  </si>
  <si>
    <t>Reeker</t>
  </si>
  <si>
    <t>tt1076252</t>
  </si>
  <si>
    <t>Picture This</t>
  </si>
  <si>
    <t>tt11210390</t>
  </si>
  <si>
    <t>Asterix &amp; Obelix: The Middle Kingdom</t>
  </si>
  <si>
    <t>tt1504403</t>
  </si>
  <si>
    <t>Husk</t>
  </si>
  <si>
    <t>tt5259822</t>
  </si>
  <si>
    <t>Tesla</t>
  </si>
  <si>
    <t>tt0079285</t>
  </si>
  <si>
    <t>Saturn 3</t>
  </si>
  <si>
    <t>tt0109288</t>
  </si>
  <si>
    <t>Blankman</t>
  </si>
  <si>
    <t>tt15373868</t>
  </si>
  <si>
    <t>Kranti</t>
  </si>
  <si>
    <t>tt18924506</t>
  </si>
  <si>
    <t>2000 Mules</t>
  </si>
  <si>
    <t>tt1092011</t>
  </si>
  <si>
    <t>Sacred Demijohn</t>
  </si>
  <si>
    <t>tt0094744</t>
  </si>
  <si>
    <t>Big Top Pee-wee</t>
  </si>
  <si>
    <t>tt0275947</t>
  </si>
  <si>
    <t>Avenging Angelo</t>
  </si>
  <si>
    <t>tt29114029</t>
  </si>
  <si>
    <t>The Tearsmith</t>
  </si>
  <si>
    <t>Drama, Fantasy, Romance</t>
  </si>
  <si>
    <t>tt2187884</t>
  </si>
  <si>
    <t>Escape from Tomorrow</t>
  </si>
  <si>
    <t>Comedy, Drama, Fantasy</t>
  </si>
  <si>
    <t>tt24870072</t>
  </si>
  <si>
    <t>Locked In</t>
  </si>
  <si>
    <t>tt21237030</t>
  </si>
  <si>
    <t>Carter</t>
  </si>
  <si>
    <t>tt2762334</t>
  </si>
  <si>
    <t>Main Tera Hero</t>
  </si>
  <si>
    <t>tt1606378</t>
  </si>
  <si>
    <t>A Good Day to Die Hard</t>
  </si>
  <si>
    <t>tt10857160</t>
  </si>
  <si>
    <t>She-Hulk: Attorney at Law</t>
  </si>
  <si>
    <t>tt1628841</t>
  </si>
  <si>
    <t>Independence Day: Resurgence</t>
  </si>
  <si>
    <t>tt0859163</t>
  </si>
  <si>
    <t>The Mummy: Tomb of the Dragon Emperor</t>
  </si>
  <si>
    <t>tt3371366</t>
  </si>
  <si>
    <t>Transformers: The Last Knight</t>
  </si>
  <si>
    <t>tt5433138</t>
  </si>
  <si>
    <t>F9: The Fast Saga</t>
  </si>
  <si>
    <t>tt0419706</t>
  </si>
  <si>
    <t>Doom</t>
  </si>
  <si>
    <t>tt2304933</t>
  </si>
  <si>
    <t>The 5th Wave</t>
  </si>
  <si>
    <t>tt1179056</t>
  </si>
  <si>
    <t>A Nightmare on Elm Street</t>
  </si>
  <si>
    <t>tt0816462</t>
  </si>
  <si>
    <t>Conan the Barbarian</t>
  </si>
  <si>
    <t>tt1293847</t>
  </si>
  <si>
    <t>xXx: Return of Xander Cage</t>
  </si>
  <si>
    <t>tt0952640</t>
  </si>
  <si>
    <t>Alvin and the Chipmunks</t>
  </si>
  <si>
    <t>tt0208003</t>
  </si>
  <si>
    <t>Big Momma's House</t>
  </si>
  <si>
    <t>tt0385307</t>
  </si>
  <si>
    <t>Miss Congeniality 2: Armed &amp; Fabulous</t>
  </si>
  <si>
    <t>tt0120738</t>
  </si>
  <si>
    <t>Lost in Space</t>
  </si>
  <si>
    <t>tt6133466</t>
  </si>
  <si>
    <t>The First Purge</t>
  </si>
  <si>
    <t>tt1758810</t>
  </si>
  <si>
    <t>The Snowman</t>
  </si>
  <si>
    <t>tt0120177</t>
  </si>
  <si>
    <t>Spawn</t>
  </si>
  <si>
    <t>tt10342730</t>
  </si>
  <si>
    <t>Spiral</t>
  </si>
  <si>
    <t>tt6475714</t>
  </si>
  <si>
    <t>Monster Hunter</t>
  </si>
  <si>
    <t>tt0810900</t>
  </si>
  <si>
    <t>High School Musical 2</t>
  </si>
  <si>
    <t>tt0465624</t>
  </si>
  <si>
    <t>My Super Ex-Girlfriend</t>
  </si>
  <si>
    <t>tt6772950</t>
  </si>
  <si>
    <t>Truth or Dare</t>
  </si>
  <si>
    <t>tt6920084</t>
  </si>
  <si>
    <t>Resident Evil: Welcome to Raccoon City</t>
  </si>
  <si>
    <t>tt1222817</t>
  </si>
  <si>
    <t>Zookeeper</t>
  </si>
  <si>
    <t>tt0253867</t>
  </si>
  <si>
    <t>The Sweetest Thing</t>
  </si>
  <si>
    <t>tt0239395</t>
  </si>
  <si>
    <t>Cats &amp; Dogs</t>
  </si>
  <si>
    <t>tt0085636</t>
  </si>
  <si>
    <t>Halloween III: Season of the Witch</t>
  </si>
  <si>
    <t>tt1772240</t>
  </si>
  <si>
    <t>Apollo 18</t>
  </si>
  <si>
    <t>tt0338094</t>
  </si>
  <si>
    <t>The Haunted Mansion</t>
  </si>
  <si>
    <t>tt4799050</t>
  </si>
  <si>
    <t>Rough Night</t>
  </si>
  <si>
    <t>tt0475944</t>
  </si>
  <si>
    <t>The Covenant</t>
  </si>
  <si>
    <t>tt2039338</t>
  </si>
  <si>
    <t>Flatliners</t>
  </si>
  <si>
    <t>tt0103956</t>
  </si>
  <si>
    <t>Child's Play 3</t>
  </si>
  <si>
    <t>tt2918436</t>
  </si>
  <si>
    <t>The Lazarus Effect</t>
  </si>
  <si>
    <t>tt2938956</t>
  </si>
  <si>
    <t>The Transporter Refueled</t>
  </si>
  <si>
    <t>tt0288045</t>
  </si>
  <si>
    <t>The Medallion</t>
  </si>
  <si>
    <t>tt0095179</t>
  </si>
  <si>
    <t>Friday the 13th: The New Blood</t>
  </si>
  <si>
    <t>tt1055366</t>
  </si>
  <si>
    <t>Camp Rock</t>
  </si>
  <si>
    <t>tt0482599</t>
  </si>
  <si>
    <t>Shutter</t>
  </si>
  <si>
    <t>tt0208988</t>
  </si>
  <si>
    <t>Get Carter</t>
  </si>
  <si>
    <t>tt11301946</t>
  </si>
  <si>
    <t>Beast</t>
  </si>
  <si>
    <t>tt0419984</t>
  </si>
  <si>
    <t>Mr. Woodcock</t>
  </si>
  <si>
    <t>tt4334266</t>
  </si>
  <si>
    <t>The Bad Batch</t>
  </si>
  <si>
    <t>tt1712170</t>
  </si>
  <si>
    <t>Alex Cross</t>
  </si>
  <si>
    <t>tt0463872</t>
  </si>
  <si>
    <t>Asterix at the Olympic Games</t>
  </si>
  <si>
    <t>tt1731697</t>
  </si>
  <si>
    <t>The Lords of Salem</t>
  </si>
  <si>
    <t>tt13964390</t>
  </si>
  <si>
    <t>Under Paris</t>
  </si>
  <si>
    <t>Sum</t>
  </si>
  <si>
    <t>Total Numbe of Votes</t>
  </si>
  <si>
    <t>Average</t>
  </si>
  <si>
    <t>Average of NumVotes</t>
  </si>
  <si>
    <t>Minimum</t>
  </si>
  <si>
    <t>Minimum Rating</t>
  </si>
  <si>
    <t>Mximum</t>
  </si>
  <si>
    <t>Maximum Rating</t>
  </si>
  <si>
    <t>Count</t>
  </si>
  <si>
    <t>ReleaseYear</t>
  </si>
  <si>
    <t>CountA</t>
  </si>
  <si>
    <t>AverageRating</t>
  </si>
  <si>
    <t>Title</t>
  </si>
  <si>
    <t>Chapter 1: Basic Formula's</t>
  </si>
  <si>
    <t>Average rating for movies in "Action" genre</t>
  </si>
  <si>
    <t>AVERAGEIF</t>
  </si>
  <si>
    <t>Sum of numVotes for movies with averageRating &gt; 5.1</t>
  </si>
  <si>
    <t>SUMIF</t>
  </si>
  <si>
    <t>MEDIAN</t>
  </si>
  <si>
    <t>MODE</t>
  </si>
  <si>
    <t>Ranking on AvgRating</t>
  </si>
  <si>
    <t>STANDARD DEVIATION</t>
  </si>
  <si>
    <t>COUNTIF</t>
  </si>
  <si>
    <t>COUNTIFS</t>
  </si>
  <si>
    <t>Movies with averageRating &gt; 4.4 and numVotes &gt; 20,000</t>
  </si>
  <si>
    <t>Movies with averageRating &gt; 4.4</t>
  </si>
  <si>
    <t>1st largest value in the numVotes column</t>
  </si>
  <si>
    <t>2nd largest value in the numVotes column</t>
  </si>
  <si>
    <t xml:space="preserve">LARGE </t>
  </si>
  <si>
    <t>SMALL</t>
  </si>
  <si>
    <t>1st smallest value in the averageRating column</t>
  </si>
  <si>
    <t>2nd smallest value in the averageRating column</t>
  </si>
  <si>
    <t>Chapter 2: Basic Formula's</t>
  </si>
  <si>
    <t>How many titles are there in a releaseYear  and averageRating of each title</t>
  </si>
  <si>
    <t xml:space="preserve">Release Year </t>
  </si>
  <si>
    <t>Average Rating</t>
  </si>
  <si>
    <t>Count of Titles in the Year 2015 - 2024</t>
  </si>
  <si>
    <t>Rating Trend</t>
  </si>
  <si>
    <t>Release Year</t>
  </si>
  <si>
    <t>Count OF Titles YearWise</t>
  </si>
  <si>
    <t>AND</t>
  </si>
  <si>
    <t>OR</t>
  </si>
  <si>
    <t>NOT</t>
  </si>
  <si>
    <t>IF</t>
  </si>
  <si>
    <t>This will label movies as "Recent" if the release year is after 2020, otherwise as "Old".</t>
  </si>
  <si>
    <t xml:space="preserve">Comments </t>
  </si>
  <si>
    <t>This formula will label movies as "Popular" if both the average rating is
 greater than 5 and the number of votes exceeds 1000.</t>
  </si>
  <si>
    <t>Condition based on the genres to check if a movie's genre matches any
 of the given categories, like "Action," "Drama," "Horror," etc.</t>
  </si>
  <si>
    <t>Categorize movies as "Not Comedy" if genre does not include "Comedy" 
and categorize them as "Comedy" if the genre contains "Comedy."</t>
  </si>
  <si>
    <t>Condition</t>
  </si>
  <si>
    <t>Genres</t>
  </si>
  <si>
    <t>Row Labels</t>
  </si>
  <si>
    <t>Grand Total</t>
  </si>
  <si>
    <t>Column Labels</t>
  </si>
  <si>
    <t>Total Votes for all Release years</t>
  </si>
  <si>
    <t>Genre</t>
  </si>
  <si>
    <t>Top 7 Vote Counts</t>
  </si>
  <si>
    <t>Total Votes In 2023</t>
  </si>
  <si>
    <t>Total Votes In 2024</t>
  </si>
  <si>
    <t>Total Votes In 2021</t>
  </si>
  <si>
    <t>Total Votes In 2022</t>
  </si>
  <si>
    <t>Total Votes from 2021-24 based on Genre</t>
  </si>
  <si>
    <t>Highest Vote Count</t>
  </si>
  <si>
    <t>Sum of Total Votes In 2021</t>
  </si>
  <si>
    <t>Sum of Total Votes In 2022</t>
  </si>
  <si>
    <t>Sum of Total Votes In 2023</t>
  </si>
  <si>
    <t>Sum of Total Votes In 2024</t>
  </si>
  <si>
    <t>Pivot and Bar Chart -Total Votes from 2021-24 based on Genre</t>
  </si>
  <si>
    <t>Sum of Top 7 Vote Counts</t>
  </si>
  <si>
    <t>Pie Chart to show Top 7 Vote Counts based on Genre</t>
  </si>
  <si>
    <t>Sum of Highest Vote Count</t>
  </si>
  <si>
    <t xml:space="preserve">Column Chart Top 5 Genre Having highest Votes </t>
  </si>
  <si>
    <t>Financial Options</t>
  </si>
  <si>
    <t>Period Per Year</t>
  </si>
  <si>
    <t>Annual Interest Rate</t>
  </si>
  <si>
    <t>Duration in Years</t>
  </si>
  <si>
    <t>Loan</t>
  </si>
  <si>
    <t>Emergency Fund</t>
  </si>
  <si>
    <t xml:space="preserve">Delay Project </t>
  </si>
  <si>
    <t>Periodic Payment (PMT)</t>
  </si>
  <si>
    <t>Present Value (PV)</t>
  </si>
  <si>
    <t>Future Value(FV)</t>
  </si>
  <si>
    <t>Analyzing Investment Options for Old Movies Digitilazation</t>
  </si>
  <si>
    <t>Amortization Table Loan</t>
  </si>
  <si>
    <t>Original Loan</t>
  </si>
  <si>
    <t>Loan Duration in Years</t>
  </si>
  <si>
    <t>Number of Periods per Year</t>
  </si>
  <si>
    <t>Ending Value of Loan</t>
  </si>
  <si>
    <t>Quarterly Payment</t>
  </si>
  <si>
    <t>Periods</t>
  </si>
  <si>
    <t>Remaining Principal</t>
  </si>
  <si>
    <t>Interest Payment</t>
  </si>
  <si>
    <t>Principal Payment</t>
  </si>
  <si>
    <t>Ending Balance</t>
  </si>
  <si>
    <r>
      <rPr>
        <sz val="9"/>
        <color theme="5" tint="-0.499984740745262"/>
        <rFont val="Calibri"/>
        <family val="2"/>
        <scheme val="minor"/>
      </rPr>
      <t>An Assumption if the Old Movies in the period 1960-70 needs to be digitalized by some xx Company. They need money to do this and will look at different ways to get it. By analysing at what budget,  How many can be digitalized, we can figure out how much more they might get After digitalizing if we sell to Movie platforms like Netflix or Prime. . This analysis will help them decide if digitalization the old movies is a good idea financially.</t>
    </r>
    <r>
      <rPr>
        <sz val="11"/>
        <color theme="5" tint="-0.499984740745262"/>
        <rFont val="Calibri"/>
        <family val="2"/>
        <scheme val="minor"/>
      </rPr>
      <t xml:space="preserve">
</t>
    </r>
  </si>
  <si>
    <t xml:space="preserve">TRIM and CONCAT </t>
  </si>
  <si>
    <t>2023 Income Statement Analysis</t>
  </si>
  <si>
    <t>Revenue</t>
  </si>
  <si>
    <t>Projected</t>
  </si>
  <si>
    <t>Per ticket price</t>
  </si>
  <si>
    <t>Ticket Sold Per Year</t>
  </si>
  <si>
    <t>Total Revenue</t>
  </si>
  <si>
    <t>Category</t>
  </si>
  <si>
    <t>Marketing Expenses (10%)</t>
  </si>
  <si>
    <t>Distribution Expenses (5%)</t>
  </si>
  <si>
    <t>Royalties (8%)</t>
  </si>
  <si>
    <t>Total Variable Expenses</t>
  </si>
  <si>
    <t>Variable Expenses</t>
  </si>
  <si>
    <t>Fixed Expenses</t>
  </si>
  <si>
    <t>Studio Overhead</t>
  </si>
  <si>
    <t>Salaries</t>
  </si>
  <si>
    <t>Technology Investment</t>
  </si>
  <si>
    <t>Total Fixed Expenses</t>
  </si>
  <si>
    <t>Movie Theater Revenue Analysis</t>
  </si>
  <si>
    <t>Summary</t>
  </si>
  <si>
    <t>Net Profit (or Loss)</t>
  </si>
  <si>
    <t>Advertising</t>
  </si>
  <si>
    <t>Break-Even Analysis</t>
  </si>
  <si>
    <t>Variable Cost per Ticket</t>
  </si>
  <si>
    <t>Average Ticket Price</t>
  </si>
  <si>
    <t>Break-Even Tickets Sold</t>
  </si>
  <si>
    <t>Results Summary</t>
  </si>
  <si>
    <t>Metric</t>
  </si>
  <si>
    <t>Value</t>
  </si>
  <si>
    <t>Net Profit</t>
  </si>
  <si>
    <t>Break-Even Tickets</t>
  </si>
  <si>
    <t>Variable Cost Per Unit</t>
  </si>
  <si>
    <t>Fixed Costs</t>
  </si>
  <si>
    <t>Marketing Expenses</t>
  </si>
  <si>
    <t xml:space="preserve">Distribution Expenses </t>
  </si>
  <si>
    <t>Assumptions:</t>
  </si>
  <si>
    <t>Projections:</t>
  </si>
  <si>
    <t>Variable Costs:</t>
  </si>
  <si>
    <t xml:space="preserve">     Distribution</t>
  </si>
  <si>
    <t>Total Variable Costs</t>
  </si>
  <si>
    <t>Contribution margin</t>
  </si>
  <si>
    <t>Fixed Costs:</t>
  </si>
  <si>
    <t>Total Fixed Costs</t>
  </si>
  <si>
    <t>Profit Before Taxes</t>
  </si>
  <si>
    <t xml:space="preserve">     Marketing</t>
  </si>
  <si>
    <t xml:space="preserve">    Salaries</t>
  </si>
  <si>
    <t xml:space="preserve">    Technology Investment</t>
  </si>
  <si>
    <t xml:space="preserve">    Advertising</t>
  </si>
  <si>
    <t xml:space="preserve"> Sales Revenue</t>
  </si>
  <si>
    <t>Year</t>
  </si>
  <si>
    <t>Ticket Sold</t>
  </si>
  <si>
    <t>Net Profit ($)</t>
  </si>
  <si>
    <t>Ticket Price</t>
  </si>
  <si>
    <t xml:space="preserve">Total Revenue </t>
  </si>
  <si>
    <t>Year Wise Break Even on Tickets Sold and If Ticket Price Increases by 2 or More Percent</t>
  </si>
  <si>
    <t>Projected Profitability and Break-Even Analysis</t>
  </si>
  <si>
    <r>
      <rPr>
        <b/>
        <sz val="9"/>
        <color theme="5" tint="-0.499984740745262"/>
        <rFont val="Calibri"/>
        <family val="2"/>
        <scheme val="minor"/>
      </rPr>
      <t xml:space="preserve">2029 stands </t>
    </r>
    <r>
      <rPr>
        <sz val="9"/>
        <color theme="5" tint="-0.499984740745262"/>
        <rFont val="Calibri"/>
        <family val="2"/>
        <scheme val="minor"/>
      </rPr>
      <t xml:space="preserve">out as a year of significant change in both ticket prices and break-even tickets. The increase in ticket price to $15.00 substantially reduced the break-even number of tickets, but the lower number of tickets sold compared to previous years (444,550) could present challenges to meeting the expected revenue goals.
</t>
    </r>
    <r>
      <rPr>
        <b/>
        <sz val="9"/>
        <color theme="5" tint="-0.499984740745262"/>
        <rFont val="Calibri"/>
        <family val="2"/>
        <scheme val="minor"/>
      </rPr>
      <t>Overall,</t>
    </r>
    <r>
      <rPr>
        <sz val="9"/>
        <color theme="5" tint="-0.499984740745262"/>
        <rFont val="Calibri"/>
        <family val="2"/>
        <scheme val="minor"/>
      </rPr>
      <t xml:space="preserve"> the break-even point is stable, but there are some risks in 2029 with lower ticket sales despite the higher price. This indicates potential volatility or a shift in market conditions.</t>
    </r>
  </si>
  <si>
    <r>
      <rPr>
        <b/>
        <sz val="9"/>
        <color theme="5" tint="-0.499984740745262"/>
        <rFont val="Calibri"/>
        <family val="2"/>
        <scheme val="minor"/>
      </rPr>
      <t xml:space="preserve">Variable Expenses </t>
    </r>
    <r>
      <rPr>
        <sz val="9"/>
        <color theme="5" tint="-0.499984740745262"/>
        <rFont val="Calibri"/>
        <family val="2"/>
        <scheme val="minor"/>
      </rPr>
      <t xml:space="preserve">= Total Revenue×0.23 -This means for every dollar of revenue, 23 cents are spent on variable expenses
</t>
    </r>
    <r>
      <rPr>
        <b/>
        <sz val="9"/>
        <color theme="5" tint="-0.499984740745262"/>
        <rFont val="Calibri"/>
        <family val="2"/>
        <scheme val="minor"/>
      </rPr>
      <t>Revenue Growth:</t>
    </r>
    <r>
      <rPr>
        <sz val="9"/>
        <color theme="5" tint="-0.499984740745262"/>
        <rFont val="Calibri"/>
        <family val="2"/>
        <scheme val="minor"/>
      </rPr>
      <t xml:space="preserve"> Total revenue increases each year due to a combination of higher ticket sales and a price increase in 2027.
</t>
    </r>
    <r>
      <rPr>
        <b/>
        <sz val="9"/>
        <color theme="5" tint="-0.499984740745262"/>
        <rFont val="Calibri"/>
        <family val="2"/>
        <scheme val="minor"/>
      </rPr>
      <t>Expenses:</t>
    </r>
    <r>
      <rPr>
        <sz val="9"/>
        <color theme="5" tint="-0.499984740745262"/>
        <rFont val="Calibri"/>
        <family val="2"/>
        <scheme val="minor"/>
      </rPr>
      <t xml:space="preserve"> Both variable and fixed expenses rise over the years, likely due to inflation, higher costs, or expanding operations.
</t>
    </r>
    <r>
      <rPr>
        <b/>
        <sz val="9"/>
        <color theme="5" tint="-0.499984740745262"/>
        <rFont val="Calibri"/>
        <family val="2"/>
        <scheme val="minor"/>
      </rPr>
      <t xml:space="preserve">Net Profit Growth: </t>
    </r>
    <r>
      <rPr>
        <sz val="9"/>
        <color theme="5" tint="-0.499984740745262"/>
        <rFont val="Calibri"/>
        <family val="2"/>
        <scheme val="minor"/>
      </rPr>
      <t xml:space="preserve">The net profit shows consistent growth each year, from $5,956,814 in 2024 to $8,302,147 in 2028. This suggests effective cost management and increasing ticket demand.
</t>
    </r>
    <r>
      <rPr>
        <b/>
        <sz val="9"/>
        <color theme="5" tint="-0.499984740745262"/>
        <rFont val="Calibri"/>
        <family val="2"/>
        <scheme val="minor"/>
      </rPr>
      <t>Break-Even Stability:</t>
    </r>
    <r>
      <rPr>
        <sz val="9"/>
        <color theme="5" tint="-0.499984740745262"/>
        <rFont val="Calibri"/>
        <family val="2"/>
        <scheme val="minor"/>
      </rPr>
      <t xml:space="preserve"> The stability of the break-even point is generally strong from 2024 to 2028, with a relatively small increase in the break-even number of tickets each year.</t>
    </r>
  </si>
  <si>
    <t>Which Genre Got Highest Votes Among all the Release Years?</t>
  </si>
  <si>
    <t>Top 5 Genre Having highest Votes and Their Release Year</t>
  </si>
  <si>
    <t>1) Using Vlookup to get the Genre and Release Year based on Id. 2) Sum Of Votes Per Release Year based on Genre.</t>
  </si>
  <si>
    <t>Release year(2000-2024)</t>
  </si>
  <si>
    <t>Sum Of Votes PerYear Based on Genre</t>
  </si>
  <si>
    <t>NumofVotes</t>
  </si>
  <si>
    <t>AvgRating</t>
  </si>
  <si>
    <t>Genre: Top 7 Largest Sum of Votes among All Release Years</t>
  </si>
  <si>
    <t>Top7 Titles in 2024 having highest votes</t>
  </si>
  <si>
    <t>Sum of NumVotes</t>
  </si>
  <si>
    <t>Avg of AverageRating</t>
  </si>
  <si>
    <t>Volume</t>
  </si>
  <si>
    <t>Rating</t>
  </si>
  <si>
    <t>Stock Open</t>
  </si>
  <si>
    <t>Stock High</t>
  </si>
  <si>
    <t>Stock Low</t>
  </si>
  <si>
    <t>Stock Close</t>
  </si>
  <si>
    <t>Release Date</t>
  </si>
  <si>
    <t>Stock Price : Open High Low Close Chart</t>
  </si>
  <si>
    <t>Stock Price: Volume High Low Close Chart</t>
  </si>
  <si>
    <t>Stock Price : High Low Close Chart</t>
  </si>
  <si>
    <t>Relating Movie Ratings to Stock Performance of Movie Studios</t>
  </si>
  <si>
    <t>CHAPTERS</t>
  </si>
  <si>
    <t>FUNCTIONS USED</t>
  </si>
  <si>
    <t>BREAK EVEN ANALYSIS, DATA TABLE</t>
  </si>
  <si>
    <t>GOAL SEEK</t>
  </si>
  <si>
    <t>SLICERS, CONCAT,TRIM</t>
  </si>
  <si>
    <t>Break even Point</t>
  </si>
  <si>
    <t xml:space="preserve"> IPMT, PPMT</t>
  </si>
  <si>
    <t>SUM, AVERAGE, MIN, MAX, COUNT, COUNTA</t>
  </si>
  <si>
    <t>STOCKS(OPEN, VOLUME, HIGH LOW CHARTS)</t>
  </si>
  <si>
    <t>VLOOKUP, UNIQUE, COUNTIF, SUMIFS, INDEX MATCH</t>
  </si>
  <si>
    <t>CONDITIONAL FORMATTING, IF, OR, AND, NOT</t>
  </si>
  <si>
    <t>COUNTIF, SUMIFS,ROUND</t>
  </si>
  <si>
    <t>RANK.EQ, AVERAGEIF, COUNT IF, SUM IF,LARGE, SMALL,STANDARD DEVIATION, MEDIAN,MODE</t>
  </si>
  <si>
    <t>PIVOT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</si>
</sst>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0"/>
  </numFmts>
  <fonts count="5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4" tint="-0.499984740745262"/>
      <name val="Calibri"/>
      <family val="2"/>
      <scheme val="minor"/>
    </font>
    <font>
      <b/>
      <sz val="11"/>
      <color theme="4" tint="-0.499984740745262"/>
      <name val="Calibri"/>
      <family val="2"/>
      <scheme val="minor"/>
    </font>
    <font>
      <b/>
      <sz val="12"/>
      <color theme="0"/>
      <name val="Calibri"/>
      <family val="2"/>
      <scheme val="minor"/>
    </font>
    <font>
      <i/>
      <sz val="11"/>
      <color theme="4" tint="-0.499984740745262"/>
      <name val="Calibri"/>
      <family val="2"/>
      <scheme val="minor"/>
    </font>
    <font>
      <b/>
      <sz val="11"/>
      <color theme="0"/>
      <name val="Calibri"/>
      <family val="2"/>
    </font>
    <font>
      <sz val="10"/>
      <color theme="1"/>
      <name val="Calibri"/>
      <family val="2"/>
      <scheme val="minor"/>
    </font>
    <font>
      <b/>
      <i/>
      <sz val="11"/>
      <color theme="4" tint="-0.499984740745262"/>
      <name val="Calibri"/>
      <family val="2"/>
      <scheme val="minor"/>
    </font>
    <font>
      <i/>
      <sz val="11"/>
      <color rgb="FF3F3F3F"/>
      <name val="Calibri"/>
      <family val="2"/>
      <scheme val="minor"/>
    </font>
    <font>
      <sz val="9"/>
      <color theme="1"/>
      <name val="Calibri"/>
      <family val="2"/>
      <scheme val="minor"/>
    </font>
    <font>
      <b/>
      <sz val="9"/>
      <color theme="1"/>
      <name val="Calibri"/>
      <family val="2"/>
      <scheme val="minor"/>
    </font>
    <font>
      <sz val="10"/>
      <color theme="4" tint="-0.499984740745262"/>
      <name val="Calibri"/>
      <family val="2"/>
      <scheme val="minor"/>
    </font>
    <font>
      <b/>
      <sz val="9"/>
      <color theme="4" tint="-0.499984740745262"/>
      <name val="Calibri"/>
      <family val="2"/>
      <scheme val="minor"/>
    </font>
    <font>
      <b/>
      <sz val="9"/>
      <color theme="0"/>
      <name val="Calibri"/>
      <family val="2"/>
      <scheme val="minor"/>
    </font>
    <font>
      <b/>
      <sz val="10"/>
      <color theme="0"/>
      <name val="Calibri"/>
      <family val="2"/>
      <scheme val="minor"/>
    </font>
    <font>
      <sz val="9"/>
      <color theme="4" tint="-0.499984740745262"/>
      <name val="Calibri"/>
      <family val="2"/>
      <scheme val="minor"/>
    </font>
    <font>
      <sz val="11"/>
      <color theme="5" tint="-0.499984740745262"/>
      <name val="Calibri"/>
      <family val="2"/>
      <scheme val="minor"/>
    </font>
    <font>
      <sz val="9"/>
      <color theme="5" tint="-0.499984740745262"/>
      <name val="Calibri"/>
      <family val="2"/>
      <scheme val="minor"/>
    </font>
    <font>
      <b/>
      <sz val="14"/>
      <color rgb="FFFF0000"/>
      <name val="Calibri"/>
      <family val="2"/>
      <scheme val="minor"/>
    </font>
    <font>
      <b/>
      <sz val="10"/>
      <name val="Calibri"/>
      <family val="2"/>
      <scheme val="minor"/>
    </font>
    <font>
      <b/>
      <sz val="10"/>
      <color theme="1"/>
      <name val="Calibri"/>
      <family val="2"/>
      <scheme val="minor"/>
    </font>
    <font>
      <b/>
      <sz val="9"/>
      <name val="Calibri"/>
      <family val="2"/>
      <scheme val="minor"/>
    </font>
    <font>
      <sz val="11"/>
      <color rgb="FFC00000"/>
      <name val="Calibri"/>
      <family val="2"/>
      <scheme val="minor"/>
    </font>
    <font>
      <b/>
      <sz val="10"/>
      <color rgb="FFC00000"/>
      <name val="Calibri"/>
      <family val="2"/>
      <scheme val="minor"/>
    </font>
    <font>
      <b/>
      <u/>
      <sz val="11"/>
      <color theme="1"/>
      <name val="Calibri"/>
      <family val="2"/>
      <scheme val="minor"/>
    </font>
    <font>
      <sz val="10"/>
      <name val="Calibri"/>
      <family val="2"/>
      <scheme val="minor"/>
    </font>
    <font>
      <u val="singleAccounting"/>
      <sz val="10"/>
      <name val="Calibri"/>
      <family val="2"/>
      <scheme val="minor"/>
    </font>
    <font>
      <b/>
      <u/>
      <sz val="10"/>
      <name val="Calibri"/>
      <family val="2"/>
      <scheme val="minor"/>
    </font>
    <font>
      <sz val="10"/>
      <color rgb="FFC00000"/>
      <name val="Calibri"/>
      <family val="2"/>
      <scheme val="minor"/>
    </font>
    <font>
      <u val="singleAccounting"/>
      <sz val="10"/>
      <color rgb="FFC00000"/>
      <name val="Calibri"/>
      <family val="2"/>
      <scheme val="minor"/>
    </font>
    <font>
      <b/>
      <sz val="9"/>
      <color theme="5" tint="-0.499984740745262"/>
      <name val="Calibri"/>
      <family val="2"/>
      <scheme val="minor"/>
    </font>
    <font>
      <u/>
      <sz val="11"/>
      <color rgb="FFC00000"/>
      <name val="Calibri"/>
      <family val="2"/>
      <scheme val="minor"/>
    </font>
    <font>
      <b/>
      <sz val="10"/>
      <color theme="4" tint="-0.499984740745262"/>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rgb="FFC00000"/>
        <bgColor indexed="64"/>
      </patternFill>
    </fill>
    <fill>
      <patternFill patternType="solid">
        <fgColor theme="0"/>
        <bgColor indexed="64"/>
      </patternFill>
    </fill>
    <fill>
      <patternFill patternType="solid">
        <fgColor rgb="FF013693"/>
        <bgColor rgb="FF013693"/>
      </patternFill>
    </fill>
    <fill>
      <patternFill patternType="solid">
        <fgColor rgb="FFFFC000"/>
        <bgColor indexed="64"/>
      </patternFill>
    </fill>
    <fill>
      <patternFill patternType="solid">
        <fgColor rgb="FFFFFF00"/>
        <bgColor indexed="64"/>
      </patternFill>
    </fill>
    <fill>
      <patternFill patternType="solid">
        <fgColor theme="9" tint="0.3999755851924192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thin">
        <color rgb="FFB2B2B2"/>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14">
    <xf numFmtId="0" fontId="0" fillId="0" borderId="0" xfId="0"/>
    <xf numFmtId="0" fontId="0" fillId="0" borderId="0" xfId="0" applyAlignment="1">
      <alignment horizontal="left"/>
    </xf>
    <xf numFmtId="14" fontId="0" fillId="0" borderId="0" xfId="0" applyNumberFormat="1" applyAlignment="1">
      <alignment horizontal="left"/>
    </xf>
    <xf numFmtId="0" fontId="13" fillId="33" borderId="0" xfId="0" applyFont="1" applyFill="1" applyAlignment="1">
      <alignment horizontal="left"/>
    </xf>
    <xf numFmtId="0" fontId="18" fillId="0" borderId="0" xfId="0" applyFont="1" applyAlignment="1">
      <alignment horizontal="left"/>
    </xf>
    <xf numFmtId="14" fontId="18" fillId="0" borderId="0" xfId="0" applyNumberFormat="1" applyFont="1" applyAlignment="1">
      <alignment horizontal="left"/>
    </xf>
    <xf numFmtId="0" fontId="0" fillId="0" borderId="0" xfId="0" applyAlignment="1">
      <alignment horizontal="center"/>
    </xf>
    <xf numFmtId="0" fontId="13" fillId="33" borderId="0" xfId="0" applyFont="1" applyFill="1" applyAlignment="1">
      <alignment horizontal="center"/>
    </xf>
    <xf numFmtId="0" fontId="13" fillId="34" borderId="0" xfId="0" applyFont="1" applyFill="1" applyAlignment="1">
      <alignment horizontal="center"/>
    </xf>
    <xf numFmtId="0" fontId="19" fillId="8" borderId="8" xfId="15" applyFont="1" applyAlignment="1">
      <alignment horizontal="left"/>
    </xf>
    <xf numFmtId="0" fontId="13" fillId="33" borderId="15" xfId="0" applyFont="1" applyFill="1" applyBorder="1" applyAlignment="1">
      <alignment horizontal="center"/>
    </xf>
    <xf numFmtId="0" fontId="19" fillId="26" borderId="15" xfId="35" applyFont="1" applyBorder="1" applyAlignment="1">
      <alignment horizontal="center"/>
    </xf>
    <xf numFmtId="0" fontId="0" fillId="0" borderId="15" xfId="0" applyBorder="1"/>
    <xf numFmtId="0" fontId="18" fillId="14" borderId="10" xfId="23" applyFont="1" applyBorder="1" applyAlignment="1">
      <alignment horizontal="left"/>
    </xf>
    <xf numFmtId="0" fontId="19" fillId="14" borderId="10" xfId="23" applyFont="1" applyBorder="1" applyAlignment="1">
      <alignment horizontal="left"/>
    </xf>
    <xf numFmtId="0" fontId="18" fillId="14" borderId="10" xfId="23" applyFont="1" applyBorder="1"/>
    <xf numFmtId="0" fontId="0" fillId="35" borderId="0" xfId="0" applyFill="1"/>
    <xf numFmtId="0" fontId="16" fillId="8" borderId="8" xfId="15" applyFont="1"/>
    <xf numFmtId="0" fontId="21" fillId="0" borderId="0" xfId="16" applyFont="1" applyAlignment="1">
      <alignment horizontal="left"/>
    </xf>
    <xf numFmtId="0" fontId="22" fillId="36" borderId="0" xfId="0" applyFont="1" applyFill="1" applyAlignment="1">
      <alignment horizontal="center"/>
    </xf>
    <xf numFmtId="0" fontId="18" fillId="0" borderId="0" xfId="0" applyFont="1" applyAlignment="1">
      <alignment horizontal="center"/>
    </xf>
    <xf numFmtId="0" fontId="18" fillId="0" borderId="0" xfId="0" applyFont="1"/>
    <xf numFmtId="0" fontId="19" fillId="8" borderId="8" xfId="15" applyFont="1"/>
    <xf numFmtId="0" fontId="24" fillId="8" borderId="8" xfId="15" applyFont="1" applyAlignment="1">
      <alignment horizontal="center"/>
    </xf>
    <xf numFmtId="0" fontId="25" fillId="6" borderId="5" xfId="10" applyFont="1" applyAlignment="1">
      <alignment wrapText="1"/>
    </xf>
    <xf numFmtId="0" fontId="25" fillId="6" borderId="5" xfId="10" applyFont="1"/>
    <xf numFmtId="0" fontId="23" fillId="37" borderId="0" xfId="0" applyFont="1" applyFill="1" applyAlignment="1">
      <alignment horizontal="center"/>
    </xf>
    <xf numFmtId="0" fontId="0" fillId="0" borderId="0" xfId="0" pivotButton="1"/>
    <xf numFmtId="0" fontId="23" fillId="0" borderId="0" xfId="0" pivotButton="1" applyFont="1"/>
    <xf numFmtId="0" fontId="23" fillId="0" borderId="0" xfId="0" applyFont="1"/>
    <xf numFmtId="0" fontId="23" fillId="0" borderId="0" xfId="0" applyFont="1" applyAlignment="1">
      <alignment horizontal="left"/>
    </xf>
    <xf numFmtId="0" fontId="28" fillId="0" borderId="0" xfId="0" applyFont="1"/>
    <xf numFmtId="0" fontId="28" fillId="0" borderId="0" xfId="0" applyFont="1" applyAlignment="1">
      <alignment horizontal="center"/>
    </xf>
    <xf numFmtId="0" fontId="28" fillId="0" borderId="0" xfId="0" applyFont="1" applyAlignment="1">
      <alignment horizontal="left"/>
    </xf>
    <xf numFmtId="2" fontId="26" fillId="0" borderId="10" xfId="0" applyNumberFormat="1" applyFont="1" applyBorder="1" applyAlignment="1">
      <alignment horizontal="center"/>
    </xf>
    <xf numFmtId="8" fontId="26" fillId="38" borderId="10" xfId="42" applyNumberFormat="1" applyFont="1" applyFill="1" applyBorder="1" applyAlignment="1">
      <alignment horizontal="center"/>
    </xf>
    <xf numFmtId="0" fontId="30" fillId="33" borderId="10" xfId="0" applyFont="1" applyFill="1" applyBorder="1" applyAlignment="1">
      <alignment wrapText="1"/>
    </xf>
    <xf numFmtId="0" fontId="30" fillId="33" borderId="10" xfId="0" applyFont="1" applyFill="1" applyBorder="1" applyAlignment="1">
      <alignment horizontal="center" wrapText="1"/>
    </xf>
    <xf numFmtId="8" fontId="27" fillId="38" borderId="10" xfId="42" applyNumberFormat="1" applyFont="1" applyFill="1" applyBorder="1" applyAlignment="1">
      <alignment horizontal="center"/>
    </xf>
    <xf numFmtId="0" fontId="32" fillId="0" borderId="10" xfId="0" applyFont="1" applyBorder="1"/>
    <xf numFmtId="2" fontId="32" fillId="0" borderId="10" xfId="0" applyNumberFormat="1" applyFont="1" applyBorder="1" applyAlignment="1">
      <alignment horizontal="center"/>
    </xf>
    <xf numFmtId="0" fontId="32" fillId="0" borderId="10" xfId="0" applyFont="1" applyBorder="1" applyAlignment="1">
      <alignment horizontal="center"/>
    </xf>
    <xf numFmtId="1" fontId="32" fillId="0" borderId="10" xfId="0" applyNumberFormat="1" applyFont="1" applyBorder="1" applyAlignment="1">
      <alignment horizontal="center"/>
    </xf>
    <xf numFmtId="0" fontId="29" fillId="0" borderId="10" xfId="0" applyFont="1" applyBorder="1"/>
    <xf numFmtId="0" fontId="30" fillId="33" borderId="0" xfId="0" applyFont="1" applyFill="1" applyAlignment="1">
      <alignment horizontal="left"/>
    </xf>
    <xf numFmtId="0" fontId="32" fillId="0" borderId="0" xfId="0" applyFont="1" applyAlignment="1">
      <alignment horizontal="left"/>
    </xf>
    <xf numFmtId="14" fontId="32" fillId="0" borderId="0" xfId="0" applyNumberFormat="1" applyFont="1" applyAlignment="1">
      <alignment horizontal="left"/>
    </xf>
    <xf numFmtId="0" fontId="1" fillId="22" borderId="5" xfId="31" applyBorder="1"/>
    <xf numFmtId="0" fontId="28" fillId="22" borderId="5" xfId="31" applyFont="1" applyBorder="1" applyAlignment="1">
      <alignment horizontal="left"/>
    </xf>
    <xf numFmtId="0" fontId="30" fillId="33" borderId="0" xfId="0" applyFont="1" applyFill="1" applyAlignment="1">
      <alignment horizontal="center"/>
    </xf>
    <xf numFmtId="0" fontId="31" fillId="33" borderId="10" xfId="0" applyFont="1" applyFill="1" applyBorder="1" applyAlignment="1">
      <alignment horizontal="left" wrapText="1"/>
    </xf>
    <xf numFmtId="0" fontId="31" fillId="33" borderId="16" xfId="0" applyFont="1" applyFill="1" applyBorder="1" applyAlignment="1">
      <alignment horizontal="left" wrapText="1"/>
    </xf>
    <xf numFmtId="6" fontId="14" fillId="38" borderId="17" xfId="0" applyNumberFormat="1" applyFont="1" applyFill="1" applyBorder="1" applyAlignment="1">
      <alignment horizontal="left"/>
    </xf>
    <xf numFmtId="6" fontId="36" fillId="0" borderId="10" xfId="42" applyNumberFormat="1" applyFont="1" applyBorder="1" applyAlignment="1">
      <alignment horizontal="left"/>
    </xf>
    <xf numFmtId="0" fontId="38" fillId="0" borderId="10" xfId="0" applyFont="1" applyBorder="1" applyAlignment="1">
      <alignment horizontal="left"/>
    </xf>
    <xf numFmtId="0" fontId="29" fillId="0" borderId="0" xfId="0" applyFont="1"/>
    <xf numFmtId="0" fontId="37" fillId="37" borderId="14" xfId="0" applyFont="1" applyFill="1" applyBorder="1" applyAlignment="1">
      <alignment horizontal="center"/>
    </xf>
    <xf numFmtId="6" fontId="39" fillId="38" borderId="17" xfId="0" applyNumberFormat="1" applyFont="1" applyFill="1" applyBorder="1" applyAlignment="1">
      <alignment horizontal="left"/>
    </xf>
    <xf numFmtId="0" fontId="40" fillId="38" borderId="10" xfId="0" applyFont="1" applyFill="1" applyBorder="1" applyAlignment="1">
      <alignment horizontal="left"/>
    </xf>
    <xf numFmtId="0" fontId="29" fillId="0" borderId="11" xfId="0" applyFont="1" applyBorder="1"/>
    <xf numFmtId="6" fontId="40" fillId="0" borderId="11" xfId="42" applyNumberFormat="1" applyFont="1" applyBorder="1"/>
    <xf numFmtId="0" fontId="40" fillId="0" borderId="11" xfId="0" applyFont="1" applyBorder="1"/>
    <xf numFmtId="0" fontId="1" fillId="22" borderId="0" xfId="31"/>
    <xf numFmtId="0" fontId="41" fillId="22" borderId="0" xfId="31" applyFont="1"/>
    <xf numFmtId="0" fontId="23" fillId="22" borderId="0" xfId="31" applyFont="1"/>
    <xf numFmtId="44" fontId="1" fillId="22" borderId="0" xfId="42" applyFill="1"/>
    <xf numFmtId="0" fontId="37" fillId="22" borderId="0" xfId="31" applyFont="1"/>
    <xf numFmtId="0" fontId="42" fillId="22" borderId="0" xfId="31" applyFont="1"/>
    <xf numFmtId="44" fontId="42" fillId="22" borderId="0" xfId="31" applyNumberFormat="1" applyFont="1"/>
    <xf numFmtId="44" fontId="43" fillId="22" borderId="0" xfId="31" applyNumberFormat="1" applyFont="1"/>
    <xf numFmtId="0" fontId="23" fillId="26" borderId="5" xfId="35" applyNumberFormat="1" applyFont="1" applyBorder="1" applyAlignment="1">
      <alignment horizontal="left"/>
    </xf>
    <xf numFmtId="0" fontId="23" fillId="26" borderId="5" xfId="35" applyFont="1" applyBorder="1"/>
    <xf numFmtId="44" fontId="23" fillId="26" borderId="5" xfId="35" applyNumberFormat="1" applyFont="1" applyBorder="1"/>
    <xf numFmtId="164" fontId="23" fillId="26" borderId="5" xfId="35" applyNumberFormat="1" applyFont="1" applyBorder="1"/>
    <xf numFmtId="44" fontId="45" fillId="38" borderId="5" xfId="35" applyNumberFormat="1" applyFont="1" applyFill="1" applyBorder="1"/>
    <xf numFmtId="0" fontId="45" fillId="38" borderId="5" xfId="35" applyFont="1" applyFill="1" applyBorder="1"/>
    <xf numFmtId="44" fontId="46" fillId="38" borderId="0" xfId="31" applyNumberFormat="1" applyFont="1" applyFill="1"/>
    <xf numFmtId="0" fontId="16" fillId="0" borderId="0" xfId="0" applyFont="1" applyAlignment="1">
      <alignment horizontal="center" vertical="center" wrapText="1"/>
    </xf>
    <xf numFmtId="14" fontId="19" fillId="8" borderId="8" xfId="15" applyNumberFormat="1" applyFont="1" applyAlignment="1">
      <alignment horizontal="center" vertical="center" wrapText="1"/>
    </xf>
    <xf numFmtId="0" fontId="19" fillId="8" borderId="8" xfId="15" applyFont="1" applyAlignment="1">
      <alignment vertical="center" wrapText="1"/>
    </xf>
    <xf numFmtId="3" fontId="19" fillId="8" borderId="8" xfId="15" applyNumberFormat="1" applyFont="1" applyAlignment="1">
      <alignment vertical="center" wrapText="1"/>
    </xf>
    <xf numFmtId="0" fontId="48" fillId="8" borderId="8" xfId="15" applyFont="1" applyAlignment="1">
      <alignment horizontal="center"/>
    </xf>
    <xf numFmtId="0" fontId="18" fillId="8" borderId="8" xfId="15" applyFont="1"/>
    <xf numFmtId="0" fontId="10" fillId="6" borderId="5" xfId="10" applyAlignment="1">
      <alignment horizontal="center"/>
    </xf>
    <xf numFmtId="0" fontId="10" fillId="6" borderId="5" xfId="10"/>
    <xf numFmtId="8" fontId="10" fillId="6" borderId="5" xfId="10" applyNumberFormat="1"/>
    <xf numFmtId="44" fontId="10" fillId="6" borderId="5" xfId="42" applyFont="1" applyFill="1" applyBorder="1"/>
    <xf numFmtId="0" fontId="19" fillId="6" borderId="5" xfId="10" applyFont="1"/>
    <xf numFmtId="0" fontId="49" fillId="6" borderId="5" xfId="10" applyFont="1"/>
    <xf numFmtId="0" fontId="0" fillId="39" borderId="0" xfId="0" applyFill="1"/>
    <xf numFmtId="0" fontId="0" fillId="0" borderId="0" xfId="0" applyAlignment="1">
      <alignment horizontal="center"/>
    </xf>
    <xf numFmtId="0" fontId="20" fillId="33" borderId="14" xfId="0" applyFont="1" applyFill="1" applyBorder="1" applyAlignment="1">
      <alignment horizontal="center"/>
    </xf>
    <xf numFmtId="0" fontId="1" fillId="15" borderId="11" xfId="24" applyBorder="1" applyAlignment="1">
      <alignment horizontal="center"/>
    </xf>
    <xf numFmtId="0" fontId="1" fillId="15" borderId="12" xfId="24" applyBorder="1" applyAlignment="1">
      <alignment horizontal="center"/>
    </xf>
    <xf numFmtId="0" fontId="1" fillId="15" borderId="13" xfId="24" applyBorder="1" applyAlignment="1">
      <alignment horizontal="center"/>
    </xf>
    <xf numFmtId="0" fontId="16" fillId="0" borderId="0" xfId="0" applyFont="1" applyAlignment="1">
      <alignment horizontal="center"/>
    </xf>
    <xf numFmtId="0" fontId="37" fillId="37" borderId="0" xfId="0" applyFont="1" applyFill="1" applyAlignment="1">
      <alignment horizontal="center"/>
    </xf>
    <xf numFmtId="0" fontId="19" fillId="0" borderId="0" xfId="0" applyFont="1" applyAlignment="1">
      <alignment horizontal="left"/>
    </xf>
    <xf numFmtId="0" fontId="23" fillId="37" borderId="0" xfId="0" applyFont="1" applyFill="1" applyAlignment="1">
      <alignment horizontal="center"/>
    </xf>
    <xf numFmtId="0" fontId="23" fillId="37" borderId="0" xfId="0" applyFont="1" applyFill="1" applyAlignment="1">
      <alignment horizontal="center" vertical="center"/>
    </xf>
    <xf numFmtId="0" fontId="23" fillId="37" borderId="0" xfId="0" applyFont="1" applyFill="1" applyAlignment="1">
      <alignment horizontal="left"/>
    </xf>
    <xf numFmtId="0" fontId="23" fillId="37" borderId="0" xfId="0" applyFont="1" applyFill="1" applyAlignment="1">
      <alignment horizontal="left" vertical="top" wrapText="1"/>
    </xf>
    <xf numFmtId="0" fontId="23" fillId="37" borderId="0" xfId="0" applyFont="1" applyFill="1" applyAlignment="1">
      <alignment horizontal="left" vertical="top"/>
    </xf>
    <xf numFmtId="0" fontId="23" fillId="37" borderId="14" xfId="0" applyFont="1" applyFill="1" applyBorder="1" applyAlignment="1">
      <alignment horizontal="center"/>
    </xf>
    <xf numFmtId="0" fontId="31" fillId="33" borderId="14" xfId="0" applyFont="1" applyFill="1" applyBorder="1" applyAlignment="1">
      <alignment horizontal="center"/>
    </xf>
    <xf numFmtId="0" fontId="33" fillId="8" borderId="8" xfId="15" applyFont="1" applyAlignment="1">
      <alignment horizontal="left" vertical="top" wrapText="1"/>
    </xf>
    <xf numFmtId="0" fontId="33" fillId="8" borderId="8" xfId="15" applyFont="1" applyAlignment="1">
      <alignment horizontal="left" vertical="top"/>
    </xf>
    <xf numFmtId="0" fontId="42" fillId="22" borderId="0" xfId="31" applyFont="1" applyAlignment="1">
      <alignment horizontal="left"/>
    </xf>
    <xf numFmtId="0" fontId="34" fillId="8" borderId="8" xfId="15" applyFont="1" applyAlignment="1">
      <alignment horizontal="left" vertical="top" wrapText="1"/>
    </xf>
    <xf numFmtId="0" fontId="37" fillId="37" borderId="14" xfId="0" applyFont="1" applyFill="1" applyBorder="1" applyAlignment="1">
      <alignment horizontal="center"/>
    </xf>
    <xf numFmtId="0" fontId="44" fillId="22" borderId="0" xfId="31" applyFont="1" applyAlignment="1">
      <alignment horizontal="left"/>
    </xf>
    <xf numFmtId="0" fontId="42" fillId="22" borderId="0" xfId="31" applyFont="1" applyAlignment="1">
      <alignment horizontal="center"/>
    </xf>
    <xf numFmtId="0" fontId="35" fillId="8" borderId="18" xfId="15" applyFont="1" applyBorder="1" applyAlignment="1">
      <alignment horizontal="center"/>
    </xf>
    <xf numFmtId="0" fontId="35" fillId="8" borderId="0" xfId="15" applyFont="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font>
        <sz val="10"/>
      </font>
    </dxf>
    <dxf>
      <font>
        <sz val="10"/>
      </font>
    </dxf>
    <dxf>
      <font>
        <sz val="10"/>
      </font>
    </dxf>
    <dxf>
      <font>
        <sz val="10"/>
      </font>
    </dxf>
    <dxf>
      <font>
        <sz val="10"/>
      </font>
    </dxf>
    <dxf>
      <font>
        <sz val="10"/>
      </font>
    </dxf>
    <dxf>
      <font>
        <strike val="0"/>
        <outline val="0"/>
        <shadow val="0"/>
        <u val="none"/>
        <vertAlign val="baseline"/>
        <sz val="10"/>
        <color theme="4" tint="-0.499984740745262"/>
        <name val="Calibri"/>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9"/>
        <color theme="4" tint="-0.499984740745262"/>
        <name val="Calibri"/>
        <family val="2"/>
        <scheme val="minor"/>
      </font>
      <alignment horizontal="left" vertical="bottom" textRotation="0" wrapText="0" indent="0" justifyLastLine="0" shrinkToFit="0" readingOrder="0"/>
      <border outline="0">
        <right style="thin">
          <color rgb="FF3F3F3F"/>
        </right>
      </border>
    </dxf>
    <dxf>
      <font>
        <b val="0"/>
        <i val="0"/>
        <strike val="0"/>
        <condense val="0"/>
        <extend val="0"/>
        <outline val="0"/>
        <shadow val="0"/>
        <u val="none"/>
        <vertAlign val="baseline"/>
        <sz val="9"/>
        <color theme="4" tint="-0.499984740745262"/>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9"/>
        <color theme="4" tint="-0.499984740745262"/>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9"/>
        <color theme="4" tint="-0.499984740745262"/>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9"/>
        <color theme="4" tint="-0.499984740745262"/>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4" tint="-0.499984740745262"/>
        <name val="Calibri"/>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4" tint="-0.249977111117893"/>
        </patternFill>
      </fill>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microsoft.com/office/2017/10/relationships/person" Target="persons/person.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800" b="1" i="0" u="none" strike="noStrike" kern="1200" spc="0" baseline="0">
                <a:solidFill>
                  <a:srgbClr val="FF0000"/>
                </a:solidFill>
                <a:latin typeface="+mn-lt"/>
                <a:ea typeface="+mn-ea"/>
                <a:cs typeface="+mn-cs"/>
              </a:defRPr>
            </a:pPr>
            <a:r>
              <a:rPr lang="en-US" sz="800" b="1" i="0" u="none" strike="noStrike" kern="1200" spc="0" baseline="0">
                <a:solidFill>
                  <a:srgbClr val="FF0000"/>
                </a:solidFill>
                <a:latin typeface="+mn-lt"/>
                <a:ea typeface="+mn-ea"/>
                <a:cs typeface="+mn-cs"/>
              </a:rPr>
              <a:t>Pie Chart Title Count YearWise</a:t>
            </a:r>
          </a:p>
        </c:rich>
      </c:tx>
      <c:overlay val="0"/>
      <c:spPr>
        <a:noFill/>
        <a:ln>
          <a:noFill/>
        </a:ln>
        <a:effectLst/>
      </c:spPr>
      <c:txPr>
        <a:bodyPr rot="0" spcFirstLastPara="1" vertOverflow="ellipsis" vert="horz" wrap="square" anchor="ctr" anchorCtr="1"/>
        <a:lstStyle/>
        <a:p>
          <a:pPr>
            <a:defRPr lang="en-US" sz="800" b="1" i="0" u="none" strike="noStrike" kern="1200" spc="0" baseline="0">
              <a:solidFill>
                <a:srgbClr val="FF0000"/>
              </a:solidFill>
              <a:latin typeface="+mn-lt"/>
              <a:ea typeface="+mn-ea"/>
              <a:cs typeface="+mn-cs"/>
            </a:defRPr>
          </a:pPr>
          <a:endParaRPr lang="en-US"/>
        </a:p>
      </c:txPr>
    </c:title>
    <c:autoTitleDeleted val="0"/>
    <c:plotArea>
      <c:layout/>
      <c:pieChart>
        <c:varyColors val="1"/>
        <c:ser>
          <c:idx val="0"/>
          <c:order val="0"/>
          <c:tx>
            <c:strRef>
              <c:f>'Chapter - 3'!$A$1</c:f>
              <c:strCache>
                <c:ptCount val="1"/>
                <c:pt idx="0">
                  <c:v>Release Year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45-4AE9-BA5D-EFA06EDB3E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45-4AE9-BA5D-EFA06EDB3E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45-4AE9-BA5D-EFA06EDB3E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145-4AE9-BA5D-EFA06EDB3EF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145-4AE9-BA5D-EFA06EDB3EF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145-4AE9-BA5D-EFA06EDB3EF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145-4AE9-BA5D-EFA06EDB3EF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145-4AE9-BA5D-EFA06EDB3EF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145-4AE9-BA5D-EFA06EDB3EF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145-4AE9-BA5D-EFA06EDB3EF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E145-4AE9-BA5D-EFA06EDB3EF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E145-4AE9-BA5D-EFA06EDB3EF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E145-4AE9-BA5D-EFA06EDB3EF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E145-4AE9-BA5D-EFA06EDB3EF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E145-4AE9-BA5D-EFA06EDB3EF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E145-4AE9-BA5D-EFA06EDB3EF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E145-4AE9-BA5D-EFA06EDB3EF5}"/>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E145-4AE9-BA5D-EFA06EDB3EF5}"/>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E145-4AE9-BA5D-EFA06EDB3EF5}"/>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E145-4AE9-BA5D-EFA06EDB3EF5}"/>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E145-4AE9-BA5D-EFA06EDB3EF5}"/>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E145-4AE9-BA5D-EFA06EDB3EF5}"/>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E145-4AE9-BA5D-EFA06EDB3EF5}"/>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E145-4AE9-BA5D-EFA06EDB3EF5}"/>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E145-4AE9-BA5D-EFA06EDB3EF5}"/>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E145-4AE9-BA5D-EFA06EDB3EF5}"/>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E145-4AE9-BA5D-EFA06EDB3EF5}"/>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E145-4AE9-BA5D-EFA06EDB3EF5}"/>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E145-4AE9-BA5D-EFA06EDB3EF5}"/>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E145-4AE9-BA5D-EFA06EDB3EF5}"/>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E145-4AE9-BA5D-EFA06EDB3EF5}"/>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E145-4AE9-BA5D-EFA06EDB3EF5}"/>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E145-4AE9-BA5D-EFA06EDB3EF5}"/>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E145-4AE9-BA5D-EFA06EDB3EF5}"/>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E145-4AE9-BA5D-EFA06EDB3EF5}"/>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E145-4AE9-BA5D-EFA06EDB3EF5}"/>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E145-4AE9-BA5D-EFA06EDB3EF5}"/>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E145-4AE9-BA5D-EFA06EDB3EF5}"/>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E145-4AE9-BA5D-EFA06EDB3EF5}"/>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E145-4AE9-BA5D-EFA06EDB3EF5}"/>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E145-4AE9-BA5D-EFA06EDB3EF5}"/>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E145-4AE9-BA5D-EFA06EDB3EF5}"/>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E145-4AE9-BA5D-EFA06EDB3EF5}"/>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E145-4AE9-BA5D-EFA06EDB3EF5}"/>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E145-4AE9-BA5D-EFA06EDB3EF5}"/>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E145-4AE9-BA5D-EFA06EDB3EF5}"/>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E145-4AE9-BA5D-EFA06EDB3EF5}"/>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E145-4AE9-BA5D-EFA06EDB3EF5}"/>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E145-4AE9-BA5D-EFA06EDB3EF5}"/>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E145-4AE9-BA5D-EFA06EDB3EF5}"/>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E145-4AE9-BA5D-EFA06EDB3EF5}"/>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E145-4AE9-BA5D-EFA06EDB3EF5}"/>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E145-4AE9-BA5D-EFA06EDB3EF5}"/>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E145-4AE9-BA5D-EFA06EDB3E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'Chapter - 3'!$A$2:$A$55</c:f>
              <c:numCache>
                <c:formatCode>General</c:formatCode>
                <c:ptCount val="54"/>
                <c:pt idx="0">
                  <c:v>2024</c:v>
                </c:pt>
                <c:pt idx="1">
                  <c:v>2023</c:v>
                </c:pt>
                <c:pt idx="2">
                  <c:v>2022</c:v>
                </c:pt>
                <c:pt idx="3">
                  <c:v>2021</c:v>
                </c:pt>
                <c:pt idx="4">
                  <c:v>2020</c:v>
                </c:pt>
                <c:pt idx="5">
                  <c:v>2019</c:v>
                </c:pt>
                <c:pt idx="6">
                  <c:v>2018</c:v>
                </c:pt>
                <c:pt idx="7">
                  <c:v>2017</c:v>
                </c:pt>
                <c:pt idx="8">
                  <c:v>2016</c:v>
                </c:pt>
                <c:pt idx="9">
                  <c:v>2015</c:v>
                </c:pt>
                <c:pt idx="10">
                  <c:v>2014</c:v>
                </c:pt>
                <c:pt idx="11">
                  <c:v>2013</c:v>
                </c:pt>
                <c:pt idx="12">
                  <c:v>2012</c:v>
                </c:pt>
                <c:pt idx="13">
                  <c:v>2011</c:v>
                </c:pt>
                <c:pt idx="14">
                  <c:v>2010</c:v>
                </c:pt>
                <c:pt idx="15">
                  <c:v>2009</c:v>
                </c:pt>
                <c:pt idx="16">
                  <c:v>2008</c:v>
                </c:pt>
                <c:pt idx="17">
                  <c:v>2007</c:v>
                </c:pt>
                <c:pt idx="18">
                  <c:v>2006</c:v>
                </c:pt>
                <c:pt idx="19">
                  <c:v>2005</c:v>
                </c:pt>
                <c:pt idx="20">
                  <c:v>2004</c:v>
                </c:pt>
                <c:pt idx="21">
                  <c:v>2003</c:v>
                </c:pt>
                <c:pt idx="22">
                  <c:v>2002</c:v>
                </c:pt>
                <c:pt idx="23">
                  <c:v>2001</c:v>
                </c:pt>
                <c:pt idx="24">
                  <c:v>2000</c:v>
                </c:pt>
                <c:pt idx="25">
                  <c:v>1999</c:v>
                </c:pt>
                <c:pt idx="26">
                  <c:v>1998</c:v>
                </c:pt>
                <c:pt idx="27">
                  <c:v>1997</c:v>
                </c:pt>
                <c:pt idx="28">
                  <c:v>1996</c:v>
                </c:pt>
                <c:pt idx="29">
                  <c:v>1995</c:v>
                </c:pt>
                <c:pt idx="30">
                  <c:v>1994</c:v>
                </c:pt>
                <c:pt idx="31">
                  <c:v>1993</c:v>
                </c:pt>
                <c:pt idx="32">
                  <c:v>1992</c:v>
                </c:pt>
                <c:pt idx="33">
                  <c:v>1991</c:v>
                </c:pt>
                <c:pt idx="34">
                  <c:v>1990</c:v>
                </c:pt>
                <c:pt idx="35">
                  <c:v>1989</c:v>
                </c:pt>
                <c:pt idx="36">
                  <c:v>1988</c:v>
                </c:pt>
                <c:pt idx="37">
                  <c:v>1987</c:v>
                </c:pt>
                <c:pt idx="38">
                  <c:v>1986</c:v>
                </c:pt>
                <c:pt idx="39">
                  <c:v>1985</c:v>
                </c:pt>
                <c:pt idx="40">
                  <c:v>1984</c:v>
                </c:pt>
                <c:pt idx="41">
                  <c:v>1983</c:v>
                </c:pt>
                <c:pt idx="42">
                  <c:v>1982</c:v>
                </c:pt>
                <c:pt idx="43">
                  <c:v>1981</c:v>
                </c:pt>
                <c:pt idx="44">
                  <c:v>1980</c:v>
                </c:pt>
                <c:pt idx="45">
                  <c:v>1978</c:v>
                </c:pt>
                <c:pt idx="46">
                  <c:v>1977</c:v>
                </c:pt>
                <c:pt idx="47">
                  <c:v>1970</c:v>
                </c:pt>
                <c:pt idx="48">
                  <c:v>1967</c:v>
                </c:pt>
                <c:pt idx="49">
                  <c:v>1966</c:v>
                </c:pt>
                <c:pt idx="50">
                  <c:v>1965</c:v>
                </c:pt>
                <c:pt idx="51">
                  <c:v>1964</c:v>
                </c:pt>
                <c:pt idx="52">
                  <c:v>1961</c:v>
                </c:pt>
                <c:pt idx="53">
                  <c:v>1957</c:v>
                </c:pt>
              </c:numCache>
            </c:numRef>
          </c:val>
          <c:extLst>
            <c:ext xmlns:c16="http://schemas.microsoft.com/office/drawing/2014/chart" uri="{C3380CC4-5D6E-409C-BE32-E72D297353CC}">
              <c16:uniqueId val="{00000000-E4F6-4C40-8891-691BA4F183DE}"/>
            </c:ext>
          </c:extLst>
        </c:ser>
        <c:ser>
          <c:idx val="1"/>
          <c:order val="1"/>
          <c:tx>
            <c:strRef>
              <c:f>'Chapter - 3'!$B$1</c:f>
              <c:strCache>
                <c:ptCount val="1"/>
                <c:pt idx="0">
                  <c:v>Count OF Titles YearWise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6D-E145-4AE9-BA5D-EFA06EDB3E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6F-E145-4AE9-BA5D-EFA06EDB3E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71-E145-4AE9-BA5D-EFA06EDB3E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3-E145-4AE9-BA5D-EFA06EDB3EF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75-E145-4AE9-BA5D-EFA06EDB3EF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77-E145-4AE9-BA5D-EFA06EDB3EF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E145-4AE9-BA5D-EFA06EDB3EF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E145-4AE9-BA5D-EFA06EDB3EF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E145-4AE9-BA5D-EFA06EDB3EF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E145-4AE9-BA5D-EFA06EDB3EF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E145-4AE9-BA5D-EFA06EDB3EF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E145-4AE9-BA5D-EFA06EDB3EF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E145-4AE9-BA5D-EFA06EDB3EF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E145-4AE9-BA5D-EFA06EDB3EF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E145-4AE9-BA5D-EFA06EDB3EF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E145-4AE9-BA5D-EFA06EDB3EF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E145-4AE9-BA5D-EFA06EDB3EF5}"/>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E145-4AE9-BA5D-EFA06EDB3EF5}"/>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E145-4AE9-BA5D-EFA06EDB3EF5}"/>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E145-4AE9-BA5D-EFA06EDB3EF5}"/>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E145-4AE9-BA5D-EFA06EDB3EF5}"/>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E145-4AE9-BA5D-EFA06EDB3EF5}"/>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E145-4AE9-BA5D-EFA06EDB3EF5}"/>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E145-4AE9-BA5D-EFA06EDB3EF5}"/>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E145-4AE9-BA5D-EFA06EDB3EF5}"/>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E145-4AE9-BA5D-EFA06EDB3EF5}"/>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E145-4AE9-BA5D-EFA06EDB3EF5}"/>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E145-4AE9-BA5D-EFA06EDB3EF5}"/>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E145-4AE9-BA5D-EFA06EDB3EF5}"/>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E145-4AE9-BA5D-EFA06EDB3EF5}"/>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E145-4AE9-BA5D-EFA06EDB3EF5}"/>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E145-4AE9-BA5D-EFA06EDB3EF5}"/>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E145-4AE9-BA5D-EFA06EDB3EF5}"/>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E145-4AE9-BA5D-EFA06EDB3EF5}"/>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E145-4AE9-BA5D-EFA06EDB3EF5}"/>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E145-4AE9-BA5D-EFA06EDB3EF5}"/>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E145-4AE9-BA5D-EFA06EDB3EF5}"/>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E145-4AE9-BA5D-EFA06EDB3EF5}"/>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E145-4AE9-BA5D-EFA06EDB3EF5}"/>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E145-4AE9-BA5D-EFA06EDB3EF5}"/>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E145-4AE9-BA5D-EFA06EDB3EF5}"/>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E145-4AE9-BA5D-EFA06EDB3EF5}"/>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E145-4AE9-BA5D-EFA06EDB3EF5}"/>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E145-4AE9-BA5D-EFA06EDB3EF5}"/>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E145-4AE9-BA5D-EFA06EDB3EF5}"/>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E145-4AE9-BA5D-EFA06EDB3EF5}"/>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E145-4AE9-BA5D-EFA06EDB3EF5}"/>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E145-4AE9-BA5D-EFA06EDB3EF5}"/>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E145-4AE9-BA5D-EFA06EDB3EF5}"/>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E145-4AE9-BA5D-EFA06EDB3EF5}"/>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E145-4AE9-BA5D-EFA06EDB3EF5}"/>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E145-4AE9-BA5D-EFA06EDB3EF5}"/>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E145-4AE9-BA5D-EFA06EDB3EF5}"/>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E145-4AE9-BA5D-EFA06EDB3E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'Chapter - 3'!$B$2:$B$55</c:f>
              <c:numCache>
                <c:formatCode>General</c:formatCode>
                <c:ptCount val="54"/>
                <c:pt idx="0">
                  <c:v>29</c:v>
                </c:pt>
                <c:pt idx="1">
                  <c:v>33</c:v>
                </c:pt>
                <c:pt idx="2">
                  <c:v>46</c:v>
                </c:pt>
                <c:pt idx="3">
                  <c:v>41</c:v>
                </c:pt>
                <c:pt idx="4">
                  <c:v>47</c:v>
                </c:pt>
                <c:pt idx="5">
                  <c:v>37</c:v>
                </c:pt>
                <c:pt idx="6">
                  <c:v>37</c:v>
                </c:pt>
                <c:pt idx="7">
                  <c:v>39</c:v>
                </c:pt>
                <c:pt idx="8">
                  <c:v>29</c:v>
                </c:pt>
                <c:pt idx="9">
                  <c:v>35</c:v>
                </c:pt>
                <c:pt idx="10">
                  <c:v>38</c:v>
                </c:pt>
                <c:pt idx="11">
                  <c:v>26</c:v>
                </c:pt>
                <c:pt idx="12">
                  <c:v>30</c:v>
                </c:pt>
                <c:pt idx="13">
                  <c:v>39</c:v>
                </c:pt>
                <c:pt idx="14">
                  <c:v>37</c:v>
                </c:pt>
                <c:pt idx="15">
                  <c:v>39</c:v>
                </c:pt>
                <c:pt idx="16">
                  <c:v>40</c:v>
                </c:pt>
                <c:pt idx="17">
                  <c:v>32</c:v>
                </c:pt>
                <c:pt idx="18">
                  <c:v>38</c:v>
                </c:pt>
                <c:pt idx="19">
                  <c:v>32</c:v>
                </c:pt>
                <c:pt idx="20">
                  <c:v>25</c:v>
                </c:pt>
                <c:pt idx="21">
                  <c:v>22</c:v>
                </c:pt>
                <c:pt idx="22">
                  <c:v>23</c:v>
                </c:pt>
                <c:pt idx="23">
                  <c:v>16</c:v>
                </c:pt>
                <c:pt idx="24">
                  <c:v>26</c:v>
                </c:pt>
                <c:pt idx="25">
                  <c:v>16</c:v>
                </c:pt>
                <c:pt idx="26">
                  <c:v>11</c:v>
                </c:pt>
                <c:pt idx="27">
                  <c:v>19</c:v>
                </c:pt>
                <c:pt idx="28">
                  <c:v>9</c:v>
                </c:pt>
                <c:pt idx="29">
                  <c:v>7</c:v>
                </c:pt>
                <c:pt idx="30">
                  <c:v>16</c:v>
                </c:pt>
                <c:pt idx="31">
                  <c:v>14</c:v>
                </c:pt>
                <c:pt idx="32">
                  <c:v>5</c:v>
                </c:pt>
                <c:pt idx="33">
                  <c:v>9</c:v>
                </c:pt>
                <c:pt idx="34">
                  <c:v>7</c:v>
                </c:pt>
                <c:pt idx="35">
                  <c:v>8</c:v>
                </c:pt>
                <c:pt idx="36">
                  <c:v>8</c:v>
                </c:pt>
                <c:pt idx="37">
                  <c:v>7</c:v>
                </c:pt>
                <c:pt idx="38">
                  <c:v>3</c:v>
                </c:pt>
                <c:pt idx="39">
                  <c:v>2</c:v>
                </c:pt>
                <c:pt idx="40">
                  <c:v>3</c:v>
                </c:pt>
                <c:pt idx="41">
                  <c:v>4</c:v>
                </c:pt>
                <c:pt idx="42">
                  <c:v>4</c:v>
                </c:pt>
                <c:pt idx="43">
                  <c:v>1</c:v>
                </c:pt>
                <c:pt idx="44">
                  <c:v>1</c:v>
                </c:pt>
                <c:pt idx="45">
                  <c:v>2</c:v>
                </c:pt>
                <c:pt idx="46">
                  <c:v>1</c:v>
                </c:pt>
                <c:pt idx="47">
                  <c:v>1</c:v>
                </c:pt>
                <c:pt idx="48">
                  <c:v>1</c:v>
                </c:pt>
                <c:pt idx="49">
                  <c:v>1</c:v>
                </c:pt>
                <c:pt idx="50">
                  <c:v>1</c:v>
                </c:pt>
                <c:pt idx="51">
                  <c:v>1</c:v>
                </c:pt>
                <c:pt idx="52">
                  <c:v>1</c:v>
                </c:pt>
                <c:pt idx="53">
                  <c:v>1</c:v>
                </c:pt>
              </c:numCache>
            </c:numRef>
          </c:val>
          <c:extLst>
            <c:ext xmlns:c16="http://schemas.microsoft.com/office/drawing/2014/chart" uri="{C3380CC4-5D6E-409C-BE32-E72D297353CC}">
              <c16:uniqueId val="{00000001-E4F6-4C40-8891-691BA4F183D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800" b="1" i="0" u="none" strike="noStrike" kern="1200" spc="0" baseline="0">
                <a:solidFill>
                  <a:srgbClr val="FF0000"/>
                </a:solidFill>
                <a:latin typeface="+mn-lt"/>
                <a:ea typeface="+mn-ea"/>
                <a:cs typeface="+mn-cs"/>
              </a:defRPr>
            </a:pPr>
            <a:r>
              <a:rPr lang="en-US" sz="800" b="1" i="0" u="none" strike="noStrike" kern="1200" spc="0" baseline="0">
                <a:solidFill>
                  <a:srgbClr val="FF0000"/>
                </a:solidFill>
                <a:latin typeface="+mn-lt"/>
                <a:ea typeface="+mn-ea"/>
                <a:cs typeface="+mn-cs"/>
              </a:rPr>
              <a:t>Yearwise Counts of tiles and Sum of Votes</a:t>
            </a:r>
          </a:p>
        </c:rich>
      </c:tx>
      <c:overlay val="0"/>
      <c:spPr>
        <a:noFill/>
        <a:ln>
          <a:noFill/>
        </a:ln>
        <a:effectLst/>
      </c:spPr>
      <c:txPr>
        <a:bodyPr rot="0" spcFirstLastPara="1" vertOverflow="ellipsis" vert="horz" wrap="square" anchor="ctr" anchorCtr="1"/>
        <a:lstStyle/>
        <a:p>
          <a:pPr>
            <a:defRPr lang="en-US" sz="800" b="1" i="0" u="none" strike="noStrike" kern="1200" spc="0" baseline="0">
              <a:solidFill>
                <a:srgbClr val="FF0000"/>
              </a:solidFill>
              <a:latin typeface="+mn-lt"/>
              <a:ea typeface="+mn-ea"/>
              <a:cs typeface="+mn-cs"/>
            </a:defRPr>
          </a:pPr>
          <a:endParaRPr lang="en-US"/>
        </a:p>
      </c:txPr>
    </c:title>
    <c:autoTitleDeleted val="0"/>
    <c:plotArea>
      <c:layout/>
      <c:lineChart>
        <c:grouping val="standard"/>
        <c:varyColors val="0"/>
        <c:ser>
          <c:idx val="0"/>
          <c:order val="0"/>
          <c:tx>
            <c:strRef>
              <c:f>'Chapter - 3'!$B$1</c:f>
              <c:strCache>
                <c:ptCount val="1"/>
                <c:pt idx="0">
                  <c:v>Count OF Titles YearWise</c:v>
                </c:pt>
              </c:strCache>
            </c:strRef>
          </c:tx>
          <c:spPr>
            <a:ln w="28575" cap="rnd">
              <a:solidFill>
                <a:schemeClr val="accent1"/>
              </a:solidFill>
              <a:round/>
            </a:ln>
            <a:effectLst/>
          </c:spPr>
          <c:marker>
            <c:symbol val="none"/>
          </c:marker>
          <c:cat>
            <c:numRef>
              <c:f>'Chapter - 3'!$A$2:$A$16</c:f>
              <c:numCache>
                <c:formatCode>General</c:formatCode>
                <c:ptCount val="15"/>
                <c:pt idx="0">
                  <c:v>2024</c:v>
                </c:pt>
                <c:pt idx="1">
                  <c:v>2023</c:v>
                </c:pt>
                <c:pt idx="2">
                  <c:v>2022</c:v>
                </c:pt>
                <c:pt idx="3">
                  <c:v>2021</c:v>
                </c:pt>
                <c:pt idx="4">
                  <c:v>2020</c:v>
                </c:pt>
                <c:pt idx="5">
                  <c:v>2019</c:v>
                </c:pt>
                <c:pt idx="6">
                  <c:v>2018</c:v>
                </c:pt>
                <c:pt idx="7">
                  <c:v>2017</c:v>
                </c:pt>
                <c:pt idx="8">
                  <c:v>2016</c:v>
                </c:pt>
                <c:pt idx="9">
                  <c:v>2015</c:v>
                </c:pt>
                <c:pt idx="10">
                  <c:v>2014</c:v>
                </c:pt>
                <c:pt idx="11">
                  <c:v>2013</c:v>
                </c:pt>
                <c:pt idx="12">
                  <c:v>2012</c:v>
                </c:pt>
                <c:pt idx="13">
                  <c:v>2011</c:v>
                </c:pt>
                <c:pt idx="14">
                  <c:v>2010</c:v>
                </c:pt>
              </c:numCache>
            </c:numRef>
          </c:cat>
          <c:val>
            <c:numRef>
              <c:f>'Chapter - 3'!$B$2:$B$16</c:f>
              <c:numCache>
                <c:formatCode>General</c:formatCode>
                <c:ptCount val="15"/>
                <c:pt idx="0">
                  <c:v>29</c:v>
                </c:pt>
                <c:pt idx="1">
                  <c:v>33</c:v>
                </c:pt>
                <c:pt idx="2">
                  <c:v>46</c:v>
                </c:pt>
                <c:pt idx="3">
                  <c:v>41</c:v>
                </c:pt>
                <c:pt idx="4">
                  <c:v>47</c:v>
                </c:pt>
                <c:pt idx="5">
                  <c:v>37</c:v>
                </c:pt>
                <c:pt idx="6">
                  <c:v>37</c:v>
                </c:pt>
                <c:pt idx="7">
                  <c:v>39</c:v>
                </c:pt>
                <c:pt idx="8">
                  <c:v>29</c:v>
                </c:pt>
                <c:pt idx="9">
                  <c:v>35</c:v>
                </c:pt>
                <c:pt idx="10">
                  <c:v>38</c:v>
                </c:pt>
                <c:pt idx="11">
                  <c:v>26</c:v>
                </c:pt>
                <c:pt idx="12">
                  <c:v>30</c:v>
                </c:pt>
                <c:pt idx="13">
                  <c:v>39</c:v>
                </c:pt>
                <c:pt idx="14">
                  <c:v>37</c:v>
                </c:pt>
              </c:numCache>
            </c:numRef>
          </c:val>
          <c:smooth val="0"/>
          <c:extLst>
            <c:ext xmlns:c16="http://schemas.microsoft.com/office/drawing/2014/chart" uri="{C3380CC4-5D6E-409C-BE32-E72D297353CC}">
              <c16:uniqueId val="{00000000-75B6-4644-B648-42D38F25056A}"/>
            </c:ext>
          </c:extLst>
        </c:ser>
        <c:ser>
          <c:idx val="1"/>
          <c:order val="1"/>
          <c:tx>
            <c:strRef>
              <c:f>'Chapter - 3'!$C$1</c:f>
              <c:strCache>
                <c:ptCount val="1"/>
                <c:pt idx="0">
                  <c:v>Sum of NumVotes</c:v>
                </c:pt>
              </c:strCache>
            </c:strRef>
          </c:tx>
          <c:spPr>
            <a:ln w="28575" cap="rnd">
              <a:solidFill>
                <a:schemeClr val="accent2"/>
              </a:solidFill>
              <a:round/>
            </a:ln>
            <a:effectLst/>
          </c:spPr>
          <c:marker>
            <c:symbol val="none"/>
          </c:marker>
          <c:cat>
            <c:numRef>
              <c:f>'Chapter - 3'!$A$2:$A$16</c:f>
              <c:numCache>
                <c:formatCode>General</c:formatCode>
                <c:ptCount val="15"/>
                <c:pt idx="0">
                  <c:v>2024</c:v>
                </c:pt>
                <c:pt idx="1">
                  <c:v>2023</c:v>
                </c:pt>
                <c:pt idx="2">
                  <c:v>2022</c:v>
                </c:pt>
                <c:pt idx="3">
                  <c:v>2021</c:v>
                </c:pt>
                <c:pt idx="4">
                  <c:v>2020</c:v>
                </c:pt>
                <c:pt idx="5">
                  <c:v>2019</c:v>
                </c:pt>
                <c:pt idx="6">
                  <c:v>2018</c:v>
                </c:pt>
                <c:pt idx="7">
                  <c:v>2017</c:v>
                </c:pt>
                <c:pt idx="8">
                  <c:v>2016</c:v>
                </c:pt>
                <c:pt idx="9">
                  <c:v>2015</c:v>
                </c:pt>
                <c:pt idx="10">
                  <c:v>2014</c:v>
                </c:pt>
                <c:pt idx="11">
                  <c:v>2013</c:v>
                </c:pt>
                <c:pt idx="12">
                  <c:v>2012</c:v>
                </c:pt>
                <c:pt idx="13">
                  <c:v>2011</c:v>
                </c:pt>
                <c:pt idx="14">
                  <c:v>2010</c:v>
                </c:pt>
              </c:numCache>
            </c:numRef>
          </c:cat>
          <c:val>
            <c:numRef>
              <c:f>'Chapter - 3'!$C$2:$C$16</c:f>
              <c:numCache>
                <c:formatCode>General</c:formatCode>
                <c:ptCount val="15"/>
                <c:pt idx="0">
                  <c:v>847025</c:v>
                </c:pt>
                <c:pt idx="1">
                  <c:v>1065820</c:v>
                </c:pt>
                <c:pt idx="2">
                  <c:v>1581172</c:v>
                </c:pt>
                <c:pt idx="3">
                  <c:v>1314706</c:v>
                </c:pt>
                <c:pt idx="4">
                  <c:v>1145761</c:v>
                </c:pt>
                <c:pt idx="5">
                  <c:v>1045626</c:v>
                </c:pt>
                <c:pt idx="6">
                  <c:v>991257</c:v>
                </c:pt>
                <c:pt idx="7">
                  <c:v>1400603</c:v>
                </c:pt>
                <c:pt idx="8">
                  <c:v>944673</c:v>
                </c:pt>
                <c:pt idx="9">
                  <c:v>1477662</c:v>
                </c:pt>
                <c:pt idx="10">
                  <c:v>1130910</c:v>
                </c:pt>
                <c:pt idx="11">
                  <c:v>1106743</c:v>
                </c:pt>
                <c:pt idx="12">
                  <c:v>886017</c:v>
                </c:pt>
                <c:pt idx="13">
                  <c:v>1660998</c:v>
                </c:pt>
                <c:pt idx="14">
                  <c:v>1522836</c:v>
                </c:pt>
              </c:numCache>
            </c:numRef>
          </c:val>
          <c:smooth val="0"/>
          <c:extLst>
            <c:ext xmlns:c16="http://schemas.microsoft.com/office/drawing/2014/chart" uri="{C3380CC4-5D6E-409C-BE32-E72D297353CC}">
              <c16:uniqueId val="{00000001-75B6-4644-B648-42D38F25056A}"/>
            </c:ext>
          </c:extLst>
        </c:ser>
        <c:dLbls>
          <c:showLegendKey val="0"/>
          <c:showVal val="0"/>
          <c:showCatName val="0"/>
          <c:showSerName val="0"/>
          <c:showPercent val="0"/>
          <c:showBubbleSize val="0"/>
        </c:dLbls>
        <c:smooth val="0"/>
        <c:axId val="724584200"/>
        <c:axId val="724581320"/>
      </c:lineChart>
      <c:catAx>
        <c:axId val="724584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a:solidFill>
                      <a:srgbClr val="FF0000"/>
                    </a:solidFill>
                  </a:rPr>
                  <a:t>Release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81320"/>
        <c:crosses val="autoZero"/>
        <c:auto val="1"/>
        <c:lblAlgn val="ctr"/>
        <c:lblOffset val="100"/>
        <c:noMultiLvlLbl val="0"/>
      </c:catAx>
      <c:valAx>
        <c:axId val="724581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rgbClr val="FF0000"/>
                    </a:solidFill>
                    <a:latin typeface="+mn-lt"/>
                    <a:ea typeface="+mn-ea"/>
                    <a:cs typeface="+mn-cs"/>
                  </a:defRPr>
                </a:pPr>
                <a:r>
                  <a:rPr lang="en-US" sz="800">
                    <a:solidFill>
                      <a:srgbClr val="FF0000"/>
                    </a:solidFill>
                  </a:rPr>
                  <a:t>Total</a:t>
                </a:r>
                <a:r>
                  <a:rPr lang="en-US" sz="800" baseline="0">
                    <a:solidFill>
                      <a:srgbClr val="FF0000"/>
                    </a:solidFill>
                  </a:rPr>
                  <a:t> Votes</a:t>
                </a:r>
              </a:p>
              <a:p>
                <a:pPr>
                  <a:defRPr sz="800">
                    <a:solidFill>
                      <a:srgbClr val="FF0000"/>
                    </a:solidFill>
                  </a:defRPr>
                </a:pPr>
                <a:endParaRPr lang="en-US" sz="800">
                  <a:solidFill>
                    <a:srgbClr val="FF0000"/>
                  </a:solidFill>
                </a:endParaRPr>
              </a:p>
            </c:rich>
          </c:tx>
          <c:layout>
            <c:manualLayout>
              <c:xMode val="edge"/>
              <c:yMode val="edge"/>
              <c:x val="2.7620841180163214E-2"/>
              <c:y val="0.40764253426655001"/>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84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b="1" i="0" u="none" strike="noStrike" baseline="0">
                <a:solidFill>
                  <a:srgbClr val="C00000"/>
                </a:solidFill>
              </a:rPr>
              <a:t>Stock Price - The Acolyte Release</a:t>
            </a:r>
            <a:endParaRPr lang="en-US" sz="900" b="1">
              <a:solidFill>
                <a:srgbClr val="C0000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stockChart>
        <c:ser>
          <c:idx val="0"/>
          <c:order val="0"/>
          <c:tx>
            <c:strRef>
              <c:f>'Chapter-3 Stocks'!$D$2</c:f>
              <c:strCache>
                <c:ptCount val="1"/>
                <c:pt idx="0">
                  <c:v>Stock Open</c:v>
                </c:pt>
              </c:strCache>
            </c:strRef>
          </c:tx>
          <c:spPr>
            <a:ln w="25400" cap="rnd">
              <a:noFill/>
              <a:round/>
            </a:ln>
            <a:effectLst/>
          </c:spPr>
          <c:marker>
            <c:symbol val="none"/>
          </c:marker>
          <c:cat>
            <c:numRef>
              <c:f>'Chapter-3 Stocks'!$A$3:$A$7</c:f>
              <c:numCache>
                <c:formatCode>m/d/yyyy</c:formatCode>
                <c:ptCount val="5"/>
                <c:pt idx="0">
                  <c:v>45467</c:v>
                </c:pt>
                <c:pt idx="1">
                  <c:v>45468</c:v>
                </c:pt>
                <c:pt idx="2">
                  <c:v>45469</c:v>
                </c:pt>
                <c:pt idx="3">
                  <c:v>45470</c:v>
                </c:pt>
                <c:pt idx="4">
                  <c:v>45471</c:v>
                </c:pt>
              </c:numCache>
            </c:numRef>
          </c:cat>
          <c:val>
            <c:numRef>
              <c:f>'Chapter-3 Stocks'!$D$3:$D$7</c:f>
              <c:numCache>
                <c:formatCode>General</c:formatCode>
                <c:ptCount val="5"/>
                <c:pt idx="0">
                  <c:v>128.1</c:v>
                </c:pt>
                <c:pt idx="1">
                  <c:v>130</c:v>
                </c:pt>
                <c:pt idx="2">
                  <c:v>133</c:v>
                </c:pt>
                <c:pt idx="3">
                  <c:v>134.5</c:v>
                </c:pt>
                <c:pt idx="4">
                  <c:v>137</c:v>
                </c:pt>
              </c:numCache>
            </c:numRef>
          </c:val>
          <c:smooth val="0"/>
          <c:extLst>
            <c:ext xmlns:c16="http://schemas.microsoft.com/office/drawing/2014/chart" uri="{C3380CC4-5D6E-409C-BE32-E72D297353CC}">
              <c16:uniqueId val="{00000000-8D19-4B47-B6DE-861D9A053BDF}"/>
            </c:ext>
          </c:extLst>
        </c:ser>
        <c:ser>
          <c:idx val="1"/>
          <c:order val="1"/>
          <c:tx>
            <c:strRef>
              <c:f>'Chapter-3 Stocks'!$E$2</c:f>
              <c:strCache>
                <c:ptCount val="1"/>
                <c:pt idx="0">
                  <c:v>Stock High</c:v>
                </c:pt>
              </c:strCache>
            </c:strRef>
          </c:tx>
          <c:spPr>
            <a:ln w="25400" cap="rnd">
              <a:noFill/>
              <a:round/>
            </a:ln>
            <a:effectLst/>
          </c:spPr>
          <c:marker>
            <c:symbol val="none"/>
          </c:marker>
          <c:cat>
            <c:numRef>
              <c:f>'Chapter-3 Stocks'!$A$3:$A$7</c:f>
              <c:numCache>
                <c:formatCode>m/d/yyyy</c:formatCode>
                <c:ptCount val="5"/>
                <c:pt idx="0">
                  <c:v>45467</c:v>
                </c:pt>
                <c:pt idx="1">
                  <c:v>45468</c:v>
                </c:pt>
                <c:pt idx="2">
                  <c:v>45469</c:v>
                </c:pt>
                <c:pt idx="3">
                  <c:v>45470</c:v>
                </c:pt>
                <c:pt idx="4">
                  <c:v>45471</c:v>
                </c:pt>
              </c:numCache>
            </c:numRef>
          </c:cat>
          <c:val>
            <c:numRef>
              <c:f>'Chapter-3 Stocks'!$E$3:$E$7</c:f>
              <c:numCache>
                <c:formatCode>General</c:formatCode>
                <c:ptCount val="5"/>
                <c:pt idx="0">
                  <c:v>133.5</c:v>
                </c:pt>
                <c:pt idx="1">
                  <c:v>134</c:v>
                </c:pt>
                <c:pt idx="2">
                  <c:v>136</c:v>
                </c:pt>
                <c:pt idx="3">
                  <c:v>138</c:v>
                </c:pt>
                <c:pt idx="4">
                  <c:v>140</c:v>
                </c:pt>
              </c:numCache>
            </c:numRef>
          </c:val>
          <c:smooth val="0"/>
          <c:extLst>
            <c:ext xmlns:c16="http://schemas.microsoft.com/office/drawing/2014/chart" uri="{C3380CC4-5D6E-409C-BE32-E72D297353CC}">
              <c16:uniqueId val="{00000001-8D19-4B47-B6DE-861D9A053BDF}"/>
            </c:ext>
          </c:extLst>
        </c:ser>
        <c:ser>
          <c:idx val="2"/>
          <c:order val="2"/>
          <c:tx>
            <c:strRef>
              <c:f>'Chapter-3 Stocks'!$F$2</c:f>
              <c:strCache>
                <c:ptCount val="1"/>
                <c:pt idx="0">
                  <c:v>Stock Low</c:v>
                </c:pt>
              </c:strCache>
            </c:strRef>
          </c:tx>
          <c:spPr>
            <a:ln w="25400" cap="rnd">
              <a:noFill/>
              <a:round/>
            </a:ln>
            <a:effectLst/>
          </c:spPr>
          <c:marker>
            <c:symbol val="none"/>
          </c:marker>
          <c:cat>
            <c:numRef>
              <c:f>'Chapter-3 Stocks'!$A$3:$A$7</c:f>
              <c:numCache>
                <c:formatCode>m/d/yyyy</c:formatCode>
                <c:ptCount val="5"/>
                <c:pt idx="0">
                  <c:v>45467</c:v>
                </c:pt>
                <c:pt idx="1">
                  <c:v>45468</c:v>
                </c:pt>
                <c:pt idx="2">
                  <c:v>45469</c:v>
                </c:pt>
                <c:pt idx="3">
                  <c:v>45470</c:v>
                </c:pt>
                <c:pt idx="4">
                  <c:v>45471</c:v>
                </c:pt>
              </c:numCache>
            </c:numRef>
          </c:cat>
          <c:val>
            <c:numRef>
              <c:f>'Chapter-3 Stocks'!$F$3:$F$7</c:f>
              <c:numCache>
                <c:formatCode>General</c:formatCode>
                <c:ptCount val="5"/>
                <c:pt idx="0">
                  <c:v>127.5</c:v>
                </c:pt>
                <c:pt idx="1">
                  <c:v>129</c:v>
                </c:pt>
                <c:pt idx="2">
                  <c:v>131</c:v>
                </c:pt>
                <c:pt idx="3">
                  <c:v>132.5</c:v>
                </c:pt>
                <c:pt idx="4">
                  <c:v>136.5</c:v>
                </c:pt>
              </c:numCache>
            </c:numRef>
          </c:val>
          <c:smooth val="0"/>
          <c:extLst>
            <c:ext xmlns:c16="http://schemas.microsoft.com/office/drawing/2014/chart" uri="{C3380CC4-5D6E-409C-BE32-E72D297353CC}">
              <c16:uniqueId val="{00000002-8D19-4B47-B6DE-861D9A053BDF}"/>
            </c:ext>
          </c:extLst>
        </c:ser>
        <c:ser>
          <c:idx val="3"/>
          <c:order val="3"/>
          <c:tx>
            <c:strRef>
              <c:f>'Chapter-3 Stocks'!$G$2</c:f>
              <c:strCache>
                <c:ptCount val="1"/>
                <c:pt idx="0">
                  <c:v>Stock Close</c:v>
                </c:pt>
              </c:strCache>
            </c:strRef>
          </c:tx>
          <c:spPr>
            <a:ln w="25400" cap="rnd">
              <a:noFill/>
              <a:round/>
            </a:ln>
            <a:effectLst/>
          </c:spPr>
          <c:marker>
            <c:symbol val="none"/>
          </c:marker>
          <c:cat>
            <c:numRef>
              <c:f>'Chapter-3 Stocks'!$A$3:$A$7</c:f>
              <c:numCache>
                <c:formatCode>m/d/yyyy</c:formatCode>
                <c:ptCount val="5"/>
                <c:pt idx="0">
                  <c:v>45467</c:v>
                </c:pt>
                <c:pt idx="1">
                  <c:v>45468</c:v>
                </c:pt>
                <c:pt idx="2">
                  <c:v>45469</c:v>
                </c:pt>
                <c:pt idx="3">
                  <c:v>45470</c:v>
                </c:pt>
                <c:pt idx="4">
                  <c:v>45471</c:v>
                </c:pt>
              </c:numCache>
            </c:numRef>
          </c:cat>
          <c:val>
            <c:numRef>
              <c:f>'Chapter-3 Stocks'!$G$3:$G$7</c:f>
              <c:numCache>
                <c:formatCode>General</c:formatCode>
                <c:ptCount val="5"/>
                <c:pt idx="0">
                  <c:v>130</c:v>
                </c:pt>
                <c:pt idx="1">
                  <c:v>133</c:v>
                </c:pt>
                <c:pt idx="2">
                  <c:v>134.5</c:v>
                </c:pt>
                <c:pt idx="3">
                  <c:v>137</c:v>
                </c:pt>
                <c:pt idx="4">
                  <c:v>139.5</c:v>
                </c:pt>
              </c:numCache>
            </c:numRef>
          </c:val>
          <c:smooth val="0"/>
          <c:extLst>
            <c:ext xmlns:c16="http://schemas.microsoft.com/office/drawing/2014/chart" uri="{C3380CC4-5D6E-409C-BE32-E72D297353CC}">
              <c16:uniqueId val="{00000003-8D19-4B47-B6DE-861D9A053BDF}"/>
            </c:ext>
          </c:extLst>
        </c:ser>
        <c:dLbls>
          <c:showLegendKey val="0"/>
          <c:showVal val="0"/>
          <c:showCatName val="0"/>
          <c:showSerName val="0"/>
          <c:showPercent val="0"/>
          <c:showBubbleSize val="0"/>
        </c:dLbls>
        <c:hiLowLines>
          <c:spPr>
            <a:ln w="15875" cap="flat" cmpd="sng" algn="ctr">
              <a:solidFill>
                <a:schemeClr val="dk1">
                  <a:lumMod val="65000"/>
                  <a:lumOff val="35000"/>
                </a:schemeClr>
              </a:solidFill>
              <a:round/>
            </a:ln>
            <a:effectLst/>
          </c:spPr>
        </c:hiLowLines>
        <c:upDownBars>
          <c:gapWidth val="150"/>
          <c:upBars>
            <c:spPr>
              <a:solidFill>
                <a:schemeClr val="lt1"/>
              </a:solidFill>
              <a:ln w="9525" cap="flat" cmpd="sng" algn="ctr">
                <a:solidFill>
                  <a:schemeClr val="lt1">
                    <a:lumMod val="85000"/>
                  </a:schemeClr>
                </a:solidFill>
                <a:round/>
              </a:ln>
              <a:effectLst/>
            </c:spPr>
          </c:upBars>
          <c:downBars>
            <c:spPr>
              <a:solidFill>
                <a:schemeClr val="dk1">
                  <a:lumMod val="65000"/>
                  <a:lumOff val="35000"/>
                </a:schemeClr>
              </a:solidFill>
              <a:ln w="9525" cap="flat" cmpd="sng" algn="ctr">
                <a:solidFill>
                  <a:schemeClr val="dk1">
                    <a:lumMod val="65000"/>
                    <a:lumOff val="35000"/>
                  </a:schemeClr>
                </a:solidFill>
                <a:round/>
              </a:ln>
              <a:effectLst/>
            </c:spPr>
          </c:downBars>
        </c:upDownBars>
        <c:axId val="724614080"/>
        <c:axId val="724614440"/>
      </c:stockChart>
      <c:dateAx>
        <c:axId val="72461408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sz="900" b="1" i="0" u="none" strike="noStrike" baseline="0">
                    <a:solidFill>
                      <a:srgbClr val="C00000"/>
                    </a:solidFill>
                  </a:rPr>
                  <a:t>Date</a:t>
                </a:r>
                <a:endParaRPr lang="en-US">
                  <a:solidFill>
                    <a:srgbClr val="C00000"/>
                  </a:solidFill>
                </a:endParaRP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m/d/yyyy"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24614440"/>
        <c:crosses val="autoZero"/>
        <c:auto val="1"/>
        <c:lblOffset val="100"/>
        <c:baseTimeUnit val="days"/>
      </c:dateAx>
      <c:valAx>
        <c:axId val="72461444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sz="900" b="1" i="0" u="none" strike="noStrike" baseline="0">
                    <a:solidFill>
                      <a:srgbClr val="C00000"/>
                    </a:solidFill>
                  </a:rPr>
                  <a:t>Stock Price ($)</a:t>
                </a:r>
                <a:endParaRPr lang="en-US">
                  <a:solidFill>
                    <a:srgbClr val="C00000"/>
                  </a:solidFill>
                </a:endParaRP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2461408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900">
                <a:solidFill>
                  <a:srgbClr val="C00000"/>
                </a:solidFill>
              </a:rPr>
              <a:t>Stock Price and Trading Volume - Avengers: Endgame Release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barChart>
        <c:barDir val="col"/>
        <c:grouping val="clustered"/>
        <c:varyColors val="0"/>
        <c:ser>
          <c:idx val="4"/>
          <c:order val="4"/>
          <c:tx>
            <c:strRef>
              <c:f>'Chapter-3 Stocks'!$H$2</c:f>
              <c:strCache>
                <c:ptCount val="1"/>
                <c:pt idx="0">
                  <c:v>Volume</c:v>
                </c:pt>
              </c:strCache>
            </c:strRef>
          </c:tx>
          <c:spPr>
            <a:solidFill>
              <a:schemeClr val="accent5"/>
            </a:solidFill>
            <a:ln>
              <a:noFill/>
            </a:ln>
            <a:effectLst/>
          </c:spPr>
          <c:invertIfNegative val="0"/>
          <c:cat>
            <c:numRef>
              <c:f>'Chapter-3 Stocks'!$A$3:$A$7</c:f>
              <c:numCache>
                <c:formatCode>m/d/yyyy</c:formatCode>
                <c:ptCount val="5"/>
                <c:pt idx="0">
                  <c:v>45467</c:v>
                </c:pt>
                <c:pt idx="1">
                  <c:v>45468</c:v>
                </c:pt>
                <c:pt idx="2">
                  <c:v>45469</c:v>
                </c:pt>
                <c:pt idx="3">
                  <c:v>45470</c:v>
                </c:pt>
                <c:pt idx="4">
                  <c:v>45471</c:v>
                </c:pt>
              </c:numCache>
            </c:numRef>
          </c:cat>
          <c:val>
            <c:numRef>
              <c:f>'Chapter-3 Stocks'!$H$3:$H$7</c:f>
              <c:numCache>
                <c:formatCode>#,##0</c:formatCode>
                <c:ptCount val="5"/>
                <c:pt idx="0">
                  <c:v>10000000</c:v>
                </c:pt>
                <c:pt idx="1">
                  <c:v>12000000</c:v>
                </c:pt>
                <c:pt idx="2">
                  <c:v>11000000</c:v>
                </c:pt>
                <c:pt idx="3">
                  <c:v>9500000</c:v>
                </c:pt>
                <c:pt idx="4">
                  <c:v>13000000</c:v>
                </c:pt>
              </c:numCache>
            </c:numRef>
          </c:val>
          <c:extLst>
            <c:ext xmlns:c16="http://schemas.microsoft.com/office/drawing/2014/chart" uri="{C3380CC4-5D6E-409C-BE32-E72D297353CC}">
              <c16:uniqueId val="{00000004-33CC-40AA-9177-23E556342B0C}"/>
            </c:ext>
          </c:extLst>
        </c:ser>
        <c:dLbls>
          <c:showLegendKey val="0"/>
          <c:showVal val="0"/>
          <c:showCatName val="0"/>
          <c:showSerName val="0"/>
          <c:showPercent val="0"/>
          <c:showBubbleSize val="0"/>
        </c:dLbls>
        <c:gapWidth val="247"/>
        <c:axId val="796576176"/>
        <c:axId val="796576536"/>
      </c:barChart>
      <c:lineChart>
        <c:grouping val="standard"/>
        <c:varyColors val="0"/>
        <c:ser>
          <c:idx val="0"/>
          <c:order val="0"/>
          <c:tx>
            <c:strRef>
              <c:f>'Chapter-3 Stocks'!$D$2</c:f>
              <c:strCache>
                <c:ptCount val="1"/>
                <c:pt idx="0">
                  <c:v>Stock Open</c:v>
                </c:pt>
              </c:strCache>
            </c:strRef>
          </c:tx>
          <c:spPr>
            <a:ln w="22225" cap="rnd">
              <a:solidFill>
                <a:schemeClr val="accent1"/>
              </a:solidFill>
              <a:round/>
            </a:ln>
            <a:effectLst/>
          </c:spPr>
          <c:marker>
            <c:symbol val="none"/>
          </c:marker>
          <c:cat>
            <c:numRef>
              <c:f>'Chapter-3 Stocks'!$A$3:$A$7</c:f>
              <c:numCache>
                <c:formatCode>m/d/yyyy</c:formatCode>
                <c:ptCount val="5"/>
                <c:pt idx="0">
                  <c:v>45467</c:v>
                </c:pt>
                <c:pt idx="1">
                  <c:v>45468</c:v>
                </c:pt>
                <c:pt idx="2">
                  <c:v>45469</c:v>
                </c:pt>
                <c:pt idx="3">
                  <c:v>45470</c:v>
                </c:pt>
                <c:pt idx="4">
                  <c:v>45471</c:v>
                </c:pt>
              </c:numCache>
            </c:numRef>
          </c:cat>
          <c:val>
            <c:numRef>
              <c:f>'Chapter-3 Stocks'!$D$3:$D$7</c:f>
              <c:numCache>
                <c:formatCode>General</c:formatCode>
                <c:ptCount val="5"/>
                <c:pt idx="0">
                  <c:v>128.1</c:v>
                </c:pt>
                <c:pt idx="1">
                  <c:v>130</c:v>
                </c:pt>
                <c:pt idx="2">
                  <c:v>133</c:v>
                </c:pt>
                <c:pt idx="3">
                  <c:v>134.5</c:v>
                </c:pt>
                <c:pt idx="4">
                  <c:v>137</c:v>
                </c:pt>
              </c:numCache>
            </c:numRef>
          </c:val>
          <c:smooth val="0"/>
          <c:extLst>
            <c:ext xmlns:c16="http://schemas.microsoft.com/office/drawing/2014/chart" uri="{C3380CC4-5D6E-409C-BE32-E72D297353CC}">
              <c16:uniqueId val="{00000000-33CC-40AA-9177-23E556342B0C}"/>
            </c:ext>
          </c:extLst>
        </c:ser>
        <c:ser>
          <c:idx val="1"/>
          <c:order val="1"/>
          <c:tx>
            <c:strRef>
              <c:f>'Chapter-3 Stocks'!$E$2</c:f>
              <c:strCache>
                <c:ptCount val="1"/>
                <c:pt idx="0">
                  <c:v>Stock High</c:v>
                </c:pt>
              </c:strCache>
            </c:strRef>
          </c:tx>
          <c:spPr>
            <a:ln w="22225" cap="rnd">
              <a:solidFill>
                <a:schemeClr val="accent2"/>
              </a:solidFill>
              <a:round/>
            </a:ln>
            <a:effectLst/>
          </c:spPr>
          <c:marker>
            <c:symbol val="none"/>
          </c:marker>
          <c:cat>
            <c:numRef>
              <c:f>'Chapter-3 Stocks'!$A$3:$A$7</c:f>
              <c:numCache>
                <c:formatCode>m/d/yyyy</c:formatCode>
                <c:ptCount val="5"/>
                <c:pt idx="0">
                  <c:v>45467</c:v>
                </c:pt>
                <c:pt idx="1">
                  <c:v>45468</c:v>
                </c:pt>
                <c:pt idx="2">
                  <c:v>45469</c:v>
                </c:pt>
                <c:pt idx="3">
                  <c:v>45470</c:v>
                </c:pt>
                <c:pt idx="4">
                  <c:v>45471</c:v>
                </c:pt>
              </c:numCache>
            </c:numRef>
          </c:cat>
          <c:val>
            <c:numRef>
              <c:f>'Chapter-3 Stocks'!$E$3:$E$7</c:f>
              <c:numCache>
                <c:formatCode>General</c:formatCode>
                <c:ptCount val="5"/>
                <c:pt idx="0">
                  <c:v>133.5</c:v>
                </c:pt>
                <c:pt idx="1">
                  <c:v>134</c:v>
                </c:pt>
                <c:pt idx="2">
                  <c:v>136</c:v>
                </c:pt>
                <c:pt idx="3">
                  <c:v>138</c:v>
                </c:pt>
                <c:pt idx="4">
                  <c:v>140</c:v>
                </c:pt>
              </c:numCache>
            </c:numRef>
          </c:val>
          <c:smooth val="0"/>
          <c:extLst>
            <c:ext xmlns:c16="http://schemas.microsoft.com/office/drawing/2014/chart" uri="{C3380CC4-5D6E-409C-BE32-E72D297353CC}">
              <c16:uniqueId val="{00000001-33CC-40AA-9177-23E556342B0C}"/>
            </c:ext>
          </c:extLst>
        </c:ser>
        <c:ser>
          <c:idx val="2"/>
          <c:order val="2"/>
          <c:tx>
            <c:strRef>
              <c:f>'Chapter-3 Stocks'!$F$2</c:f>
              <c:strCache>
                <c:ptCount val="1"/>
                <c:pt idx="0">
                  <c:v>Stock Low</c:v>
                </c:pt>
              </c:strCache>
            </c:strRef>
          </c:tx>
          <c:spPr>
            <a:ln w="22225" cap="rnd">
              <a:solidFill>
                <a:schemeClr val="accent3"/>
              </a:solidFill>
              <a:round/>
            </a:ln>
            <a:effectLst/>
          </c:spPr>
          <c:marker>
            <c:symbol val="none"/>
          </c:marker>
          <c:cat>
            <c:numRef>
              <c:f>'Chapter-3 Stocks'!$A$3:$A$7</c:f>
              <c:numCache>
                <c:formatCode>m/d/yyyy</c:formatCode>
                <c:ptCount val="5"/>
                <c:pt idx="0">
                  <c:v>45467</c:v>
                </c:pt>
                <c:pt idx="1">
                  <c:v>45468</c:v>
                </c:pt>
                <c:pt idx="2">
                  <c:v>45469</c:v>
                </c:pt>
                <c:pt idx="3">
                  <c:v>45470</c:v>
                </c:pt>
                <c:pt idx="4">
                  <c:v>45471</c:v>
                </c:pt>
              </c:numCache>
            </c:numRef>
          </c:cat>
          <c:val>
            <c:numRef>
              <c:f>'Chapter-3 Stocks'!$F$3:$F$7</c:f>
              <c:numCache>
                <c:formatCode>General</c:formatCode>
                <c:ptCount val="5"/>
                <c:pt idx="0">
                  <c:v>127.5</c:v>
                </c:pt>
                <c:pt idx="1">
                  <c:v>129</c:v>
                </c:pt>
                <c:pt idx="2">
                  <c:v>131</c:v>
                </c:pt>
                <c:pt idx="3">
                  <c:v>132.5</c:v>
                </c:pt>
                <c:pt idx="4">
                  <c:v>136.5</c:v>
                </c:pt>
              </c:numCache>
            </c:numRef>
          </c:val>
          <c:smooth val="0"/>
          <c:extLst>
            <c:ext xmlns:c16="http://schemas.microsoft.com/office/drawing/2014/chart" uri="{C3380CC4-5D6E-409C-BE32-E72D297353CC}">
              <c16:uniqueId val="{00000002-33CC-40AA-9177-23E556342B0C}"/>
            </c:ext>
          </c:extLst>
        </c:ser>
        <c:ser>
          <c:idx val="3"/>
          <c:order val="3"/>
          <c:tx>
            <c:strRef>
              <c:f>'Chapter-3 Stocks'!$G$2</c:f>
              <c:strCache>
                <c:ptCount val="1"/>
                <c:pt idx="0">
                  <c:v>Stock Close</c:v>
                </c:pt>
              </c:strCache>
            </c:strRef>
          </c:tx>
          <c:spPr>
            <a:ln w="22225" cap="rnd">
              <a:solidFill>
                <a:schemeClr val="accent4"/>
              </a:solidFill>
              <a:round/>
            </a:ln>
            <a:effectLst/>
          </c:spPr>
          <c:marker>
            <c:symbol val="none"/>
          </c:marker>
          <c:cat>
            <c:numRef>
              <c:f>'Chapter-3 Stocks'!$A$3:$A$7</c:f>
              <c:numCache>
                <c:formatCode>m/d/yyyy</c:formatCode>
                <c:ptCount val="5"/>
                <c:pt idx="0">
                  <c:v>45467</c:v>
                </c:pt>
                <c:pt idx="1">
                  <c:v>45468</c:v>
                </c:pt>
                <c:pt idx="2">
                  <c:v>45469</c:v>
                </c:pt>
                <c:pt idx="3">
                  <c:v>45470</c:v>
                </c:pt>
                <c:pt idx="4">
                  <c:v>45471</c:v>
                </c:pt>
              </c:numCache>
            </c:numRef>
          </c:cat>
          <c:val>
            <c:numRef>
              <c:f>'Chapter-3 Stocks'!$G$3:$G$7</c:f>
              <c:numCache>
                <c:formatCode>General</c:formatCode>
                <c:ptCount val="5"/>
                <c:pt idx="0">
                  <c:v>130</c:v>
                </c:pt>
                <c:pt idx="1">
                  <c:v>133</c:v>
                </c:pt>
                <c:pt idx="2">
                  <c:v>134.5</c:v>
                </c:pt>
                <c:pt idx="3">
                  <c:v>137</c:v>
                </c:pt>
                <c:pt idx="4">
                  <c:v>139.5</c:v>
                </c:pt>
              </c:numCache>
            </c:numRef>
          </c:val>
          <c:smooth val="0"/>
          <c:extLst>
            <c:ext xmlns:c16="http://schemas.microsoft.com/office/drawing/2014/chart" uri="{C3380CC4-5D6E-409C-BE32-E72D297353CC}">
              <c16:uniqueId val="{00000003-33CC-40AA-9177-23E556342B0C}"/>
            </c:ext>
          </c:extLst>
        </c:ser>
        <c:dLbls>
          <c:showLegendKey val="0"/>
          <c:showVal val="0"/>
          <c:showCatName val="0"/>
          <c:showSerName val="0"/>
          <c:showPercent val="0"/>
          <c:showBubbleSize val="0"/>
        </c:dLbls>
        <c:marker val="1"/>
        <c:smooth val="0"/>
        <c:axId val="533366936"/>
        <c:axId val="533366216"/>
      </c:lineChart>
      <c:dateAx>
        <c:axId val="7965761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solidFill>
                      <a:srgbClr val="C00000"/>
                    </a:solidFill>
                  </a:rPr>
                  <a:t>Date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796576536"/>
        <c:crosses val="autoZero"/>
        <c:auto val="1"/>
        <c:lblOffset val="100"/>
        <c:baseTimeUnit val="days"/>
      </c:dateAx>
      <c:valAx>
        <c:axId val="796576536"/>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sz="900" b="1" i="0" u="none" strike="noStrike" baseline="0">
                    <a:solidFill>
                      <a:srgbClr val="C00000"/>
                    </a:solidFill>
                  </a:rPr>
                  <a:t>Volume</a:t>
                </a:r>
                <a:endParaRPr lang="en-US">
                  <a:solidFill>
                    <a:srgbClr val="C00000"/>
                  </a:solidFill>
                </a:endParaRP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96576176"/>
        <c:crosses val="autoZero"/>
        <c:crossBetween val="between"/>
      </c:valAx>
      <c:valAx>
        <c:axId val="533366216"/>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sz="900" b="1" i="0" u="none" strike="noStrike" baseline="0">
                    <a:solidFill>
                      <a:srgbClr val="C00000"/>
                    </a:solidFill>
                  </a:rPr>
                  <a:t>Stock Price ($)</a:t>
                </a:r>
                <a:endParaRPr lang="en-US">
                  <a:solidFill>
                    <a:srgbClr val="C00000"/>
                  </a:solidFill>
                </a:endParaRP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33366936"/>
        <c:crosses val="max"/>
        <c:crossBetween val="between"/>
      </c:valAx>
      <c:dateAx>
        <c:axId val="533366936"/>
        <c:scaling>
          <c:orientation val="minMax"/>
        </c:scaling>
        <c:delete val="1"/>
        <c:axPos val="b"/>
        <c:numFmt formatCode="m/d/yyyy" sourceLinked="1"/>
        <c:majorTickMark val="out"/>
        <c:minorTickMark val="none"/>
        <c:tickLblPos val="nextTo"/>
        <c:crossAx val="533366216"/>
        <c:crosses val="autoZero"/>
        <c:auto val="1"/>
        <c:lblOffset val="100"/>
        <c:baseTimeUnit val="days"/>
        <c:majorUnit val="1"/>
        <c:minorUnit val="1"/>
      </c:date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00" b="1" i="0" u="none" strike="noStrike" baseline="0">
                <a:solidFill>
                  <a:schemeClr val="bg1"/>
                </a:solidFill>
                <a:effectLst>
                  <a:outerShdw blurRad="50800" dist="38100" dir="5400000" algn="t" rotWithShape="0">
                    <a:prstClr val="black">
                      <a:alpha val="40000"/>
                    </a:prstClr>
                  </a:outerShdw>
                </a:effectLst>
              </a:rPr>
              <a:t>Stock Price - The Acolyte Release</a:t>
            </a:r>
            <a:endParaRPr lang="en-US" sz="10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tockChart>
        <c:ser>
          <c:idx val="0"/>
          <c:order val="0"/>
          <c:tx>
            <c:strRef>
              <c:f>'Chapter-3 Stocks'!$E$2</c:f>
              <c:strCache>
                <c:ptCount val="1"/>
                <c:pt idx="0">
                  <c:v>Stock High</c:v>
                </c:pt>
              </c:strCache>
            </c:strRef>
          </c:tx>
          <c:spPr>
            <a:ln w="25400" cap="rnd">
              <a:noFill/>
              <a:round/>
            </a:ln>
            <a:effectLst>
              <a:outerShdw blurRad="57150" dist="19050" dir="5400000" algn="ctr" rotWithShape="0">
                <a:srgbClr val="000000">
                  <a:alpha val="63000"/>
                </a:srgbClr>
              </a:outerShdw>
            </a:effectLst>
          </c:spPr>
          <c:marker>
            <c:symbol val="none"/>
          </c:marker>
          <c:cat>
            <c:numRef>
              <c:f>'Chapter-3 Stocks'!$A$3:$A$7</c:f>
              <c:numCache>
                <c:formatCode>m/d/yyyy</c:formatCode>
                <c:ptCount val="5"/>
                <c:pt idx="0">
                  <c:v>45467</c:v>
                </c:pt>
                <c:pt idx="1">
                  <c:v>45468</c:v>
                </c:pt>
                <c:pt idx="2">
                  <c:v>45469</c:v>
                </c:pt>
                <c:pt idx="3">
                  <c:v>45470</c:v>
                </c:pt>
                <c:pt idx="4">
                  <c:v>45471</c:v>
                </c:pt>
              </c:numCache>
            </c:numRef>
          </c:cat>
          <c:val>
            <c:numRef>
              <c:f>'Chapter-3 Stocks'!$E$3:$E$7</c:f>
              <c:numCache>
                <c:formatCode>General</c:formatCode>
                <c:ptCount val="5"/>
                <c:pt idx="0">
                  <c:v>133.5</c:v>
                </c:pt>
                <c:pt idx="1">
                  <c:v>134</c:v>
                </c:pt>
                <c:pt idx="2">
                  <c:v>136</c:v>
                </c:pt>
                <c:pt idx="3">
                  <c:v>138</c:v>
                </c:pt>
                <c:pt idx="4">
                  <c:v>140</c:v>
                </c:pt>
              </c:numCache>
            </c:numRef>
          </c:val>
          <c:smooth val="0"/>
          <c:extLst>
            <c:ext xmlns:c16="http://schemas.microsoft.com/office/drawing/2014/chart" uri="{C3380CC4-5D6E-409C-BE32-E72D297353CC}">
              <c16:uniqueId val="{00000000-0AF8-4529-BFDF-BB144A3F8C3A}"/>
            </c:ext>
          </c:extLst>
        </c:ser>
        <c:ser>
          <c:idx val="1"/>
          <c:order val="1"/>
          <c:tx>
            <c:strRef>
              <c:f>'Chapter-3 Stocks'!$F$2</c:f>
              <c:strCache>
                <c:ptCount val="1"/>
                <c:pt idx="0">
                  <c:v>Stock Low</c:v>
                </c:pt>
              </c:strCache>
            </c:strRef>
          </c:tx>
          <c:spPr>
            <a:ln w="25400" cap="rnd">
              <a:noFill/>
              <a:round/>
            </a:ln>
            <a:effectLst>
              <a:outerShdw blurRad="57150" dist="19050" dir="5400000" algn="ctr" rotWithShape="0">
                <a:srgbClr val="000000">
                  <a:alpha val="63000"/>
                </a:srgbClr>
              </a:outerShdw>
            </a:effectLst>
          </c:spPr>
          <c:marker>
            <c:symbol val="none"/>
          </c:marker>
          <c:cat>
            <c:numRef>
              <c:f>'Chapter-3 Stocks'!$A$3:$A$7</c:f>
              <c:numCache>
                <c:formatCode>m/d/yyyy</c:formatCode>
                <c:ptCount val="5"/>
                <c:pt idx="0">
                  <c:v>45467</c:v>
                </c:pt>
                <c:pt idx="1">
                  <c:v>45468</c:v>
                </c:pt>
                <c:pt idx="2">
                  <c:v>45469</c:v>
                </c:pt>
                <c:pt idx="3">
                  <c:v>45470</c:v>
                </c:pt>
                <c:pt idx="4">
                  <c:v>45471</c:v>
                </c:pt>
              </c:numCache>
            </c:numRef>
          </c:cat>
          <c:val>
            <c:numRef>
              <c:f>'Chapter-3 Stocks'!$F$3:$F$7</c:f>
              <c:numCache>
                <c:formatCode>General</c:formatCode>
                <c:ptCount val="5"/>
                <c:pt idx="0">
                  <c:v>127.5</c:v>
                </c:pt>
                <c:pt idx="1">
                  <c:v>129</c:v>
                </c:pt>
                <c:pt idx="2">
                  <c:v>131</c:v>
                </c:pt>
                <c:pt idx="3">
                  <c:v>132.5</c:v>
                </c:pt>
                <c:pt idx="4">
                  <c:v>136.5</c:v>
                </c:pt>
              </c:numCache>
            </c:numRef>
          </c:val>
          <c:smooth val="0"/>
          <c:extLst>
            <c:ext xmlns:c16="http://schemas.microsoft.com/office/drawing/2014/chart" uri="{C3380CC4-5D6E-409C-BE32-E72D297353CC}">
              <c16:uniqueId val="{00000001-0AF8-4529-BFDF-BB144A3F8C3A}"/>
            </c:ext>
          </c:extLst>
        </c:ser>
        <c:ser>
          <c:idx val="2"/>
          <c:order val="2"/>
          <c:tx>
            <c:strRef>
              <c:f>'Chapter-3 Stocks'!$G$2</c:f>
              <c:strCache>
                <c:ptCount val="1"/>
                <c:pt idx="0">
                  <c:v>Stock Close</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numRef>
              <c:f>'Chapter-3 Stocks'!$A$3:$A$7</c:f>
              <c:numCache>
                <c:formatCode>m/d/yyyy</c:formatCode>
                <c:ptCount val="5"/>
                <c:pt idx="0">
                  <c:v>45467</c:v>
                </c:pt>
                <c:pt idx="1">
                  <c:v>45468</c:v>
                </c:pt>
                <c:pt idx="2">
                  <c:v>45469</c:v>
                </c:pt>
                <c:pt idx="3">
                  <c:v>45470</c:v>
                </c:pt>
                <c:pt idx="4">
                  <c:v>45471</c:v>
                </c:pt>
              </c:numCache>
            </c:numRef>
          </c:cat>
          <c:val>
            <c:numRef>
              <c:f>'Chapter-3 Stocks'!$G$3:$G$7</c:f>
              <c:numCache>
                <c:formatCode>General</c:formatCode>
                <c:ptCount val="5"/>
                <c:pt idx="0">
                  <c:v>130</c:v>
                </c:pt>
                <c:pt idx="1">
                  <c:v>133</c:v>
                </c:pt>
                <c:pt idx="2">
                  <c:v>134.5</c:v>
                </c:pt>
                <c:pt idx="3">
                  <c:v>137</c:v>
                </c:pt>
                <c:pt idx="4">
                  <c:v>139.5</c:v>
                </c:pt>
              </c:numCache>
            </c:numRef>
          </c:val>
          <c:smooth val="0"/>
          <c:extLst>
            <c:ext xmlns:c16="http://schemas.microsoft.com/office/drawing/2014/chart" uri="{C3380CC4-5D6E-409C-BE32-E72D297353CC}">
              <c16:uniqueId val="{00000002-0AF8-4529-BFDF-BB144A3F8C3A}"/>
            </c:ext>
          </c:extLst>
        </c:ser>
        <c:dLbls>
          <c:showLegendKey val="0"/>
          <c:showVal val="0"/>
          <c:showCatName val="0"/>
          <c:showSerName val="0"/>
          <c:showPercent val="0"/>
          <c:showBubbleSize val="0"/>
        </c:dLbls>
        <c:hiLowLines>
          <c:spPr>
            <a:ln w="9525" cap="flat" cmpd="sng" algn="ctr">
              <a:solidFill>
                <a:schemeClr val="lt1"/>
              </a:solidFill>
              <a:round/>
            </a:ln>
            <a:effectLst/>
          </c:spPr>
        </c:hiLowLines>
        <c:axId val="724607240"/>
        <c:axId val="724603280"/>
      </c:stockChart>
      <c:dateAx>
        <c:axId val="72460724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m/d/yyyy"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4603280"/>
        <c:crosses val="autoZero"/>
        <c:auto val="1"/>
        <c:lblOffset val="100"/>
        <c:baseTimeUnit val="days"/>
      </c:dateAx>
      <c:valAx>
        <c:axId val="72460328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sz="900" b="1" i="0" u="none" strike="noStrike" cap="all" baseline="0"/>
                  <a:t>Stock Price ($)</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4607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Chowdary Final project.xlsx]Chapter-7 Pivot Tables!PivotTable8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'Chapter-7 Pivot Tables'!$B$3</c:f>
              <c:strCache>
                <c:ptCount val="1"/>
                <c:pt idx="0">
                  <c:v>Sum of Total Votes In 2021</c:v>
                </c:pt>
              </c:strCache>
            </c:strRef>
          </c:tx>
          <c:spPr>
            <a:solidFill>
              <a:schemeClr val="accent1"/>
            </a:solidFill>
            <a:ln>
              <a:noFill/>
            </a:ln>
            <a:effectLst/>
          </c:spPr>
          <c:invertIfNegative val="0"/>
          <c:cat>
            <c:strRef>
              <c:f>'Chapter-7 Pivot Tables'!$A$4:$A$11</c:f>
              <c:strCache>
                <c:ptCount val="7"/>
                <c:pt idx="0">
                  <c:v>Action, Adventure, Comedy</c:v>
                </c:pt>
                <c:pt idx="1">
                  <c:v>Action, Adventure, Drama</c:v>
                </c:pt>
                <c:pt idx="2">
                  <c:v>Action, Adventure, Sci-Fi</c:v>
                </c:pt>
                <c:pt idx="3">
                  <c:v>Adventure, Comedy, Family</c:v>
                </c:pt>
                <c:pt idx="4">
                  <c:v>Comedy</c:v>
                </c:pt>
                <c:pt idx="5">
                  <c:v>Horror, Mystery, Thriller</c:v>
                </c:pt>
                <c:pt idx="6">
                  <c:v>Horror, Thriller</c:v>
                </c:pt>
              </c:strCache>
            </c:strRef>
          </c:cat>
          <c:val>
            <c:numRef>
              <c:f>'Chapter-7 Pivot Tables'!$B$4:$B$11</c:f>
              <c:numCache>
                <c:formatCode>General</c:formatCode>
                <c:ptCount val="7"/>
                <c:pt idx="0">
                  <c:v>60406</c:v>
                </c:pt>
                <c:pt idx="1">
                  <c:v>26968</c:v>
                </c:pt>
                <c:pt idx="2">
                  <c:v>0</c:v>
                </c:pt>
                <c:pt idx="3">
                  <c:v>0</c:v>
                </c:pt>
                <c:pt idx="4">
                  <c:v>0</c:v>
                </c:pt>
                <c:pt idx="5">
                  <c:v>91525</c:v>
                </c:pt>
                <c:pt idx="6">
                  <c:v>0</c:v>
                </c:pt>
              </c:numCache>
            </c:numRef>
          </c:val>
          <c:extLst>
            <c:ext xmlns:c16="http://schemas.microsoft.com/office/drawing/2014/chart" uri="{C3380CC4-5D6E-409C-BE32-E72D297353CC}">
              <c16:uniqueId val="{00000000-09BF-4CAE-91F7-75D0F2719869}"/>
            </c:ext>
          </c:extLst>
        </c:ser>
        <c:ser>
          <c:idx val="1"/>
          <c:order val="1"/>
          <c:tx>
            <c:strRef>
              <c:f>'Chapter-7 Pivot Tables'!$C$3</c:f>
              <c:strCache>
                <c:ptCount val="1"/>
                <c:pt idx="0">
                  <c:v>Sum of Total Votes In 2022</c:v>
                </c:pt>
              </c:strCache>
            </c:strRef>
          </c:tx>
          <c:spPr>
            <a:solidFill>
              <a:schemeClr val="accent2"/>
            </a:solidFill>
            <a:ln>
              <a:noFill/>
            </a:ln>
            <a:effectLst/>
          </c:spPr>
          <c:invertIfNegative val="0"/>
          <c:cat>
            <c:strRef>
              <c:f>'Chapter-7 Pivot Tables'!$A$4:$A$11</c:f>
              <c:strCache>
                <c:ptCount val="7"/>
                <c:pt idx="0">
                  <c:v>Action, Adventure, Comedy</c:v>
                </c:pt>
                <c:pt idx="1">
                  <c:v>Action, Adventure, Drama</c:v>
                </c:pt>
                <c:pt idx="2">
                  <c:v>Action, Adventure, Sci-Fi</c:v>
                </c:pt>
                <c:pt idx="3">
                  <c:v>Adventure, Comedy, Family</c:v>
                </c:pt>
                <c:pt idx="4">
                  <c:v>Comedy</c:v>
                </c:pt>
                <c:pt idx="5">
                  <c:v>Horror, Mystery, Thriller</c:v>
                </c:pt>
                <c:pt idx="6">
                  <c:v>Horror, Thriller</c:v>
                </c:pt>
              </c:strCache>
            </c:strRef>
          </c:cat>
          <c:val>
            <c:numRef>
              <c:f>'Chapter-7 Pivot Tables'!$C$4:$C$11</c:f>
              <c:numCache>
                <c:formatCode>General</c:formatCode>
                <c:ptCount val="7"/>
                <c:pt idx="0">
                  <c:v>208770</c:v>
                </c:pt>
                <c:pt idx="1">
                  <c:v>131192</c:v>
                </c:pt>
                <c:pt idx="2">
                  <c:v>103225</c:v>
                </c:pt>
                <c:pt idx="3">
                  <c:v>0</c:v>
                </c:pt>
                <c:pt idx="4">
                  <c:v>71074</c:v>
                </c:pt>
                <c:pt idx="5">
                  <c:v>15339</c:v>
                </c:pt>
                <c:pt idx="6">
                  <c:v>10942</c:v>
                </c:pt>
              </c:numCache>
            </c:numRef>
          </c:val>
          <c:extLst>
            <c:ext xmlns:c16="http://schemas.microsoft.com/office/drawing/2014/chart" uri="{C3380CC4-5D6E-409C-BE32-E72D297353CC}">
              <c16:uniqueId val="{00000001-09BF-4CAE-91F7-75D0F2719869}"/>
            </c:ext>
          </c:extLst>
        </c:ser>
        <c:ser>
          <c:idx val="2"/>
          <c:order val="2"/>
          <c:tx>
            <c:strRef>
              <c:f>'Chapter-7 Pivot Tables'!$D$3</c:f>
              <c:strCache>
                <c:ptCount val="1"/>
                <c:pt idx="0">
                  <c:v>Sum of Total Votes In 2023</c:v>
                </c:pt>
              </c:strCache>
            </c:strRef>
          </c:tx>
          <c:spPr>
            <a:solidFill>
              <a:schemeClr val="accent3"/>
            </a:solidFill>
            <a:ln>
              <a:noFill/>
            </a:ln>
            <a:effectLst/>
          </c:spPr>
          <c:invertIfNegative val="0"/>
          <c:cat>
            <c:strRef>
              <c:f>'Chapter-7 Pivot Tables'!$A$4:$A$11</c:f>
              <c:strCache>
                <c:ptCount val="7"/>
                <c:pt idx="0">
                  <c:v>Action, Adventure, Comedy</c:v>
                </c:pt>
                <c:pt idx="1">
                  <c:v>Action, Adventure, Drama</c:v>
                </c:pt>
                <c:pt idx="2">
                  <c:v>Action, Adventure, Sci-Fi</c:v>
                </c:pt>
                <c:pt idx="3">
                  <c:v>Adventure, Comedy, Family</c:v>
                </c:pt>
                <c:pt idx="4">
                  <c:v>Comedy</c:v>
                </c:pt>
                <c:pt idx="5">
                  <c:v>Horror, Mystery, Thriller</c:v>
                </c:pt>
                <c:pt idx="6">
                  <c:v>Horror, Thriller</c:v>
                </c:pt>
              </c:strCache>
            </c:strRef>
          </c:cat>
          <c:val>
            <c:numRef>
              <c:f>'Chapter-7 Pivot Tables'!$D$4:$D$11</c:f>
              <c:numCache>
                <c:formatCode>General</c:formatCode>
                <c:ptCount val="7"/>
                <c:pt idx="0">
                  <c:v>0</c:v>
                </c:pt>
                <c:pt idx="1">
                  <c:v>172067</c:v>
                </c:pt>
                <c:pt idx="2">
                  <c:v>0</c:v>
                </c:pt>
                <c:pt idx="3">
                  <c:v>10876</c:v>
                </c:pt>
                <c:pt idx="4">
                  <c:v>0</c:v>
                </c:pt>
                <c:pt idx="5">
                  <c:v>0</c:v>
                </c:pt>
                <c:pt idx="6">
                  <c:v>0</c:v>
                </c:pt>
              </c:numCache>
            </c:numRef>
          </c:val>
          <c:extLst>
            <c:ext xmlns:c16="http://schemas.microsoft.com/office/drawing/2014/chart" uri="{C3380CC4-5D6E-409C-BE32-E72D297353CC}">
              <c16:uniqueId val="{00000002-09BF-4CAE-91F7-75D0F2719869}"/>
            </c:ext>
          </c:extLst>
        </c:ser>
        <c:ser>
          <c:idx val="3"/>
          <c:order val="3"/>
          <c:tx>
            <c:strRef>
              <c:f>'Chapter-7 Pivot Tables'!$E$3</c:f>
              <c:strCache>
                <c:ptCount val="1"/>
                <c:pt idx="0">
                  <c:v>Sum of Total Votes In 2024</c:v>
                </c:pt>
              </c:strCache>
            </c:strRef>
          </c:tx>
          <c:spPr>
            <a:solidFill>
              <a:schemeClr val="accent4"/>
            </a:solidFill>
            <a:ln>
              <a:noFill/>
            </a:ln>
            <a:effectLst/>
          </c:spPr>
          <c:invertIfNegative val="0"/>
          <c:cat>
            <c:strRef>
              <c:f>'Chapter-7 Pivot Tables'!$A$4:$A$11</c:f>
              <c:strCache>
                <c:ptCount val="7"/>
                <c:pt idx="0">
                  <c:v>Action, Adventure, Comedy</c:v>
                </c:pt>
                <c:pt idx="1">
                  <c:v>Action, Adventure, Drama</c:v>
                </c:pt>
                <c:pt idx="2">
                  <c:v>Action, Adventure, Sci-Fi</c:v>
                </c:pt>
                <c:pt idx="3">
                  <c:v>Adventure, Comedy, Family</c:v>
                </c:pt>
                <c:pt idx="4">
                  <c:v>Comedy</c:v>
                </c:pt>
                <c:pt idx="5">
                  <c:v>Horror, Mystery, Thriller</c:v>
                </c:pt>
                <c:pt idx="6">
                  <c:v>Horror, Thriller</c:v>
                </c:pt>
              </c:strCache>
            </c:strRef>
          </c:cat>
          <c:val>
            <c:numRef>
              <c:f>'Chapter-7 Pivot Tables'!$E$4:$E$11</c:f>
              <c:numCache>
                <c:formatCode>General</c:formatCode>
                <c:ptCount val="7"/>
                <c:pt idx="0">
                  <c:v>31263</c:v>
                </c:pt>
                <c:pt idx="1">
                  <c:v>243324</c:v>
                </c:pt>
                <c:pt idx="2">
                  <c:v>129800</c:v>
                </c:pt>
                <c:pt idx="3">
                  <c:v>0</c:v>
                </c:pt>
                <c:pt idx="4">
                  <c:v>0</c:v>
                </c:pt>
                <c:pt idx="5">
                  <c:v>15023</c:v>
                </c:pt>
                <c:pt idx="6">
                  <c:v>44373</c:v>
                </c:pt>
              </c:numCache>
            </c:numRef>
          </c:val>
          <c:extLst>
            <c:ext xmlns:c16="http://schemas.microsoft.com/office/drawing/2014/chart" uri="{C3380CC4-5D6E-409C-BE32-E72D297353CC}">
              <c16:uniqueId val="{00000003-09BF-4CAE-91F7-75D0F2719869}"/>
            </c:ext>
          </c:extLst>
        </c:ser>
        <c:dLbls>
          <c:showLegendKey val="0"/>
          <c:showVal val="0"/>
          <c:showCatName val="0"/>
          <c:showSerName val="0"/>
          <c:showPercent val="0"/>
          <c:showBubbleSize val="0"/>
        </c:dLbls>
        <c:gapWidth val="182"/>
        <c:axId val="884846976"/>
        <c:axId val="884839056"/>
      </c:barChart>
      <c:catAx>
        <c:axId val="884846976"/>
        <c:scaling>
          <c:orientation val="minMax"/>
        </c:scaling>
        <c:delete val="0"/>
        <c:axPos val="l"/>
        <c:numFmt formatCode="General" sourceLinked="1"/>
        <c:majorTickMark val="out"/>
        <c:minorTickMark val="none"/>
        <c:tickLblPos val="nextTo"/>
        <c:spPr>
          <a:solidFill>
            <a:sysClr val="window" lastClr="FFFFFF"/>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accent1">
                    <a:lumMod val="50000"/>
                  </a:schemeClr>
                </a:solidFill>
                <a:latin typeface="+mn-lt"/>
                <a:ea typeface="+mn-ea"/>
                <a:cs typeface="+mn-cs"/>
              </a:defRPr>
            </a:pPr>
            <a:endParaRPr lang="en-US"/>
          </a:p>
        </c:txPr>
        <c:crossAx val="884839056"/>
        <c:crosses val="autoZero"/>
        <c:auto val="1"/>
        <c:lblAlgn val="ctr"/>
        <c:lblOffset val="100"/>
        <c:noMultiLvlLbl val="0"/>
      </c:catAx>
      <c:valAx>
        <c:axId val="884839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84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1">
                    <a:lumMod val="50000"/>
                  </a:schemeClr>
                </a:solidFill>
              </a:rPr>
              <a:t>Top 7 Largest Genre Vote Counts For All Release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CF7-4E69-A25D-D55B1AE9C43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CF7-4E69-A25D-D55B1AE9C43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CF7-4E69-A25D-D55B1AE9C43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CF7-4E69-A25D-D55B1AE9C43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CF7-4E69-A25D-D55B1AE9C43F}"/>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6CF7-4E69-A25D-D55B1AE9C43F}"/>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6CF7-4E69-A25D-D55B1AE9C4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7"/>
              <c:pt idx="0">
                <c:v>Action, Adventure, Comedy</c:v>
              </c:pt>
              <c:pt idx="1">
                <c:v>Action, Adventure, Drama</c:v>
              </c:pt>
              <c:pt idx="2">
                <c:v>Action, Adventure, Sci-Fi</c:v>
              </c:pt>
              <c:pt idx="3">
                <c:v>Adventure, Comedy, Family</c:v>
              </c:pt>
              <c:pt idx="4">
                <c:v>Comedy</c:v>
              </c:pt>
              <c:pt idx="5">
                <c:v>Horror, Mystery, Thriller</c:v>
              </c:pt>
              <c:pt idx="6">
                <c:v>Horror, Thriller</c:v>
              </c:pt>
            </c:strLit>
          </c:cat>
          <c:val>
            <c:numLit>
              <c:formatCode>General</c:formatCode>
              <c:ptCount val="7"/>
              <c:pt idx="0">
                <c:v>1636625</c:v>
              </c:pt>
              <c:pt idx="1">
                <c:v>1341014</c:v>
              </c:pt>
              <c:pt idx="2">
                <c:v>1574437</c:v>
              </c:pt>
              <c:pt idx="3">
                <c:v>1013081</c:v>
              </c:pt>
              <c:pt idx="4">
                <c:v>1719522</c:v>
              </c:pt>
              <c:pt idx="5">
                <c:v>1377044</c:v>
              </c:pt>
              <c:pt idx="6">
                <c:v>1085481</c:v>
              </c:pt>
            </c:numLit>
          </c:val>
          <c:extLst>
            <c:ext xmlns:c16="http://schemas.microsoft.com/office/drawing/2014/chart" uri="{C3380CC4-5D6E-409C-BE32-E72D297353CC}">
              <c16:uniqueId val="{0000000E-6CF7-4E69-A25D-D55B1AE9C43F}"/>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rgbClr val="C00000"/>
                </a:solidFill>
              </a:rPr>
              <a:t>Top</a:t>
            </a:r>
            <a:r>
              <a:rPr lang="en-US" sz="1000" b="1" baseline="0">
                <a:solidFill>
                  <a:srgbClr val="C00000"/>
                </a:solidFill>
              </a:rPr>
              <a:t> 5 Highest Vote Count</a:t>
            </a:r>
            <a:endParaRPr lang="en-US" sz="1000"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2003</c:v>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Action, Adventure, Comedy</c:v>
              </c:pt>
              <c:pt idx="1">
                <c:v>Action, Adventure, Drama</c:v>
              </c:pt>
              <c:pt idx="2">
                <c:v>Action, Thriller</c:v>
              </c:pt>
              <c:pt idx="3">
                <c:v>Comedy</c:v>
              </c:pt>
            </c:strLit>
          </c:cat>
          <c:val>
            <c:numLit>
              <c:formatCode>General</c:formatCode>
              <c:ptCount val="4"/>
              <c:pt idx="0">
                <c:v>274028</c:v>
              </c:pt>
              <c:pt idx="1">
                <c:v>0</c:v>
              </c:pt>
              <c:pt idx="2">
                <c:v>0</c:v>
              </c:pt>
              <c:pt idx="3">
                <c:v>0</c:v>
              </c:pt>
            </c:numLit>
          </c:val>
          <c:extLst>
            <c:ext xmlns:c16="http://schemas.microsoft.com/office/drawing/2014/chart" uri="{C3380CC4-5D6E-409C-BE32-E72D297353CC}">
              <c16:uniqueId val="{00000000-89A9-4CAF-9320-A44E86C621F2}"/>
            </c:ext>
          </c:extLst>
        </c:ser>
        <c:ser>
          <c:idx val="1"/>
          <c:order val="1"/>
          <c:tx>
            <c:v>2006</c:v>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Action, Adventure, Comedy</c:v>
              </c:pt>
              <c:pt idx="1">
                <c:v>Action, Adventure, Drama</c:v>
              </c:pt>
              <c:pt idx="2">
                <c:v>Action, Thriller</c:v>
              </c:pt>
              <c:pt idx="3">
                <c:v>Comedy</c:v>
              </c:pt>
            </c:strLit>
          </c:cat>
          <c:val>
            <c:numLit>
              <c:formatCode>General</c:formatCode>
              <c:ptCount val="4"/>
              <c:pt idx="0">
                <c:v>0</c:v>
              </c:pt>
              <c:pt idx="1">
                <c:v>0</c:v>
              </c:pt>
              <c:pt idx="2">
                <c:v>0</c:v>
              </c:pt>
              <c:pt idx="3">
                <c:v>225590</c:v>
              </c:pt>
            </c:numLit>
          </c:val>
          <c:extLst>
            <c:ext xmlns:c16="http://schemas.microsoft.com/office/drawing/2014/chart" uri="{C3380CC4-5D6E-409C-BE32-E72D297353CC}">
              <c16:uniqueId val="{00000001-89A9-4CAF-9320-A44E86C621F2}"/>
            </c:ext>
          </c:extLst>
        </c:ser>
        <c:ser>
          <c:idx val="2"/>
          <c:order val="2"/>
          <c:tx>
            <c:v>2009</c:v>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Action, Adventure, Comedy</c:v>
              </c:pt>
              <c:pt idx="1">
                <c:v>Action, Adventure, Drama</c:v>
              </c:pt>
              <c:pt idx="2">
                <c:v>Action, Thriller</c:v>
              </c:pt>
              <c:pt idx="3">
                <c:v>Comedy</c:v>
              </c:pt>
            </c:strLit>
          </c:cat>
          <c:val>
            <c:numLit>
              <c:formatCode>General</c:formatCode>
              <c:ptCount val="4"/>
              <c:pt idx="0">
                <c:v>0</c:v>
              </c:pt>
              <c:pt idx="1">
                <c:v>0</c:v>
              </c:pt>
              <c:pt idx="2">
                <c:v>0</c:v>
              </c:pt>
              <c:pt idx="3">
                <c:v>190898</c:v>
              </c:pt>
            </c:numLit>
          </c:val>
          <c:extLst>
            <c:ext xmlns:c16="http://schemas.microsoft.com/office/drawing/2014/chart" uri="{C3380CC4-5D6E-409C-BE32-E72D297353CC}">
              <c16:uniqueId val="{00000002-89A9-4CAF-9320-A44E86C621F2}"/>
            </c:ext>
          </c:extLst>
        </c:ser>
        <c:ser>
          <c:idx val="3"/>
          <c:order val="3"/>
          <c:tx>
            <c:v>2013</c:v>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Action, Adventure, Comedy</c:v>
              </c:pt>
              <c:pt idx="1">
                <c:v>Action, Adventure, Drama</c:v>
              </c:pt>
              <c:pt idx="2">
                <c:v>Action, Thriller</c:v>
              </c:pt>
              <c:pt idx="3">
                <c:v>Comedy</c:v>
              </c:pt>
            </c:strLit>
          </c:cat>
          <c:val>
            <c:numLit>
              <c:formatCode>General</c:formatCode>
              <c:ptCount val="4"/>
              <c:pt idx="0">
                <c:v>0</c:v>
              </c:pt>
              <c:pt idx="1">
                <c:v>0</c:v>
              </c:pt>
              <c:pt idx="2">
                <c:v>242498</c:v>
              </c:pt>
              <c:pt idx="3">
                <c:v>0</c:v>
              </c:pt>
            </c:numLit>
          </c:val>
          <c:extLst>
            <c:ext xmlns:c16="http://schemas.microsoft.com/office/drawing/2014/chart" uri="{C3380CC4-5D6E-409C-BE32-E72D297353CC}">
              <c16:uniqueId val="{00000003-89A9-4CAF-9320-A44E86C621F2}"/>
            </c:ext>
          </c:extLst>
        </c:ser>
        <c:ser>
          <c:idx val="4"/>
          <c:order val="4"/>
          <c:tx>
            <c:v>2023</c:v>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Action, Adventure, Comedy</c:v>
              </c:pt>
              <c:pt idx="1">
                <c:v>Action, Adventure, Drama</c:v>
              </c:pt>
              <c:pt idx="2">
                <c:v>Action, Thriller</c:v>
              </c:pt>
              <c:pt idx="3">
                <c:v>Comedy</c:v>
              </c:pt>
            </c:strLit>
          </c:cat>
          <c:val>
            <c:numLit>
              <c:formatCode>General</c:formatCode>
              <c:ptCount val="4"/>
              <c:pt idx="0">
                <c:v>0</c:v>
              </c:pt>
              <c:pt idx="1">
                <c:v>172067</c:v>
              </c:pt>
              <c:pt idx="2">
                <c:v>0</c:v>
              </c:pt>
              <c:pt idx="3">
                <c:v>0</c:v>
              </c:pt>
            </c:numLit>
          </c:val>
          <c:extLst>
            <c:ext xmlns:c16="http://schemas.microsoft.com/office/drawing/2014/chart" uri="{C3380CC4-5D6E-409C-BE32-E72D297353CC}">
              <c16:uniqueId val="{00000004-89A9-4CAF-9320-A44E86C621F2}"/>
            </c:ext>
          </c:extLst>
        </c:ser>
        <c:dLbls>
          <c:showLegendKey val="0"/>
          <c:showVal val="1"/>
          <c:showCatName val="0"/>
          <c:showSerName val="0"/>
          <c:showPercent val="0"/>
          <c:showBubbleSize val="0"/>
        </c:dLbls>
        <c:gapWidth val="150"/>
        <c:shape val="box"/>
        <c:axId val="893024720"/>
        <c:axId val="893023640"/>
        <c:axId val="0"/>
      </c:bar3DChart>
      <c:catAx>
        <c:axId val="8930247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0">
                    <a:solidFill>
                      <a:srgbClr val="C00000"/>
                    </a:solidFill>
                  </a:rPr>
                  <a:t>Genre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93023640"/>
        <c:crosses val="autoZero"/>
        <c:auto val="1"/>
        <c:lblAlgn val="ctr"/>
        <c:lblOffset val="100"/>
        <c:noMultiLvlLbl val="0"/>
      </c:catAx>
      <c:valAx>
        <c:axId val="893023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rgbClr val="C00000"/>
                    </a:solidFill>
                  </a:rPr>
                  <a:t>Sum</a:t>
                </a:r>
                <a:r>
                  <a:rPr lang="en-US"/>
                  <a:t> </a:t>
                </a:r>
                <a:r>
                  <a:rPr lang="en-US">
                    <a:solidFill>
                      <a:srgbClr val="C00000"/>
                    </a:solidFill>
                  </a:rPr>
                  <a:t>of</a:t>
                </a:r>
                <a:r>
                  <a:rPr lang="en-US"/>
                  <a:t> </a:t>
                </a:r>
                <a:r>
                  <a:rPr lang="en-US">
                    <a:solidFill>
                      <a:srgbClr val="C00000"/>
                    </a:solidFill>
                  </a:rPr>
                  <a:t>counts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02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15875" cap="flat" cmpd="sng" algn="ctr">
        <a:solidFill>
          <a:schemeClr val="dk1">
            <a:lumMod val="65000"/>
            <a:lumOff val="35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cap="flat" cmpd="sng" algn="ctr">
        <a:solidFill>
          <a:schemeClr val="lt1">
            <a:lumMod val="85000"/>
          </a:schemeClr>
        </a:solidFill>
        <a:round/>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571500</xdr:colOff>
      <xdr:row>15</xdr:row>
      <xdr:rowOff>38100</xdr:rowOff>
    </xdr:from>
    <xdr:to>
      <xdr:col>14</xdr:col>
      <xdr:colOff>161925</xdr:colOff>
      <xdr:row>34</xdr:row>
      <xdr:rowOff>95250</xdr:rowOff>
    </xdr:to>
    <xdr:graphicFrame macro="">
      <xdr:nvGraphicFramePr>
        <xdr:cNvPr id="2" name="Chart 1">
          <a:extLst>
            <a:ext uri="{FF2B5EF4-FFF2-40B4-BE49-F238E27FC236}">
              <a16:creationId xmlns:a16="http://schemas.microsoft.com/office/drawing/2014/main" id="{98494FC7-D77F-D41A-97FB-CBBE86DE4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57149</xdr:colOff>
      <xdr:row>0</xdr:row>
      <xdr:rowOff>47625</xdr:rowOff>
    </xdr:from>
    <xdr:to>
      <xdr:col>14</xdr:col>
      <xdr:colOff>238124</xdr:colOff>
      <xdr:row>14</xdr:row>
      <xdr:rowOff>123825</xdr:rowOff>
    </xdr:to>
    <xdr:graphicFrame macro="">
      <xdr:nvGraphicFramePr>
        <xdr:cNvPr id="3" name="Chart 2">
          <a:extLst>
            <a:ext uri="{FF2B5EF4-FFF2-40B4-BE49-F238E27FC236}">
              <a16:creationId xmlns:a16="http://schemas.microsoft.com/office/drawing/2014/main" id="{4E01982C-3972-0861-D300-7A117816CF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447675</xdr:colOff>
      <xdr:row>9</xdr:row>
      <xdr:rowOff>42862</xdr:rowOff>
    </xdr:from>
    <xdr:to>
      <xdr:col>7</xdr:col>
      <xdr:colOff>104775</xdr:colOff>
      <xdr:row>23</xdr:row>
      <xdr:rowOff>171450</xdr:rowOff>
    </xdr:to>
    <xdr:graphicFrame macro="">
      <xdr:nvGraphicFramePr>
        <xdr:cNvPr id="3" name="Chart 2">
          <a:extLst>
            <a:ext uri="{FF2B5EF4-FFF2-40B4-BE49-F238E27FC236}">
              <a16:creationId xmlns:a16="http://schemas.microsoft.com/office/drawing/2014/main" id="{5B141F60-237F-B9B0-9410-AED07D75D2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9524</xdr:colOff>
      <xdr:row>9</xdr:row>
      <xdr:rowOff>19050</xdr:rowOff>
    </xdr:from>
    <xdr:to>
      <xdr:col>15</xdr:col>
      <xdr:colOff>609599</xdr:colOff>
      <xdr:row>24</xdr:row>
      <xdr:rowOff>28574</xdr:rowOff>
    </xdr:to>
    <xdr:graphicFrame macro="">
      <xdr:nvGraphicFramePr>
        <xdr:cNvPr id="7" name="Chart 6">
          <a:extLst>
            <a:ext uri="{FF2B5EF4-FFF2-40B4-BE49-F238E27FC236}">
              <a16:creationId xmlns:a16="http://schemas.microsoft.com/office/drawing/2014/main" id="{9E0FC554-3409-52D4-2395-FBEC36F520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438150</xdr:colOff>
      <xdr:row>9</xdr:row>
      <xdr:rowOff>23811</xdr:rowOff>
    </xdr:from>
    <xdr:to>
      <xdr:col>24</xdr:col>
      <xdr:colOff>133350</xdr:colOff>
      <xdr:row>24</xdr:row>
      <xdr:rowOff>9524</xdr:rowOff>
    </xdr:to>
    <xdr:graphicFrame macro="">
      <xdr:nvGraphicFramePr>
        <xdr:cNvPr id="9" name="Chart 8">
          <a:extLst>
            <a:ext uri="{FF2B5EF4-FFF2-40B4-BE49-F238E27FC236}">
              <a16:creationId xmlns:a16="http://schemas.microsoft.com/office/drawing/2014/main" id="{F714A944-AE0F-AE39-6CD6-4909050374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6</xdr:col>
      <xdr:colOff>533400</xdr:colOff>
      <xdr:row>0</xdr:row>
      <xdr:rowOff>76201</xdr:rowOff>
    </xdr:from>
    <xdr:to>
      <xdr:col>9</xdr:col>
      <xdr:colOff>47625</xdr:colOff>
      <xdr:row>12</xdr:row>
      <xdr:rowOff>114301</xdr:rowOff>
    </xdr:to>
    <mc:AlternateContent xmlns:mc="http://schemas.openxmlformats.org/markup-compatibility/2006" xmlns:sle15="http://schemas.microsoft.com/office/drawing/2012/slicer">
      <mc:Choice Requires="sle15">
        <xdr:graphicFrame macro="">
          <xdr:nvGraphicFramePr>
            <xdr:cNvPr id="2" name="title">
              <a:extLst>
                <a:ext uri="{FF2B5EF4-FFF2-40B4-BE49-F238E27FC236}">
                  <a16:creationId xmlns:a16="http://schemas.microsoft.com/office/drawing/2014/main" id="{B45A3A95-0C0B-354B-F5EA-1F6D5B1AF8B6}"/>
                </a:ext>
              </a:extLst>
            </xdr:cNvPr>
            <xdr:cNvGraphicFramePr/>
          </xdr:nvGraphicFramePr>
          <xdr:xfrm>
            <a:off x="0" y="0"/>
            <a:ext cx="0" cy="0"/>
          </xdr:xfrm>
          <a:graphic>
            <a:graphicData uri="http://schemas.microsoft.com/office/drawing/2010/slicer">
              <sle:slicer xmlns:sle="http://schemas.microsoft.com/office/drawing/2010/slicer" name="title"/>
            </a:graphicData>
          </a:graphic>
        </xdr:graphicFrame>
      </mc:Choice>
      <mc:Fallback xmlns="">
        <xdr:sp macro="" textlink="">
          <xdr:nvSpPr>
            <xdr:cNvPr id="0" name=""/>
            <xdr:cNvSpPr>
              <a:spLocks noTextEdit="1"/>
            </xdr:cNvSpPr>
          </xdr:nvSpPr>
          <xdr:spPr>
            <a:xfrm>
              <a:off x="10391775" y="76201"/>
              <a:ext cx="1828800" cy="23241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133350</xdr:colOff>
      <xdr:row>0</xdr:row>
      <xdr:rowOff>76200</xdr:rowOff>
    </xdr:from>
    <xdr:to>
      <xdr:col>11</xdr:col>
      <xdr:colOff>419100</xdr:colOff>
      <xdr:row>12</xdr:row>
      <xdr:rowOff>133349</xdr:rowOff>
    </xdr:to>
    <mc:AlternateContent xmlns:mc="http://schemas.openxmlformats.org/markup-compatibility/2006" xmlns:sle15="http://schemas.microsoft.com/office/drawing/2012/slicer">
      <mc:Choice Requires="sle15">
        <xdr:graphicFrame macro="">
          <xdr:nvGraphicFramePr>
            <xdr:cNvPr id="3" name="releaseYear">
              <a:extLst>
                <a:ext uri="{FF2B5EF4-FFF2-40B4-BE49-F238E27FC236}">
                  <a16:creationId xmlns:a16="http://schemas.microsoft.com/office/drawing/2014/main" id="{E93540B7-9C16-F733-ECC7-1C0CF9CC2A66}"/>
                </a:ext>
              </a:extLst>
            </xdr:cNvPr>
            <xdr:cNvGraphicFramePr/>
          </xdr:nvGraphicFramePr>
          <xdr:xfrm>
            <a:off x="0" y="0"/>
            <a:ext cx="0" cy="0"/>
          </xdr:xfrm>
          <a:graphic>
            <a:graphicData uri="http://schemas.microsoft.com/office/drawing/2010/slicer">
              <sle:slicer xmlns:sle="http://schemas.microsoft.com/office/drawing/2010/slicer" name="releaseYear"/>
            </a:graphicData>
          </a:graphic>
        </xdr:graphicFrame>
      </mc:Choice>
      <mc:Fallback xmlns="">
        <xdr:sp macro="" textlink="">
          <xdr:nvSpPr>
            <xdr:cNvPr id="0" name=""/>
            <xdr:cNvSpPr>
              <a:spLocks noTextEdit="1"/>
            </xdr:cNvSpPr>
          </xdr:nvSpPr>
          <xdr:spPr>
            <a:xfrm>
              <a:off x="12306300" y="76200"/>
              <a:ext cx="1828800" cy="234314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19050</xdr:colOff>
      <xdr:row>13</xdr:row>
      <xdr:rowOff>95250</xdr:rowOff>
    </xdr:from>
    <xdr:to>
      <xdr:col>10</xdr:col>
      <xdr:colOff>304800</xdr:colOff>
      <xdr:row>26</xdr:row>
      <xdr:rowOff>142875</xdr:rowOff>
    </xdr:to>
    <mc:AlternateContent xmlns:mc="http://schemas.openxmlformats.org/markup-compatibility/2006" xmlns:sle15="http://schemas.microsoft.com/office/drawing/2012/slicer">
      <mc:Choice Requires="sle15">
        <xdr:graphicFrame macro="">
          <xdr:nvGraphicFramePr>
            <xdr:cNvPr id="5" name="genres">
              <a:extLst>
                <a:ext uri="{FF2B5EF4-FFF2-40B4-BE49-F238E27FC236}">
                  <a16:creationId xmlns:a16="http://schemas.microsoft.com/office/drawing/2014/main" id="{E0C4F9D3-C446-0B60-B431-F7EF3A2F6E50}"/>
                </a:ext>
              </a:extLst>
            </xdr:cNvPr>
            <xdr:cNvGraphicFramePr/>
          </xdr:nvGraphicFramePr>
          <xdr:xfrm>
            <a:off x="0" y="0"/>
            <a:ext cx="0" cy="0"/>
          </xdr:xfrm>
          <a:graphic>
            <a:graphicData uri="http://schemas.microsoft.com/office/drawing/2010/slicer">
              <sle:slicer xmlns:sle="http://schemas.microsoft.com/office/drawing/2010/slicer" name="genres"/>
            </a:graphicData>
          </a:graphic>
        </xdr:graphicFrame>
      </mc:Choice>
      <mc:Fallback xmlns="">
        <xdr:sp macro="" textlink="">
          <xdr:nvSpPr>
            <xdr:cNvPr id="0" name=""/>
            <xdr:cNvSpPr>
              <a:spLocks noTextEdit="1"/>
            </xdr:cNvSpPr>
          </xdr:nvSpPr>
          <xdr:spPr>
            <a:xfrm>
              <a:off x="11420475" y="2571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723900</xdr:colOff>
      <xdr:row>13</xdr:row>
      <xdr:rowOff>95250</xdr:rowOff>
    </xdr:from>
    <xdr:to>
      <xdr:col>13</xdr:col>
      <xdr:colOff>238125</xdr:colOff>
      <xdr:row>26</xdr:row>
      <xdr:rowOff>142875</xdr:rowOff>
    </xdr:to>
    <mc:AlternateContent xmlns:mc="http://schemas.openxmlformats.org/markup-compatibility/2006" xmlns:sle15="http://schemas.microsoft.com/office/drawing/2012/slicer">
      <mc:Choice Requires="sle15">
        <xdr:graphicFrame macro="">
          <xdr:nvGraphicFramePr>
            <xdr:cNvPr id="6" name="averageRating">
              <a:extLst>
                <a:ext uri="{FF2B5EF4-FFF2-40B4-BE49-F238E27FC236}">
                  <a16:creationId xmlns:a16="http://schemas.microsoft.com/office/drawing/2014/main" id="{468CABA6-5032-D89F-7939-D086335A2EAC}"/>
                </a:ext>
              </a:extLst>
            </xdr:cNvPr>
            <xdr:cNvGraphicFramePr/>
          </xdr:nvGraphicFramePr>
          <xdr:xfrm>
            <a:off x="0" y="0"/>
            <a:ext cx="0" cy="0"/>
          </xdr:xfrm>
          <a:graphic>
            <a:graphicData uri="http://schemas.microsoft.com/office/drawing/2010/slicer">
              <sle:slicer xmlns:sle="http://schemas.microsoft.com/office/drawing/2010/slicer" name="averageRating"/>
            </a:graphicData>
          </a:graphic>
        </xdr:graphicFrame>
      </mc:Choice>
      <mc:Fallback xmlns="">
        <xdr:sp macro="" textlink="">
          <xdr:nvSpPr>
            <xdr:cNvPr id="0" name=""/>
            <xdr:cNvSpPr>
              <a:spLocks noTextEdit="1"/>
            </xdr:cNvSpPr>
          </xdr:nvSpPr>
          <xdr:spPr>
            <a:xfrm>
              <a:off x="13668375" y="2571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514350</xdr:colOff>
      <xdr:row>0</xdr:row>
      <xdr:rowOff>66676</xdr:rowOff>
    </xdr:from>
    <xdr:to>
      <xdr:col>14</xdr:col>
      <xdr:colOff>28575</xdr:colOff>
      <xdr:row>12</xdr:row>
      <xdr:rowOff>123826</xdr:rowOff>
    </xdr:to>
    <mc:AlternateContent xmlns:mc="http://schemas.openxmlformats.org/markup-compatibility/2006" xmlns:sle15="http://schemas.microsoft.com/office/drawing/2012/slicer">
      <mc:Choice Requires="sle15">
        <xdr:graphicFrame macro="">
          <xdr:nvGraphicFramePr>
            <xdr:cNvPr id="7" name="numVotes">
              <a:extLst>
                <a:ext uri="{FF2B5EF4-FFF2-40B4-BE49-F238E27FC236}">
                  <a16:creationId xmlns:a16="http://schemas.microsoft.com/office/drawing/2014/main" id="{EF7E40EE-4915-859E-18EF-B211CF62BFEF}"/>
                </a:ext>
              </a:extLst>
            </xdr:cNvPr>
            <xdr:cNvGraphicFramePr/>
          </xdr:nvGraphicFramePr>
          <xdr:xfrm>
            <a:off x="0" y="0"/>
            <a:ext cx="0" cy="0"/>
          </xdr:xfrm>
          <a:graphic>
            <a:graphicData uri="http://schemas.microsoft.com/office/drawing/2010/slicer">
              <sle:slicer xmlns:sle="http://schemas.microsoft.com/office/drawing/2010/slicer" name="numVotes"/>
            </a:graphicData>
          </a:graphic>
        </xdr:graphicFrame>
      </mc:Choice>
      <mc:Fallback xmlns="">
        <xdr:sp macro="" textlink="">
          <xdr:nvSpPr>
            <xdr:cNvPr id="0" name=""/>
            <xdr:cNvSpPr>
              <a:spLocks noTextEdit="1"/>
            </xdr:cNvSpPr>
          </xdr:nvSpPr>
          <xdr:spPr>
            <a:xfrm>
              <a:off x="14230350" y="66676"/>
              <a:ext cx="1828800" cy="23431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76200</xdr:colOff>
      <xdr:row>11</xdr:row>
      <xdr:rowOff>42862</xdr:rowOff>
    </xdr:from>
    <xdr:to>
      <xdr:col>3</xdr:col>
      <xdr:colOff>1200150</xdr:colOff>
      <xdr:row>25</xdr:row>
      <xdr:rowOff>119062</xdr:rowOff>
    </xdr:to>
    <xdr:graphicFrame macro="">
      <xdr:nvGraphicFramePr>
        <xdr:cNvPr id="2" name="Chart 1">
          <a:extLst>
            <a:ext uri="{FF2B5EF4-FFF2-40B4-BE49-F238E27FC236}">
              <a16:creationId xmlns:a16="http://schemas.microsoft.com/office/drawing/2014/main" id="{4BBCC9F3-DA1A-3C55-78BE-1F3F71CAE8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xdr:colOff>
      <xdr:row>12</xdr:row>
      <xdr:rowOff>0</xdr:rowOff>
    </xdr:from>
    <xdr:to>
      <xdr:col>7</xdr:col>
      <xdr:colOff>1685926</xdr:colOff>
      <xdr:row>25</xdr:row>
      <xdr:rowOff>57150</xdr:rowOff>
    </xdr:to>
    <xdr:graphicFrame macro="">
      <xdr:nvGraphicFramePr>
        <xdr:cNvPr id="3" name="Chart 2">
          <a:extLst>
            <a:ext uri="{FF2B5EF4-FFF2-40B4-BE49-F238E27FC236}">
              <a16:creationId xmlns:a16="http://schemas.microsoft.com/office/drawing/2014/main" id="{95F646B0-EA5E-4719-90E1-472B6FD827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12</xdr:row>
      <xdr:rowOff>0</xdr:rowOff>
    </xdr:from>
    <xdr:to>
      <xdr:col>15</xdr:col>
      <xdr:colOff>419101</xdr:colOff>
      <xdr:row>26</xdr:row>
      <xdr:rowOff>80963</xdr:rowOff>
    </xdr:to>
    <xdr:graphicFrame macro="">
      <xdr:nvGraphicFramePr>
        <xdr:cNvPr id="4" name="Chart 3">
          <a:extLst>
            <a:ext uri="{FF2B5EF4-FFF2-40B4-BE49-F238E27FC236}">
              <a16:creationId xmlns:a16="http://schemas.microsoft.com/office/drawing/2014/main" id="{76AE2162-3DE7-4A8A-B68B-22D56EE6E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Divya Chowdary" id="{BE04ACE1-171D-4888-AFF0-9664CEEEA63E}" userId="739a4f4ae6402b04"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mar, Siva" refreshedDate="45610.44810173611" createdVersion="8" refreshedVersion="8" minRefreshableVersion="3" recordCount="7" xr:uid="{4514D288-C38E-432F-A016-17C4DFD91741}">
  <cacheSource type="worksheet">
    <worksheetSource ref="F31:J38" sheet="Chapter - 5"/>
  </cacheSource>
  <cacheFields count="5">
    <cacheField name="Genre" numFmtId="0">
      <sharedItems count="7">
        <s v="Comedy"/>
        <s v="Action, Adventure, Comedy"/>
        <s v="Action, Adventure, Sci-Fi"/>
        <s v="Horror, Mystery, Thriller"/>
        <s v="Action, Adventure, Drama"/>
        <s v="Horror, Thriller"/>
        <s v="Adventure, Comedy, Family"/>
      </sharedItems>
    </cacheField>
    <cacheField name="Total Votes In 2021" numFmtId="0">
      <sharedItems containsSemiMixedTypes="0" containsString="0" containsNumber="1" containsInteger="1" minValue="0" maxValue="91525"/>
    </cacheField>
    <cacheField name="Total Votes In 2022" numFmtId="0">
      <sharedItems containsSemiMixedTypes="0" containsString="0" containsNumber="1" containsInteger="1" minValue="0" maxValue="208770"/>
    </cacheField>
    <cacheField name="Total Votes In 2023" numFmtId="0">
      <sharedItems containsSemiMixedTypes="0" containsString="0" containsNumber="1" containsInteger="1" minValue="0" maxValue="172067"/>
    </cacheField>
    <cacheField name="Total Votes In 2024" numFmtId="0">
      <sharedItems containsSemiMixedTypes="0" containsString="0" containsNumber="1" containsInteger="1" minValue="0" maxValue="24332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mar, Siva" refreshedDate="45610.455110532406" createdVersion="8" refreshedVersion="8" minRefreshableVersion="3" recordCount="7" xr:uid="{1EF188D0-D16D-4617-AA43-824C4B8997EC}">
  <cacheSource type="worksheet">
    <worksheetSource ref="F13:G20" sheet="Chapter - 5"/>
  </cacheSource>
  <cacheFields count="2">
    <cacheField name="Genre" numFmtId="0">
      <sharedItems count="7">
        <s v="Comedy"/>
        <s v="Action, Adventure, Comedy"/>
        <s v="Action, Adventure, Sci-Fi"/>
        <s v="Horror, Mystery, Thriller"/>
        <s v="Action, Adventure, Drama"/>
        <s v="Horror, Thriller"/>
        <s v="Adventure, Comedy, Family"/>
      </sharedItems>
    </cacheField>
    <cacheField name="Top 7 Vote Counts" numFmtId="0">
      <sharedItems containsSemiMixedTypes="0" containsString="0" containsNumber="1" containsInteger="1" minValue="1013081" maxValue="171952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mar, Siva" refreshedDate="45610.459696874997" createdVersion="8" refreshedVersion="8" minRefreshableVersion="3" recordCount="5" xr:uid="{37659122-35A6-48F5-A8C9-E0A42465046C}">
  <cacheSource type="worksheet">
    <worksheetSource ref="F23:H28" sheet="Chapter - 5"/>
  </cacheSource>
  <cacheFields count="3">
    <cacheField name="Genre" numFmtId="0">
      <sharedItems count="4">
        <s v="Action, Adventure, Comedy"/>
        <s v="Action, Thriller"/>
        <s v="Comedy"/>
        <s v="Action, Adventure, Drama"/>
      </sharedItems>
    </cacheField>
    <cacheField name="Release Year" numFmtId="0">
      <sharedItems containsSemiMixedTypes="0" containsString="0" containsNumber="1" containsInteger="1" minValue="2003" maxValue="2023" count="5">
        <n v="2003"/>
        <n v="2013"/>
        <n v="2006"/>
        <n v="2009"/>
        <n v="2023"/>
      </sharedItems>
    </cacheField>
    <cacheField name="Highest Vote Count" numFmtId="0">
      <sharedItems containsSemiMixedTypes="0" containsString="0" containsNumber="1" containsInteger="1" minValue="172067" maxValue="2740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0"/>
    <n v="71074"/>
    <n v="0"/>
    <n v="0"/>
  </r>
  <r>
    <x v="1"/>
    <n v="60406"/>
    <n v="208770"/>
    <n v="0"/>
    <n v="31263"/>
  </r>
  <r>
    <x v="2"/>
    <n v="0"/>
    <n v="103225"/>
    <n v="0"/>
    <n v="129800"/>
  </r>
  <r>
    <x v="3"/>
    <n v="91525"/>
    <n v="15339"/>
    <n v="0"/>
    <n v="15023"/>
  </r>
  <r>
    <x v="4"/>
    <n v="26968"/>
    <n v="131192"/>
    <n v="172067"/>
    <n v="243324"/>
  </r>
  <r>
    <x v="5"/>
    <n v="0"/>
    <n v="10942"/>
    <n v="0"/>
    <n v="44373"/>
  </r>
  <r>
    <x v="6"/>
    <n v="0"/>
    <n v="0"/>
    <n v="10876"/>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1719522"/>
  </r>
  <r>
    <x v="1"/>
    <n v="1636625"/>
  </r>
  <r>
    <x v="2"/>
    <n v="1574437"/>
  </r>
  <r>
    <x v="3"/>
    <n v="1377044"/>
  </r>
  <r>
    <x v="4"/>
    <n v="1341014"/>
  </r>
  <r>
    <x v="5"/>
    <n v="1085481"/>
  </r>
  <r>
    <x v="6"/>
    <n v="101308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n v="274028"/>
  </r>
  <r>
    <x v="1"/>
    <x v="1"/>
    <n v="242498"/>
  </r>
  <r>
    <x v="2"/>
    <x v="2"/>
    <n v="225590"/>
  </r>
  <r>
    <x v="2"/>
    <x v="3"/>
    <n v="190898"/>
  </r>
  <r>
    <x v="3"/>
    <x v="4"/>
    <n v="1720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14ADD1-33FE-45DE-9070-99359A4CB57D}"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P9" firstHeaderRow="1" firstDataRow="2" firstDataCol="1"/>
  <pivotFields count="3">
    <pivotField axis="axisRow" showAll="0">
      <items count="5">
        <item x="0"/>
        <item x="3"/>
        <item x="1"/>
        <item x="2"/>
        <item t="default"/>
      </items>
    </pivotField>
    <pivotField axis="axisCol" showAll="0">
      <items count="6">
        <item x="0"/>
        <item x="2"/>
        <item x="3"/>
        <item x="1"/>
        <item x="4"/>
        <item t="default"/>
      </items>
    </pivotField>
    <pivotField dataField="1" showAll="0"/>
  </pivotFields>
  <rowFields count="1">
    <field x="0"/>
  </rowFields>
  <rowItems count="5">
    <i>
      <x/>
    </i>
    <i>
      <x v="1"/>
    </i>
    <i>
      <x v="2"/>
    </i>
    <i>
      <x v="3"/>
    </i>
    <i t="grand">
      <x/>
    </i>
  </rowItems>
  <colFields count="1">
    <field x="1"/>
  </colFields>
  <colItems count="6">
    <i>
      <x/>
    </i>
    <i>
      <x v="1"/>
    </i>
    <i>
      <x v="2"/>
    </i>
    <i>
      <x v="3"/>
    </i>
    <i>
      <x v="4"/>
    </i>
    <i t="grand">
      <x/>
    </i>
  </colItems>
  <dataFields count="1">
    <dataField name="Sum of Highest Vote Count" fld="2" baseField="0" baseItem="0"/>
  </dataField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3" format="10" series="1">
      <pivotArea type="data" outline="0" fieldPosition="0">
        <references count="2">
          <reference field="4294967294" count="1" selected="0">
            <x v="0"/>
          </reference>
          <reference field="1" count="1" selected="0">
            <x v="0"/>
          </reference>
        </references>
      </pivotArea>
    </chartFormat>
    <chartFormat chart="3" format="11" series="1">
      <pivotArea type="data" outline="0" fieldPosition="0">
        <references count="2">
          <reference field="4294967294" count="1" selected="0">
            <x v="0"/>
          </reference>
          <reference field="1" count="1" selected="0">
            <x v="1"/>
          </reference>
        </references>
      </pivotArea>
    </chartFormat>
    <chartFormat chart="3" format="12" series="1">
      <pivotArea type="data" outline="0" fieldPosition="0">
        <references count="2">
          <reference field="4294967294" count="1" selected="0">
            <x v="0"/>
          </reference>
          <reference field="1" count="1" selected="0">
            <x v="2"/>
          </reference>
        </references>
      </pivotArea>
    </chartFormat>
    <chartFormat chart="3" format="13" series="1">
      <pivotArea type="data" outline="0" fieldPosition="0">
        <references count="2">
          <reference field="4294967294" count="1" selected="0">
            <x v="0"/>
          </reference>
          <reference field="1" count="1" selected="0">
            <x v="3"/>
          </reference>
        </references>
      </pivotArea>
    </chartFormat>
    <chartFormat chart="3" format="1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A7C5F8-A293-4988-88A5-9D968B904296}"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11" firstHeaderRow="1" firstDataRow="1" firstDataCol="1"/>
  <pivotFields count="2">
    <pivotField axis="axisRow" showAll="0">
      <items count="8">
        <item x="1"/>
        <item x="4"/>
        <item x="2"/>
        <item x="6"/>
        <item x="0"/>
        <item x="3"/>
        <item x="5"/>
        <item t="default"/>
      </items>
    </pivotField>
    <pivotField dataField="1" showAll="0"/>
  </pivotFields>
  <rowFields count="1">
    <field x="0"/>
  </rowFields>
  <rowItems count="8">
    <i>
      <x/>
    </i>
    <i>
      <x v="1"/>
    </i>
    <i>
      <x v="2"/>
    </i>
    <i>
      <x v="3"/>
    </i>
    <i>
      <x v="4"/>
    </i>
    <i>
      <x v="5"/>
    </i>
    <i>
      <x v="6"/>
    </i>
    <i t="grand">
      <x/>
    </i>
  </rowItems>
  <colItems count="1">
    <i/>
  </colItems>
  <dataFields count="1">
    <dataField name="Sum of Top 7 Vote Counts" fld="1" baseField="0" baseItem="0"/>
  </dataFields>
  <chartFormats count="9">
    <chartFormat chart="0" format="0"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0" count="1" selected="0">
            <x v="0"/>
          </reference>
        </references>
      </pivotArea>
    </chartFormat>
    <chartFormat chart="3" format="11">
      <pivotArea type="data" outline="0" fieldPosition="0">
        <references count="2">
          <reference field="4294967294" count="1" selected="0">
            <x v="0"/>
          </reference>
          <reference field="0" count="1" selected="0">
            <x v="1"/>
          </reference>
        </references>
      </pivotArea>
    </chartFormat>
    <chartFormat chart="3" format="12">
      <pivotArea type="data" outline="0" fieldPosition="0">
        <references count="2">
          <reference field="4294967294" count="1" selected="0">
            <x v="0"/>
          </reference>
          <reference field="0" count="1" selected="0">
            <x v="2"/>
          </reference>
        </references>
      </pivotArea>
    </chartFormat>
    <chartFormat chart="3" format="13">
      <pivotArea type="data" outline="0" fieldPosition="0">
        <references count="2">
          <reference field="4294967294" count="1" selected="0">
            <x v="0"/>
          </reference>
          <reference field="0" count="1" selected="0">
            <x v="3"/>
          </reference>
        </references>
      </pivotArea>
    </chartFormat>
    <chartFormat chart="3" format="14">
      <pivotArea type="data" outline="0" fieldPosition="0">
        <references count="2">
          <reference field="4294967294" count="1" selected="0">
            <x v="0"/>
          </reference>
          <reference field="0" count="1" selected="0">
            <x v="4"/>
          </reference>
        </references>
      </pivotArea>
    </chartFormat>
    <chartFormat chart="3" format="15">
      <pivotArea type="data" outline="0" fieldPosition="0">
        <references count="2">
          <reference field="4294967294" count="1" selected="0">
            <x v="0"/>
          </reference>
          <reference field="0" count="1" selected="0">
            <x v="5"/>
          </reference>
        </references>
      </pivotArea>
    </chartFormat>
    <chartFormat chart="3" format="16">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44513B-C5BD-45E6-8602-2025599E97E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E11" firstHeaderRow="0" firstDataRow="1" firstDataCol="1"/>
  <pivotFields count="5">
    <pivotField axis="axisRow" showAll="0">
      <items count="8">
        <item x="1"/>
        <item x="4"/>
        <item x="2"/>
        <item x="6"/>
        <item x="0"/>
        <item x="3"/>
        <item x="5"/>
        <item t="default"/>
      </items>
    </pivotField>
    <pivotField dataField="1" showAll="0"/>
    <pivotField dataField="1" showAll="0"/>
    <pivotField dataField="1" showAll="0"/>
    <pivotField dataField="1" showAll="0"/>
  </pivotFields>
  <rowFields count="1">
    <field x="0"/>
  </rowFields>
  <rowItems count="8">
    <i>
      <x/>
    </i>
    <i>
      <x v="1"/>
    </i>
    <i>
      <x v="2"/>
    </i>
    <i>
      <x v="3"/>
    </i>
    <i>
      <x v="4"/>
    </i>
    <i>
      <x v="5"/>
    </i>
    <i>
      <x v="6"/>
    </i>
    <i t="grand">
      <x/>
    </i>
  </rowItems>
  <colFields count="1">
    <field x="-2"/>
  </colFields>
  <colItems count="4">
    <i>
      <x/>
    </i>
    <i i="1">
      <x v="1"/>
    </i>
    <i i="2">
      <x v="2"/>
    </i>
    <i i="3">
      <x v="3"/>
    </i>
  </colItems>
  <dataFields count="4">
    <dataField name="Sum of Total Votes In 2021" fld="1" baseField="0" baseItem="0"/>
    <dataField name="Sum of Total Votes In 2022" fld="2" baseField="0" baseItem="0"/>
    <dataField name="Sum of Total Votes In 2023" fld="3" baseField="0" baseItem="0"/>
    <dataField name="Sum of Total Votes In 2024" fld="4" baseField="0" baseItem="0"/>
  </dataFields>
  <formats count="6">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fieldPosition="0">
        <references count="1">
          <reference field="4294967294" count="4">
            <x v="0"/>
            <x v="1"/>
            <x v="2"/>
            <x v="3"/>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tle" xr10:uid="{0D2807D6-5464-49E5-BAB0-3BACE2C51687}" sourceName="title">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Year" xr10:uid="{9D8DC897-D3B3-4FF8-A2E2-64C3A057A6FA}" sourceName="releaseYear">
  <extLst>
    <x:ext xmlns:x15="http://schemas.microsoft.com/office/spreadsheetml/2010/11/main" uri="{2F2917AC-EB37-4324-AD4E-5DD8C200BD13}">
      <x15:tableSlicerCache tableId="1" column="6"/>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s" xr10:uid="{0FC51AEA-EB54-411D-83F2-CE4FE2C0D554}" sourceName="genres">
  <extLst>
    <x:ext xmlns:x15="http://schemas.microsoft.com/office/spreadsheetml/2010/11/main" uri="{2F2917AC-EB37-4324-AD4E-5DD8C200BD13}">
      <x15:tableSlicerCache tableId="1"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erageRating" xr10:uid="{39F7EBC3-FCC9-4ACE-B242-B123752F7AF3}" sourceName="averageRating">
  <extLst>
    <x:ext xmlns:x15="http://schemas.microsoft.com/office/spreadsheetml/2010/11/main" uri="{2F2917AC-EB37-4324-AD4E-5DD8C200BD13}">
      <x15:tableSlicerCache tableId="1"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Votes" xr10:uid="{81F21E63-2FAB-4956-ABA5-53CC360FCE12}" sourceName="numVotes">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tle" xr10:uid="{786FC9E9-4EB8-4930-AD3C-6E27AB52E0B7}" cache="Slicer_title" caption="title" rowHeight="241300"/>
  <slicer name="releaseYear" xr10:uid="{33C75DCE-05D0-4388-96F0-58A8C1097A77}" cache="Slicer_releaseYear" caption="releaseYear" startItem="32" rowHeight="241300"/>
  <slicer name="genres" xr10:uid="{D86CC453-0A42-42D7-B801-102482CD1F3A}" cache="Slicer_genres" caption="genres" rowHeight="241300"/>
  <slicer name="averageRating" xr10:uid="{C82BC1C0-3F02-457F-A35D-DAF4C0219DA6}" cache="Slicer_averageRating" caption="averageRating" rowHeight="241300"/>
  <slicer name="numVotes" xr10:uid="{E4509501-77A0-47C8-AB29-E2A44E97EE06}" cache="Slicer_numVotes" caption="numVote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B8B252-A22C-406E-9265-04EB2CE9410B}" name="Table1" displayName="Table1" ref="A1:F1001" totalsRowShown="0" headerRowDxfId="13" dataDxfId="12">
  <autoFilter ref="A1:F1001" xr:uid="{D0B8B252-A22C-406E-9265-04EB2CE9410B}"/>
  <sortState xmlns:xlrd2="http://schemas.microsoft.com/office/spreadsheetml/2017/richdata2" ref="A2:E1001">
    <sortCondition ref="E1:E1001"/>
  </sortState>
  <tableColumns count="6">
    <tableColumn id="2" xr3:uid="{DEAAB0A5-D11A-43FF-AE69-4A6D4A2C8FB3}" name="title" dataDxfId="11"/>
    <tableColumn id="3" xr3:uid="{E20063AC-5D8A-422D-88E0-C311847721E1}" name="genres" dataDxfId="10"/>
    <tableColumn id="4" xr3:uid="{CC3E217B-D540-4F69-B5D7-168937D007E2}" name="averageRating" dataDxfId="9"/>
    <tableColumn id="5" xr3:uid="{7502BD7A-7620-4AE9-A334-861EE8435C79}" name="numVotes" dataDxfId="8"/>
    <tableColumn id="6" xr3:uid="{1C30E089-8CA2-43FA-A335-096E5DF1E550}" name="releaseYear" dataDxfId="7"/>
    <tableColumn id="8" xr3:uid="{C5F44DD7-2219-4258-A8FC-C1266FA4AA73}" name="TRIM and CONCAT " dataDxfId="6" dataCellStyle="20% - Accent4">
      <calculatedColumnFormula>_xlfn.CONCAT(TRIM(A2)," ", ": Rating"," ",C2,",","  ","Released in", " ",E2)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 dT="2024-11-19T16:23:20.60" personId="{BE04ACE1-171D-4888-AFF0-9664CEEEA63E}" id="{EF885D6B-F90E-4C34-AD4B-86B6B6DE005E}">
    <text>Rating Trend  Shows the trend of ratings for individual movies over the years.( by selecting release year, sum of number of votes, avg of average rating)</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5.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10.bin"/><Relationship Id="rId4" Type="http://schemas.microsoft.com/office/2007/relationships/slicer" Target="../slicers/slicer1.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4.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7D2F9-37B4-4713-BDF3-539E6C087312}">
  <sheetPr codeName="Sheet1"/>
  <dimension ref="A1:F1001"/>
  <sheetViews>
    <sheetView workbookViewId="0">
      <selection activeCell="B30" sqref="B30"/>
    </sheetView>
  </sheetViews>
  <sheetFormatPr defaultColWidth="9.1796875" defaultRowHeight="14.5" x14ac:dyDescent="0.35"/>
  <cols>
    <col min="1" max="1" width="21.54296875" style="1" customWidth="1"/>
    <col min="2" max="2" width="26.81640625" style="1" customWidth="1"/>
    <col min="3" max="3" width="48.1796875" style="1" customWidth="1"/>
    <col min="4" max="4" width="25.1796875" style="1" customWidth="1"/>
    <col min="5" max="5" width="23.26953125" style="1" customWidth="1"/>
    <col min="6" max="6" width="22" style="1" customWidth="1"/>
    <col min="7" max="16384" width="9.1796875" style="1"/>
  </cols>
  <sheetData>
    <row r="1" spans="1:6" x14ac:dyDescent="0.35">
      <c r="A1" s="1" t="s">
        <v>0</v>
      </c>
      <c r="B1" s="1" t="s">
        <v>1</v>
      </c>
      <c r="C1" s="1" t="s">
        <v>2</v>
      </c>
      <c r="D1" s="1" t="s">
        <v>3</v>
      </c>
      <c r="E1" s="1" t="s">
        <v>4</v>
      </c>
      <c r="F1" s="1" t="s">
        <v>5</v>
      </c>
    </row>
    <row r="2" spans="1:6" x14ac:dyDescent="0.35">
      <c r="A2" s="1" t="s">
        <v>680</v>
      </c>
      <c r="B2" s="1" t="s">
        <v>681</v>
      </c>
      <c r="C2" s="1" t="s">
        <v>682</v>
      </c>
      <c r="D2" s="1">
        <v>4.2</v>
      </c>
      <c r="E2" s="1">
        <v>341094</v>
      </c>
      <c r="F2" s="1">
        <v>2015</v>
      </c>
    </row>
    <row r="3" spans="1:6" x14ac:dyDescent="0.35">
      <c r="A3" s="1" t="s">
        <v>1320</v>
      </c>
      <c r="B3" s="1" t="s">
        <v>1321</v>
      </c>
      <c r="C3" s="1" t="s">
        <v>1322</v>
      </c>
      <c r="D3" s="1">
        <v>4.8</v>
      </c>
      <c r="E3" s="1">
        <v>304888</v>
      </c>
      <c r="F3" s="1">
        <v>2009</v>
      </c>
    </row>
    <row r="4" spans="1:6" x14ac:dyDescent="0.35">
      <c r="A4" s="1" t="s">
        <v>478</v>
      </c>
      <c r="B4" s="1" t="s">
        <v>479</v>
      </c>
      <c r="C4" s="1" t="s">
        <v>172</v>
      </c>
      <c r="D4" s="1">
        <v>3.8</v>
      </c>
      <c r="E4" s="1">
        <v>272072</v>
      </c>
      <c r="F4" s="1">
        <v>1997</v>
      </c>
    </row>
    <row r="5" spans="1:6" x14ac:dyDescent="0.35">
      <c r="A5" s="1" t="s">
        <v>587</v>
      </c>
      <c r="B5" s="1" t="s">
        <v>588</v>
      </c>
      <c r="C5" s="1" t="s">
        <v>93</v>
      </c>
      <c r="D5" s="1">
        <v>4</v>
      </c>
      <c r="E5" s="1">
        <v>267936</v>
      </c>
      <c r="F5" s="1">
        <v>2019</v>
      </c>
    </row>
    <row r="6" spans="1:6" x14ac:dyDescent="0.35">
      <c r="A6" s="1" t="s">
        <v>1847</v>
      </c>
      <c r="B6" s="1" t="s">
        <v>1848</v>
      </c>
      <c r="C6" s="1" t="s">
        <v>93</v>
      </c>
      <c r="D6" s="1">
        <v>5.0999999999999996</v>
      </c>
      <c r="E6" s="1">
        <v>265386</v>
      </c>
      <c r="F6" s="1">
        <v>2010</v>
      </c>
    </row>
    <row r="7" spans="1:6" x14ac:dyDescent="0.35">
      <c r="A7" s="1" t="s">
        <v>1521</v>
      </c>
      <c r="B7" s="1" t="s">
        <v>1522</v>
      </c>
      <c r="C7" s="1" t="s">
        <v>1322</v>
      </c>
      <c r="D7" s="1">
        <v>4.9000000000000004</v>
      </c>
      <c r="E7" s="1">
        <v>258475</v>
      </c>
      <c r="F7" s="1">
        <v>2011</v>
      </c>
    </row>
    <row r="8" spans="1:6" x14ac:dyDescent="0.35">
      <c r="A8" s="1" t="s">
        <v>1674</v>
      </c>
      <c r="B8" s="1" t="s">
        <v>1675</v>
      </c>
      <c r="C8" s="1" t="s">
        <v>560</v>
      </c>
      <c r="D8" s="1">
        <v>5</v>
      </c>
      <c r="E8" s="1">
        <v>220066</v>
      </c>
      <c r="F8" s="1">
        <v>2008</v>
      </c>
    </row>
    <row r="9" spans="1:6" x14ac:dyDescent="0.35">
      <c r="A9" s="1" t="s">
        <v>2100</v>
      </c>
      <c r="B9" s="1" t="s">
        <v>2101</v>
      </c>
      <c r="C9" s="1" t="s">
        <v>294</v>
      </c>
      <c r="D9" s="1">
        <v>5.2</v>
      </c>
      <c r="E9" s="1">
        <v>217048</v>
      </c>
      <c r="F9" s="1">
        <v>2013</v>
      </c>
    </row>
    <row r="10" spans="1:6" x14ac:dyDescent="0.35">
      <c r="A10" s="1" t="s">
        <v>1323</v>
      </c>
      <c r="B10" s="1" t="s">
        <v>1324</v>
      </c>
      <c r="C10" s="1" t="s">
        <v>163</v>
      </c>
      <c r="D10" s="1">
        <v>4.8</v>
      </c>
      <c r="E10" s="1">
        <v>211275</v>
      </c>
      <c r="F10" s="1">
        <v>2013</v>
      </c>
    </row>
    <row r="11" spans="1:6" x14ac:dyDescent="0.35">
      <c r="A11" s="1" t="s">
        <v>2102</v>
      </c>
      <c r="B11" s="1" t="s">
        <v>2103</v>
      </c>
      <c r="C11" s="1" t="s">
        <v>178</v>
      </c>
      <c r="D11" s="1">
        <v>5.2</v>
      </c>
      <c r="E11" s="1">
        <v>195388</v>
      </c>
      <c r="F11" s="1">
        <v>2022</v>
      </c>
    </row>
    <row r="12" spans="1:6" x14ac:dyDescent="0.35">
      <c r="A12" s="1" t="s">
        <v>2104</v>
      </c>
      <c r="B12" s="1" t="s">
        <v>2105</v>
      </c>
      <c r="C12" s="1" t="s">
        <v>163</v>
      </c>
      <c r="D12" s="1">
        <v>5.2</v>
      </c>
      <c r="E12" s="1">
        <v>192018</v>
      </c>
      <c r="F12" s="1">
        <v>2016</v>
      </c>
    </row>
    <row r="13" spans="1:6" x14ac:dyDescent="0.35">
      <c r="A13" s="1" t="s">
        <v>99</v>
      </c>
      <c r="B13" s="1" t="s">
        <v>100</v>
      </c>
      <c r="C13" s="1" t="s">
        <v>101</v>
      </c>
      <c r="D13" s="1">
        <v>1.9</v>
      </c>
      <c r="E13" s="1">
        <v>180273</v>
      </c>
      <c r="F13" s="1">
        <v>2021</v>
      </c>
    </row>
    <row r="14" spans="1:6" x14ac:dyDescent="0.35">
      <c r="A14" s="1" t="s">
        <v>750</v>
      </c>
      <c r="B14" s="1" t="s">
        <v>751</v>
      </c>
      <c r="C14" s="1" t="s">
        <v>163</v>
      </c>
      <c r="D14" s="1">
        <v>4.3</v>
      </c>
      <c r="E14" s="1">
        <v>179961</v>
      </c>
      <c r="F14" s="1">
        <v>2015</v>
      </c>
    </row>
    <row r="15" spans="1:6" x14ac:dyDescent="0.35">
      <c r="A15" s="1" t="s">
        <v>589</v>
      </c>
      <c r="B15" s="1" t="s">
        <v>590</v>
      </c>
      <c r="C15" s="1" t="s">
        <v>477</v>
      </c>
      <c r="D15" s="1">
        <v>4</v>
      </c>
      <c r="E15" s="1">
        <v>176827</v>
      </c>
      <c r="F15" s="1">
        <v>2010</v>
      </c>
    </row>
    <row r="16" spans="1:6" x14ac:dyDescent="0.35">
      <c r="A16" s="1" t="s">
        <v>2106</v>
      </c>
      <c r="B16" s="1" t="s">
        <v>2107</v>
      </c>
      <c r="C16" s="1" t="s">
        <v>166</v>
      </c>
      <c r="D16" s="1">
        <v>5.2</v>
      </c>
      <c r="E16" s="1">
        <v>173199</v>
      </c>
      <c r="F16" s="1">
        <v>2008</v>
      </c>
    </row>
    <row r="17" spans="1:6" x14ac:dyDescent="0.35">
      <c r="A17" s="1" t="s">
        <v>2108</v>
      </c>
      <c r="B17" s="1" t="s">
        <v>2109</v>
      </c>
      <c r="C17" s="1" t="s">
        <v>163</v>
      </c>
      <c r="D17" s="1">
        <v>5.2</v>
      </c>
      <c r="E17" s="1">
        <v>172818</v>
      </c>
      <c r="F17" s="1">
        <v>2017</v>
      </c>
    </row>
    <row r="18" spans="1:6" x14ac:dyDescent="0.35">
      <c r="A18" s="1" t="s">
        <v>1523</v>
      </c>
      <c r="B18" s="1" t="s">
        <v>1524</v>
      </c>
      <c r="C18" s="1" t="s">
        <v>62</v>
      </c>
      <c r="D18" s="1">
        <v>4.9000000000000004</v>
      </c>
      <c r="E18" s="1">
        <v>168977</v>
      </c>
      <c r="F18" s="1">
        <v>1999</v>
      </c>
    </row>
    <row r="19" spans="1:6" x14ac:dyDescent="0.35">
      <c r="A19" s="1" t="s">
        <v>2110</v>
      </c>
      <c r="B19" s="1" t="s">
        <v>2111</v>
      </c>
      <c r="C19" s="1" t="s">
        <v>101</v>
      </c>
      <c r="D19" s="1">
        <v>5.2</v>
      </c>
      <c r="E19" s="1">
        <v>166852</v>
      </c>
      <c r="F19" s="1">
        <v>2021</v>
      </c>
    </row>
    <row r="20" spans="1:6" x14ac:dyDescent="0.35">
      <c r="A20" s="1" t="s">
        <v>1849</v>
      </c>
      <c r="B20" s="1" t="s">
        <v>1850</v>
      </c>
      <c r="C20" s="1" t="s">
        <v>122</v>
      </c>
      <c r="D20" s="1">
        <v>5.0999999999999996</v>
      </c>
      <c r="E20" s="1">
        <v>158856</v>
      </c>
      <c r="F20" s="1">
        <v>2022</v>
      </c>
    </row>
    <row r="21" spans="1:6" x14ac:dyDescent="0.35">
      <c r="A21" s="1" t="s">
        <v>1023</v>
      </c>
      <c r="B21" s="1" t="s">
        <v>1024</v>
      </c>
      <c r="C21" s="1" t="s">
        <v>155</v>
      </c>
      <c r="D21" s="1">
        <v>4.5999999999999996</v>
      </c>
      <c r="E21" s="1">
        <v>137996</v>
      </c>
      <c r="F21" s="1">
        <v>2007</v>
      </c>
    </row>
    <row r="22" spans="1:6" x14ac:dyDescent="0.35">
      <c r="A22" s="1" t="s">
        <v>1851</v>
      </c>
      <c r="B22" s="1" t="s">
        <v>1852</v>
      </c>
      <c r="C22" s="1" t="s">
        <v>93</v>
      </c>
      <c r="D22" s="1">
        <v>5.0999999999999996</v>
      </c>
      <c r="E22" s="1">
        <v>136533</v>
      </c>
      <c r="F22" s="1">
        <v>2008</v>
      </c>
    </row>
    <row r="23" spans="1:6" x14ac:dyDescent="0.35">
      <c r="A23" s="1" t="s">
        <v>1525</v>
      </c>
      <c r="B23" s="1" t="s">
        <v>1526</v>
      </c>
      <c r="C23" s="1" t="s">
        <v>178</v>
      </c>
      <c r="D23" s="1">
        <v>4.9000000000000004</v>
      </c>
      <c r="E23" s="1">
        <v>134567</v>
      </c>
      <c r="F23" s="1">
        <v>2003</v>
      </c>
    </row>
    <row r="24" spans="1:6" x14ac:dyDescent="0.35">
      <c r="A24" s="1" t="s">
        <v>201</v>
      </c>
      <c r="B24" s="1" t="s">
        <v>202</v>
      </c>
      <c r="C24" s="1" t="s">
        <v>93</v>
      </c>
      <c r="D24" s="1">
        <v>2.7</v>
      </c>
      <c r="E24" s="1">
        <v>134527</v>
      </c>
      <c r="F24" s="1">
        <v>2023</v>
      </c>
    </row>
    <row r="25" spans="1:6" x14ac:dyDescent="0.35">
      <c r="A25" s="1" t="s">
        <v>1853</v>
      </c>
      <c r="B25" s="1" t="s">
        <v>1854</v>
      </c>
      <c r="C25" s="1" t="s">
        <v>477</v>
      </c>
      <c r="D25" s="1">
        <v>5.0999999999999996</v>
      </c>
      <c r="E25" s="1">
        <v>131549</v>
      </c>
      <c r="F25" s="1">
        <v>2006</v>
      </c>
    </row>
    <row r="26" spans="1:6" x14ac:dyDescent="0.35">
      <c r="A26" s="1" t="s">
        <v>1855</v>
      </c>
      <c r="B26" s="1" t="s">
        <v>1856</v>
      </c>
      <c r="C26" s="1" t="s">
        <v>11</v>
      </c>
      <c r="D26" s="1">
        <v>5.0999999999999996</v>
      </c>
      <c r="E26" s="1">
        <v>131453</v>
      </c>
      <c r="F26" s="1">
        <v>2006</v>
      </c>
    </row>
    <row r="27" spans="1:6" x14ac:dyDescent="0.35">
      <c r="A27" s="1" t="s">
        <v>1025</v>
      </c>
      <c r="B27" s="1" t="s">
        <v>1026</v>
      </c>
      <c r="C27" s="1" t="s">
        <v>146</v>
      </c>
      <c r="D27" s="1">
        <v>4.5999999999999996</v>
      </c>
      <c r="E27" s="1">
        <v>129033</v>
      </c>
      <c r="F27" s="1">
        <v>1997</v>
      </c>
    </row>
    <row r="28" spans="1:6" x14ac:dyDescent="0.35">
      <c r="A28" s="1" t="s">
        <v>752</v>
      </c>
      <c r="B28" s="1" t="s">
        <v>753</v>
      </c>
      <c r="C28" s="1" t="s">
        <v>754</v>
      </c>
      <c r="D28" s="1">
        <v>4.3</v>
      </c>
      <c r="E28" s="1">
        <v>128358</v>
      </c>
      <c r="F28" s="1">
        <v>2011</v>
      </c>
    </row>
    <row r="29" spans="1:6" x14ac:dyDescent="0.35">
      <c r="A29" s="1" t="s">
        <v>336</v>
      </c>
      <c r="B29" s="1" t="s">
        <v>337</v>
      </c>
      <c r="C29" s="1" t="s">
        <v>338</v>
      </c>
      <c r="D29" s="1">
        <v>3.4</v>
      </c>
      <c r="E29" s="1">
        <v>127566</v>
      </c>
      <c r="F29" s="1">
        <v>2004</v>
      </c>
    </row>
    <row r="30" spans="1:6" x14ac:dyDescent="0.35">
      <c r="A30" s="1" t="s">
        <v>631</v>
      </c>
      <c r="B30" s="1" t="s">
        <v>632</v>
      </c>
      <c r="C30" s="1" t="s">
        <v>93</v>
      </c>
      <c r="D30" s="1">
        <v>4.0999999999999996</v>
      </c>
      <c r="E30" s="1">
        <v>124735</v>
      </c>
      <c r="F30" s="1">
        <v>2024</v>
      </c>
    </row>
    <row r="31" spans="1:6" x14ac:dyDescent="0.35">
      <c r="A31" s="1" t="s">
        <v>2112</v>
      </c>
      <c r="B31" s="1" t="s">
        <v>2113</v>
      </c>
      <c r="C31" s="1" t="s">
        <v>155</v>
      </c>
      <c r="D31" s="1">
        <v>5.2</v>
      </c>
      <c r="E31" s="1">
        <v>120222</v>
      </c>
      <c r="F31" s="1">
        <v>2005</v>
      </c>
    </row>
    <row r="32" spans="1:6" x14ac:dyDescent="0.35">
      <c r="A32" s="1" t="s">
        <v>2114</v>
      </c>
      <c r="B32" s="1" t="s">
        <v>2115</v>
      </c>
      <c r="C32" s="1" t="s">
        <v>163</v>
      </c>
      <c r="D32" s="1">
        <v>5.2</v>
      </c>
      <c r="E32" s="1">
        <v>119294</v>
      </c>
      <c r="F32" s="1">
        <v>2016</v>
      </c>
    </row>
    <row r="33" spans="1:6" x14ac:dyDescent="0.35">
      <c r="A33" s="1" t="s">
        <v>1857</v>
      </c>
      <c r="B33" s="1" t="s">
        <v>1858</v>
      </c>
      <c r="C33" s="1" t="s">
        <v>116</v>
      </c>
      <c r="D33" s="1">
        <v>5.0999999999999996</v>
      </c>
      <c r="E33" s="1">
        <v>119263</v>
      </c>
      <c r="F33" s="1">
        <v>2014</v>
      </c>
    </row>
    <row r="34" spans="1:6" x14ac:dyDescent="0.35">
      <c r="A34" s="1" t="s">
        <v>1859</v>
      </c>
      <c r="B34" s="1" t="s">
        <v>1860</v>
      </c>
      <c r="C34" s="1" t="s">
        <v>82</v>
      </c>
      <c r="D34" s="1">
        <v>5.0999999999999996</v>
      </c>
      <c r="E34" s="1">
        <v>118563</v>
      </c>
      <c r="F34" s="1">
        <v>2009</v>
      </c>
    </row>
    <row r="35" spans="1:6" x14ac:dyDescent="0.35">
      <c r="A35" s="1" t="s">
        <v>827</v>
      </c>
      <c r="B35" s="1" t="s">
        <v>828</v>
      </c>
      <c r="C35" s="1" t="s">
        <v>11</v>
      </c>
      <c r="D35" s="1">
        <v>4.4000000000000004</v>
      </c>
      <c r="E35" s="1">
        <v>114465</v>
      </c>
      <c r="F35" s="1">
        <v>2013</v>
      </c>
    </row>
    <row r="36" spans="1:6" x14ac:dyDescent="0.35">
      <c r="A36" s="1" t="s">
        <v>1527</v>
      </c>
      <c r="B36" s="1" t="s">
        <v>1528</v>
      </c>
      <c r="C36" s="1" t="s">
        <v>122</v>
      </c>
      <c r="D36" s="1">
        <v>4.9000000000000004</v>
      </c>
      <c r="E36" s="1">
        <v>114363</v>
      </c>
      <c r="F36" s="1">
        <v>1997</v>
      </c>
    </row>
    <row r="37" spans="1:6" x14ac:dyDescent="0.35">
      <c r="A37" s="1" t="s">
        <v>1027</v>
      </c>
      <c r="B37" s="1" t="s">
        <v>1028</v>
      </c>
      <c r="C37" s="1" t="s">
        <v>933</v>
      </c>
      <c r="D37" s="1">
        <v>4.5999999999999996</v>
      </c>
      <c r="E37" s="1">
        <v>114344</v>
      </c>
      <c r="F37" s="1">
        <v>2017</v>
      </c>
    </row>
    <row r="38" spans="1:6" x14ac:dyDescent="0.35">
      <c r="A38" s="1" t="s">
        <v>829</v>
      </c>
      <c r="B38" s="1" t="s">
        <v>830</v>
      </c>
      <c r="C38" s="1" t="s">
        <v>544</v>
      </c>
      <c r="D38" s="1">
        <v>4.4000000000000004</v>
      </c>
      <c r="E38" s="1">
        <v>112636</v>
      </c>
      <c r="F38" s="1">
        <v>2023</v>
      </c>
    </row>
    <row r="39" spans="1:6" x14ac:dyDescent="0.35">
      <c r="A39" s="1" t="s">
        <v>225</v>
      </c>
      <c r="B39" s="1" t="s">
        <v>226</v>
      </c>
      <c r="C39" s="1" t="s">
        <v>227</v>
      </c>
      <c r="D39" s="1">
        <v>2.8</v>
      </c>
      <c r="E39" s="1">
        <v>112412</v>
      </c>
      <c r="F39" s="1">
        <v>2008</v>
      </c>
    </row>
    <row r="40" spans="1:6" x14ac:dyDescent="0.35">
      <c r="A40" s="1" t="s">
        <v>150</v>
      </c>
      <c r="B40" s="1" t="s">
        <v>151</v>
      </c>
      <c r="C40" s="1" t="s">
        <v>152</v>
      </c>
      <c r="D40" s="1">
        <v>2.4</v>
      </c>
      <c r="E40" s="1">
        <v>110384</v>
      </c>
      <c r="F40" s="1">
        <v>2007</v>
      </c>
    </row>
    <row r="41" spans="1:6" x14ac:dyDescent="0.35">
      <c r="A41" s="1" t="s">
        <v>2116</v>
      </c>
      <c r="B41" s="1" t="s">
        <v>2117</v>
      </c>
      <c r="C41" s="1" t="s">
        <v>669</v>
      </c>
      <c r="D41" s="1">
        <v>5.2</v>
      </c>
      <c r="E41" s="1">
        <v>109586</v>
      </c>
      <c r="F41" s="1">
        <v>2010</v>
      </c>
    </row>
    <row r="42" spans="1:6" x14ac:dyDescent="0.35">
      <c r="A42" s="1" t="s">
        <v>1529</v>
      </c>
      <c r="B42" s="1" t="s">
        <v>1530</v>
      </c>
      <c r="C42" s="1" t="s">
        <v>249</v>
      </c>
      <c r="D42" s="1">
        <v>4.9000000000000004</v>
      </c>
      <c r="E42" s="1">
        <v>107514</v>
      </c>
      <c r="F42" s="1">
        <v>2015</v>
      </c>
    </row>
    <row r="43" spans="1:6" x14ac:dyDescent="0.35">
      <c r="A43" s="1" t="s">
        <v>1531</v>
      </c>
      <c r="B43" s="1" t="s">
        <v>1532</v>
      </c>
      <c r="C43" s="1" t="s">
        <v>11</v>
      </c>
      <c r="D43" s="1">
        <v>4.9000000000000004</v>
      </c>
      <c r="E43" s="1">
        <v>105010</v>
      </c>
      <c r="F43" s="1">
        <v>2009</v>
      </c>
    </row>
    <row r="44" spans="1:6" x14ac:dyDescent="0.35">
      <c r="A44" s="1" t="s">
        <v>2118</v>
      </c>
      <c r="B44" s="1" t="s">
        <v>2119</v>
      </c>
      <c r="C44" s="1" t="s">
        <v>166</v>
      </c>
      <c r="D44" s="1">
        <v>5.2</v>
      </c>
      <c r="E44" s="1">
        <v>103537</v>
      </c>
      <c r="F44" s="1">
        <v>2011</v>
      </c>
    </row>
    <row r="45" spans="1:6" x14ac:dyDescent="0.35">
      <c r="A45" s="1" t="s">
        <v>1861</v>
      </c>
      <c r="B45" s="1" t="s">
        <v>1862</v>
      </c>
      <c r="C45" s="1" t="s">
        <v>163</v>
      </c>
      <c r="D45" s="1">
        <v>5.0999999999999996</v>
      </c>
      <c r="E45" s="1">
        <v>103225</v>
      </c>
      <c r="F45" s="1">
        <v>2022</v>
      </c>
    </row>
    <row r="46" spans="1:6" x14ac:dyDescent="0.35">
      <c r="A46" s="1" t="s">
        <v>317</v>
      </c>
      <c r="B46" s="1" t="s">
        <v>318</v>
      </c>
      <c r="C46" s="1" t="s">
        <v>208</v>
      </c>
      <c r="D46" s="1">
        <v>3.3</v>
      </c>
      <c r="E46" s="1">
        <v>101121</v>
      </c>
      <c r="F46" s="1">
        <v>2020</v>
      </c>
    </row>
    <row r="47" spans="1:6" x14ac:dyDescent="0.35">
      <c r="A47" s="1" t="s">
        <v>1161</v>
      </c>
      <c r="B47" s="1" t="s">
        <v>1162</v>
      </c>
      <c r="C47" s="1" t="s">
        <v>275</v>
      </c>
      <c r="D47" s="1">
        <v>4.7</v>
      </c>
      <c r="E47" s="1">
        <v>100251</v>
      </c>
      <c r="F47" s="1">
        <v>2005</v>
      </c>
    </row>
    <row r="48" spans="1:6" x14ac:dyDescent="0.35">
      <c r="A48" s="1" t="s">
        <v>2120</v>
      </c>
      <c r="B48" s="1" t="s">
        <v>2121</v>
      </c>
      <c r="C48" s="1" t="s">
        <v>134</v>
      </c>
      <c r="D48" s="1">
        <v>5.2</v>
      </c>
      <c r="E48" s="1">
        <v>98457</v>
      </c>
      <c r="F48" s="1">
        <v>2017</v>
      </c>
    </row>
    <row r="49" spans="1:6" x14ac:dyDescent="0.35">
      <c r="A49" s="1" t="s">
        <v>2122</v>
      </c>
      <c r="B49" s="1" t="s">
        <v>2123</v>
      </c>
      <c r="C49" s="1" t="s">
        <v>217</v>
      </c>
      <c r="D49" s="1">
        <v>5.2</v>
      </c>
      <c r="E49" s="1">
        <v>97181</v>
      </c>
      <c r="F49" s="1">
        <v>2007</v>
      </c>
    </row>
    <row r="50" spans="1:6" x14ac:dyDescent="0.35">
      <c r="A50" s="1" t="s">
        <v>24</v>
      </c>
      <c r="B50" s="1" t="s">
        <v>25</v>
      </c>
      <c r="C50" s="1" t="s">
        <v>26</v>
      </c>
      <c r="D50" s="1">
        <v>1.2</v>
      </c>
      <c r="E50" s="1">
        <v>96853</v>
      </c>
      <c r="F50" s="1">
        <v>2020</v>
      </c>
    </row>
    <row r="51" spans="1:6" x14ac:dyDescent="0.35">
      <c r="A51" s="1" t="s">
        <v>401</v>
      </c>
      <c r="B51" s="1" t="s">
        <v>402</v>
      </c>
      <c r="C51" s="1" t="s">
        <v>14</v>
      </c>
      <c r="D51" s="1">
        <v>3.6</v>
      </c>
      <c r="E51" s="1">
        <v>96417</v>
      </c>
      <c r="F51" s="1">
        <v>2003</v>
      </c>
    </row>
    <row r="52" spans="1:6" x14ac:dyDescent="0.35">
      <c r="A52" s="1" t="s">
        <v>1863</v>
      </c>
      <c r="B52" s="1" t="s">
        <v>1864</v>
      </c>
      <c r="C52" s="1" t="s">
        <v>217</v>
      </c>
      <c r="D52" s="1">
        <v>5.0999999999999996</v>
      </c>
      <c r="E52" s="1">
        <v>96086</v>
      </c>
      <c r="F52" s="1">
        <v>2004</v>
      </c>
    </row>
    <row r="53" spans="1:6" x14ac:dyDescent="0.35">
      <c r="A53" s="1" t="s">
        <v>102</v>
      </c>
      <c r="B53" s="1" t="s">
        <v>103</v>
      </c>
      <c r="C53" s="1" t="s">
        <v>104</v>
      </c>
      <c r="D53" s="1">
        <v>1.9</v>
      </c>
      <c r="E53" s="1">
        <v>95369</v>
      </c>
      <c r="F53" s="1">
        <v>2008</v>
      </c>
    </row>
    <row r="54" spans="1:6" x14ac:dyDescent="0.35">
      <c r="A54" s="1" t="s">
        <v>922</v>
      </c>
      <c r="B54" s="1" t="s">
        <v>923</v>
      </c>
      <c r="C54" s="1" t="s">
        <v>143</v>
      </c>
      <c r="D54" s="1">
        <v>4.5</v>
      </c>
      <c r="E54" s="1">
        <v>92778</v>
      </c>
      <c r="F54" s="1">
        <v>2010</v>
      </c>
    </row>
    <row r="55" spans="1:6" x14ac:dyDescent="0.35">
      <c r="A55" s="1" t="s">
        <v>2124</v>
      </c>
      <c r="B55" s="1" t="s">
        <v>2125</v>
      </c>
      <c r="C55" s="1" t="s">
        <v>146</v>
      </c>
      <c r="D55" s="1">
        <v>5.2</v>
      </c>
      <c r="E55" s="1">
        <v>92136</v>
      </c>
      <c r="F55" s="1">
        <v>2000</v>
      </c>
    </row>
    <row r="56" spans="1:6" x14ac:dyDescent="0.35">
      <c r="A56" s="1" t="s">
        <v>924</v>
      </c>
      <c r="B56" s="1" t="s">
        <v>925</v>
      </c>
      <c r="C56" s="1" t="s">
        <v>926</v>
      </c>
      <c r="D56" s="1">
        <v>4.5</v>
      </c>
      <c r="E56" s="1">
        <v>91834</v>
      </c>
      <c r="F56" s="1">
        <v>2017</v>
      </c>
    </row>
    <row r="57" spans="1:6" x14ac:dyDescent="0.35">
      <c r="A57" s="1" t="s">
        <v>319</v>
      </c>
      <c r="B57" s="1" t="s">
        <v>320</v>
      </c>
      <c r="C57" s="1" t="s">
        <v>11</v>
      </c>
      <c r="D57" s="1">
        <v>3.3</v>
      </c>
      <c r="E57" s="1">
        <v>91775</v>
      </c>
      <c r="F57" s="1">
        <v>2011</v>
      </c>
    </row>
    <row r="58" spans="1:6" x14ac:dyDescent="0.35">
      <c r="A58" s="1" t="s">
        <v>591</v>
      </c>
      <c r="B58" s="1" t="s">
        <v>592</v>
      </c>
      <c r="C58" s="1" t="s">
        <v>163</v>
      </c>
      <c r="D58" s="1">
        <v>4</v>
      </c>
      <c r="E58" s="1">
        <v>91349</v>
      </c>
      <c r="F58" s="1">
        <v>2024</v>
      </c>
    </row>
    <row r="59" spans="1:6" x14ac:dyDescent="0.35">
      <c r="A59" s="1" t="s">
        <v>831</v>
      </c>
      <c r="B59" s="1" t="s">
        <v>832</v>
      </c>
      <c r="C59" s="1" t="s">
        <v>76</v>
      </c>
      <c r="D59" s="1">
        <v>4.4000000000000004</v>
      </c>
      <c r="E59" s="1">
        <v>90037</v>
      </c>
      <c r="F59" s="1">
        <v>2009</v>
      </c>
    </row>
    <row r="60" spans="1:6" x14ac:dyDescent="0.35">
      <c r="A60" s="1" t="s">
        <v>633</v>
      </c>
      <c r="B60" s="1" t="s">
        <v>634</v>
      </c>
      <c r="C60" s="1" t="s">
        <v>217</v>
      </c>
      <c r="D60" s="1">
        <v>4.0999999999999996</v>
      </c>
      <c r="E60" s="1">
        <v>89438</v>
      </c>
      <c r="F60" s="1">
        <v>2003</v>
      </c>
    </row>
    <row r="61" spans="1:6" x14ac:dyDescent="0.35">
      <c r="A61" s="1" t="s">
        <v>1676</v>
      </c>
      <c r="B61" s="1" t="s">
        <v>1677</v>
      </c>
      <c r="C61" s="1" t="s">
        <v>140</v>
      </c>
      <c r="D61" s="1">
        <v>5</v>
      </c>
      <c r="E61" s="1">
        <v>87941</v>
      </c>
      <c r="F61" s="1">
        <v>1994</v>
      </c>
    </row>
    <row r="62" spans="1:6" x14ac:dyDescent="0.35">
      <c r="A62" s="1" t="s">
        <v>1678</v>
      </c>
      <c r="B62" s="1" t="s">
        <v>1679</v>
      </c>
      <c r="C62" s="1" t="s">
        <v>122</v>
      </c>
      <c r="D62" s="1">
        <v>5</v>
      </c>
      <c r="E62" s="1">
        <v>87341</v>
      </c>
      <c r="F62" s="1">
        <v>2023</v>
      </c>
    </row>
    <row r="63" spans="1:6" x14ac:dyDescent="0.35">
      <c r="A63" s="1" t="s">
        <v>527</v>
      </c>
      <c r="B63" s="1" t="s">
        <v>528</v>
      </c>
      <c r="C63" s="1" t="s">
        <v>275</v>
      </c>
      <c r="D63" s="1">
        <v>3.9</v>
      </c>
      <c r="E63" s="1">
        <v>87201</v>
      </c>
      <c r="F63" s="1">
        <v>1997</v>
      </c>
    </row>
    <row r="64" spans="1:6" x14ac:dyDescent="0.35">
      <c r="A64" s="1" t="s">
        <v>27</v>
      </c>
      <c r="B64" s="1" t="s">
        <v>28</v>
      </c>
      <c r="C64" s="1" t="s">
        <v>20</v>
      </c>
      <c r="D64" s="1">
        <v>1.2</v>
      </c>
      <c r="E64" s="1">
        <v>86315</v>
      </c>
      <c r="F64" s="1">
        <v>2023</v>
      </c>
    </row>
    <row r="65" spans="1:6" x14ac:dyDescent="0.35">
      <c r="A65" s="1" t="s">
        <v>927</v>
      </c>
      <c r="B65" s="1" t="s">
        <v>928</v>
      </c>
      <c r="C65" s="1" t="s">
        <v>128</v>
      </c>
      <c r="D65" s="1">
        <v>4.5</v>
      </c>
      <c r="E65" s="1">
        <v>85258</v>
      </c>
      <c r="F65" s="1">
        <v>2010</v>
      </c>
    </row>
    <row r="66" spans="1:6" x14ac:dyDescent="0.35">
      <c r="A66" s="1" t="s">
        <v>833</v>
      </c>
      <c r="B66" s="1" t="s">
        <v>834</v>
      </c>
      <c r="C66" s="1" t="s">
        <v>172</v>
      </c>
      <c r="D66" s="1">
        <v>4.4000000000000004</v>
      </c>
      <c r="E66" s="1">
        <v>84625</v>
      </c>
      <c r="F66" s="1">
        <v>2006</v>
      </c>
    </row>
    <row r="67" spans="1:6" x14ac:dyDescent="0.35">
      <c r="A67" s="1" t="s">
        <v>1865</v>
      </c>
      <c r="B67" s="1" t="s">
        <v>1866</v>
      </c>
      <c r="C67" s="1" t="s">
        <v>53</v>
      </c>
      <c r="D67" s="1">
        <v>5.0999999999999996</v>
      </c>
      <c r="E67" s="1">
        <v>84431</v>
      </c>
      <c r="F67" s="1">
        <v>2014</v>
      </c>
    </row>
    <row r="68" spans="1:6" x14ac:dyDescent="0.35">
      <c r="A68" s="1" t="s">
        <v>1867</v>
      </c>
      <c r="B68" s="1" t="s">
        <v>1868</v>
      </c>
      <c r="C68" s="1" t="s">
        <v>1869</v>
      </c>
      <c r="D68" s="1">
        <v>5.0999999999999996</v>
      </c>
      <c r="E68" s="1">
        <v>84009</v>
      </c>
      <c r="F68" s="1">
        <v>2011</v>
      </c>
    </row>
    <row r="69" spans="1:6" x14ac:dyDescent="0.35">
      <c r="A69" s="1" t="s">
        <v>161</v>
      </c>
      <c r="B69" s="1" t="s">
        <v>162</v>
      </c>
      <c r="C69" s="1" t="s">
        <v>163</v>
      </c>
      <c r="D69" s="1">
        <v>2.5</v>
      </c>
      <c r="E69" s="1">
        <v>83924</v>
      </c>
      <c r="F69" s="1">
        <v>2000</v>
      </c>
    </row>
    <row r="70" spans="1:6" x14ac:dyDescent="0.35">
      <c r="A70" s="1" t="s">
        <v>1870</v>
      </c>
      <c r="B70" s="1" t="s">
        <v>1871</v>
      </c>
      <c r="C70" s="1" t="s">
        <v>11</v>
      </c>
      <c r="D70" s="1">
        <v>5.0999999999999996</v>
      </c>
      <c r="E70" s="1">
        <v>82607</v>
      </c>
      <c r="F70" s="1">
        <v>2005</v>
      </c>
    </row>
    <row r="71" spans="1:6" x14ac:dyDescent="0.35">
      <c r="A71" s="1" t="s">
        <v>929</v>
      </c>
      <c r="B71" s="1" t="s">
        <v>930</v>
      </c>
      <c r="C71" s="1" t="s">
        <v>65</v>
      </c>
      <c r="D71" s="1">
        <v>4.5</v>
      </c>
      <c r="E71" s="1">
        <v>82226</v>
      </c>
      <c r="F71" s="1">
        <v>2021</v>
      </c>
    </row>
    <row r="72" spans="1:6" x14ac:dyDescent="0.35">
      <c r="A72" s="1" t="s">
        <v>1680</v>
      </c>
      <c r="B72" s="1" t="s">
        <v>1681</v>
      </c>
      <c r="C72" s="1" t="s">
        <v>915</v>
      </c>
      <c r="D72" s="1">
        <v>5</v>
      </c>
      <c r="E72" s="1">
        <v>81840</v>
      </c>
      <c r="F72" s="1">
        <v>1999</v>
      </c>
    </row>
    <row r="73" spans="1:6" x14ac:dyDescent="0.35">
      <c r="A73" s="1" t="s">
        <v>2126</v>
      </c>
      <c r="B73" s="1" t="s">
        <v>2127</v>
      </c>
      <c r="C73" s="1" t="s">
        <v>146</v>
      </c>
      <c r="D73" s="1">
        <v>5.2</v>
      </c>
      <c r="E73" s="1">
        <v>81432</v>
      </c>
      <c r="F73" s="1">
        <v>2005</v>
      </c>
    </row>
    <row r="74" spans="1:6" x14ac:dyDescent="0.35">
      <c r="A74" s="1" t="s">
        <v>1682</v>
      </c>
      <c r="B74" s="1" t="s">
        <v>1683</v>
      </c>
      <c r="C74" s="1" t="s">
        <v>178</v>
      </c>
      <c r="D74" s="1">
        <v>5</v>
      </c>
      <c r="E74" s="1">
        <v>81360</v>
      </c>
      <c r="F74" s="1">
        <v>2019</v>
      </c>
    </row>
    <row r="75" spans="1:6" x14ac:dyDescent="0.35">
      <c r="A75" s="1" t="s">
        <v>683</v>
      </c>
      <c r="B75" s="1" t="s">
        <v>684</v>
      </c>
      <c r="C75" s="1" t="s">
        <v>116</v>
      </c>
      <c r="D75" s="1">
        <v>4.2</v>
      </c>
      <c r="E75" s="1">
        <v>81273</v>
      </c>
      <c r="F75" s="1">
        <v>2007</v>
      </c>
    </row>
    <row r="76" spans="1:6" x14ac:dyDescent="0.35">
      <c r="A76" s="1" t="s">
        <v>1325</v>
      </c>
      <c r="B76" s="1" t="s">
        <v>1326</v>
      </c>
      <c r="C76" s="1" t="s">
        <v>175</v>
      </c>
      <c r="D76" s="1">
        <v>4.8</v>
      </c>
      <c r="E76" s="1">
        <v>80450</v>
      </c>
      <c r="F76" s="1">
        <v>1998</v>
      </c>
    </row>
    <row r="77" spans="1:6" x14ac:dyDescent="0.35">
      <c r="A77" s="1" t="s">
        <v>164</v>
      </c>
      <c r="B77" s="1" t="s">
        <v>165</v>
      </c>
      <c r="C77" s="1" t="s">
        <v>166</v>
      </c>
      <c r="D77" s="1">
        <v>2.5</v>
      </c>
      <c r="E77" s="1">
        <v>80320</v>
      </c>
      <c r="F77" s="1">
        <v>2009</v>
      </c>
    </row>
    <row r="78" spans="1:6" x14ac:dyDescent="0.35">
      <c r="A78" s="1" t="s">
        <v>63</v>
      </c>
      <c r="B78" s="1" t="s">
        <v>64</v>
      </c>
      <c r="C78" s="1" t="s">
        <v>65</v>
      </c>
      <c r="D78" s="1">
        <v>1.6</v>
      </c>
      <c r="E78" s="1">
        <v>79558</v>
      </c>
      <c r="F78" s="1">
        <v>2023</v>
      </c>
    </row>
    <row r="79" spans="1:6" x14ac:dyDescent="0.35">
      <c r="A79" s="1" t="s">
        <v>366</v>
      </c>
      <c r="B79" s="1" t="s">
        <v>367</v>
      </c>
      <c r="C79" s="1" t="s">
        <v>211</v>
      </c>
      <c r="D79" s="1">
        <v>3.5</v>
      </c>
      <c r="E79" s="1">
        <v>78692</v>
      </c>
      <c r="F79" s="1">
        <v>2013</v>
      </c>
    </row>
    <row r="80" spans="1:6" x14ac:dyDescent="0.35">
      <c r="A80" s="1" t="s">
        <v>1163</v>
      </c>
      <c r="B80" s="1" t="s">
        <v>1164</v>
      </c>
      <c r="C80" s="1" t="s">
        <v>62</v>
      </c>
      <c r="D80" s="1">
        <v>4.7</v>
      </c>
      <c r="E80" s="1">
        <v>77530</v>
      </c>
      <c r="F80" s="1">
        <v>2008</v>
      </c>
    </row>
    <row r="81" spans="1:6" x14ac:dyDescent="0.35">
      <c r="A81" s="1" t="s">
        <v>1165</v>
      </c>
      <c r="B81" s="1" t="s">
        <v>1166</v>
      </c>
      <c r="C81" s="1" t="s">
        <v>178</v>
      </c>
      <c r="D81" s="1">
        <v>4.7</v>
      </c>
      <c r="E81" s="1">
        <v>77401</v>
      </c>
      <c r="F81" s="1">
        <v>2016</v>
      </c>
    </row>
    <row r="82" spans="1:6" x14ac:dyDescent="0.35">
      <c r="A82" s="1" t="s">
        <v>931</v>
      </c>
      <c r="B82" s="1" t="s">
        <v>932</v>
      </c>
      <c r="C82" s="1" t="s">
        <v>933</v>
      </c>
      <c r="D82" s="1">
        <v>4.5</v>
      </c>
      <c r="E82" s="1">
        <v>76596</v>
      </c>
      <c r="F82" s="1">
        <v>2018</v>
      </c>
    </row>
    <row r="83" spans="1:6" x14ac:dyDescent="0.35">
      <c r="A83" s="1" t="s">
        <v>635</v>
      </c>
      <c r="B83" s="1" t="s">
        <v>636</v>
      </c>
      <c r="C83" s="1" t="s">
        <v>178</v>
      </c>
      <c r="D83" s="1">
        <v>4.0999999999999996</v>
      </c>
      <c r="E83" s="1">
        <v>76574</v>
      </c>
      <c r="F83" s="1">
        <v>1994</v>
      </c>
    </row>
    <row r="84" spans="1:6" x14ac:dyDescent="0.35">
      <c r="A84" s="1" t="s">
        <v>1684</v>
      </c>
      <c r="B84" s="1" t="s">
        <v>1685</v>
      </c>
      <c r="C84" s="1" t="s">
        <v>11</v>
      </c>
      <c r="D84" s="1">
        <v>5</v>
      </c>
      <c r="E84" s="1">
        <v>76565</v>
      </c>
      <c r="F84" s="1">
        <v>2005</v>
      </c>
    </row>
    <row r="85" spans="1:6" x14ac:dyDescent="0.35">
      <c r="A85" s="1" t="s">
        <v>1872</v>
      </c>
      <c r="B85" s="1" t="s">
        <v>1873</v>
      </c>
      <c r="C85" s="1" t="s">
        <v>14</v>
      </c>
      <c r="D85" s="1">
        <v>5.0999999999999996</v>
      </c>
      <c r="E85" s="1">
        <v>76488</v>
      </c>
      <c r="F85" s="1">
        <v>1995</v>
      </c>
    </row>
    <row r="86" spans="1:6" x14ac:dyDescent="0.35">
      <c r="A86" s="1" t="s">
        <v>72</v>
      </c>
      <c r="B86" s="1" t="s">
        <v>73</v>
      </c>
      <c r="C86" s="1" t="s">
        <v>68</v>
      </c>
      <c r="D86" s="1">
        <v>1.7</v>
      </c>
      <c r="E86" s="1">
        <v>76481</v>
      </c>
      <c r="F86" s="1">
        <v>2011</v>
      </c>
    </row>
    <row r="87" spans="1:6" x14ac:dyDescent="0.35">
      <c r="A87" s="1" t="s">
        <v>1327</v>
      </c>
      <c r="B87" s="1" t="s">
        <v>1328</v>
      </c>
      <c r="C87" s="1" t="s">
        <v>1329</v>
      </c>
      <c r="D87" s="1">
        <v>4.8</v>
      </c>
      <c r="E87" s="1">
        <v>76235</v>
      </c>
      <c r="F87" s="1">
        <v>2005</v>
      </c>
    </row>
    <row r="88" spans="1:6" x14ac:dyDescent="0.35">
      <c r="A88" s="1" t="s">
        <v>1686</v>
      </c>
      <c r="B88" s="1" t="s">
        <v>1687</v>
      </c>
      <c r="C88" s="1" t="s">
        <v>178</v>
      </c>
      <c r="D88" s="1">
        <v>5</v>
      </c>
      <c r="E88" s="1">
        <v>76095</v>
      </c>
      <c r="F88" s="1">
        <v>1983</v>
      </c>
    </row>
    <row r="89" spans="1:6" x14ac:dyDescent="0.35">
      <c r="A89" s="1" t="s">
        <v>1688</v>
      </c>
      <c r="B89" s="1" t="s">
        <v>1689</v>
      </c>
      <c r="C89" s="1" t="s">
        <v>565</v>
      </c>
      <c r="D89" s="1">
        <v>5</v>
      </c>
      <c r="E89" s="1">
        <v>75937</v>
      </c>
      <c r="F89" s="1">
        <v>2022</v>
      </c>
    </row>
    <row r="90" spans="1:6" x14ac:dyDescent="0.35">
      <c r="A90" s="1" t="s">
        <v>2128</v>
      </c>
      <c r="B90" s="1" t="s">
        <v>2129</v>
      </c>
      <c r="C90" s="1" t="s">
        <v>163</v>
      </c>
      <c r="D90" s="1">
        <v>5.2</v>
      </c>
      <c r="E90" s="1">
        <v>75507</v>
      </c>
      <c r="F90" s="1">
        <v>1998</v>
      </c>
    </row>
    <row r="91" spans="1:6" x14ac:dyDescent="0.35">
      <c r="A91" s="1" t="s">
        <v>1874</v>
      </c>
      <c r="B91" s="1" t="s">
        <v>1875</v>
      </c>
      <c r="C91" s="1" t="s">
        <v>11</v>
      </c>
      <c r="D91" s="1">
        <v>5.0999999999999996</v>
      </c>
      <c r="E91" s="1">
        <v>75162</v>
      </c>
      <c r="F91" s="1">
        <v>2006</v>
      </c>
    </row>
    <row r="92" spans="1:6" x14ac:dyDescent="0.35">
      <c r="A92" s="1" t="s">
        <v>1533</v>
      </c>
      <c r="B92" s="1" t="s">
        <v>1534</v>
      </c>
      <c r="C92" s="1" t="s">
        <v>217</v>
      </c>
      <c r="D92" s="1">
        <v>4.9000000000000004</v>
      </c>
      <c r="E92" s="1">
        <v>74697</v>
      </c>
      <c r="F92" s="1">
        <v>2010</v>
      </c>
    </row>
    <row r="93" spans="1:6" x14ac:dyDescent="0.35">
      <c r="A93" s="1" t="s">
        <v>685</v>
      </c>
      <c r="B93" s="1" t="s">
        <v>686</v>
      </c>
      <c r="C93" s="1" t="s">
        <v>181</v>
      </c>
      <c r="D93" s="1">
        <v>4.2</v>
      </c>
      <c r="E93" s="1">
        <v>74378</v>
      </c>
      <c r="F93" s="1">
        <v>2020</v>
      </c>
    </row>
    <row r="94" spans="1:6" x14ac:dyDescent="0.35">
      <c r="A94" s="1" t="s">
        <v>934</v>
      </c>
      <c r="B94" s="1" t="s">
        <v>935</v>
      </c>
      <c r="C94" s="1" t="s">
        <v>275</v>
      </c>
      <c r="D94" s="1">
        <v>4.5</v>
      </c>
      <c r="E94" s="1">
        <v>74341</v>
      </c>
      <c r="F94" s="1">
        <v>2005</v>
      </c>
    </row>
    <row r="95" spans="1:6" x14ac:dyDescent="0.35">
      <c r="A95" s="1" t="s">
        <v>1330</v>
      </c>
      <c r="B95" s="1" t="s">
        <v>1331</v>
      </c>
      <c r="C95" s="1" t="s">
        <v>11</v>
      </c>
      <c r="D95" s="1">
        <v>4.8</v>
      </c>
      <c r="E95" s="1">
        <v>74211</v>
      </c>
      <c r="F95" s="1">
        <v>2003</v>
      </c>
    </row>
    <row r="96" spans="1:6" x14ac:dyDescent="0.35">
      <c r="A96" s="1" t="s">
        <v>6</v>
      </c>
      <c r="B96" s="1" t="s">
        <v>7</v>
      </c>
      <c r="C96" s="1" t="s">
        <v>8</v>
      </c>
      <c r="D96" s="1">
        <v>1</v>
      </c>
      <c r="E96" s="1">
        <v>74167</v>
      </c>
      <c r="F96" s="1">
        <v>2017</v>
      </c>
    </row>
    <row r="97" spans="1:6" x14ac:dyDescent="0.35">
      <c r="A97" s="1" t="s">
        <v>1167</v>
      </c>
      <c r="B97" s="1" t="s">
        <v>1168</v>
      </c>
      <c r="C97" s="1" t="s">
        <v>944</v>
      </c>
      <c r="D97" s="1">
        <v>4.7</v>
      </c>
      <c r="E97" s="1">
        <v>74118</v>
      </c>
      <c r="F97" s="1">
        <v>1994</v>
      </c>
    </row>
    <row r="98" spans="1:6" x14ac:dyDescent="0.35">
      <c r="A98" s="1" t="s">
        <v>1535</v>
      </c>
      <c r="B98" s="1" t="s">
        <v>1536</v>
      </c>
      <c r="C98" s="1" t="s">
        <v>175</v>
      </c>
      <c r="D98" s="1">
        <v>4.9000000000000004</v>
      </c>
      <c r="E98" s="1">
        <v>74084</v>
      </c>
      <c r="F98" s="1">
        <v>2010</v>
      </c>
    </row>
    <row r="99" spans="1:6" x14ac:dyDescent="0.35">
      <c r="A99" s="1" t="s">
        <v>2130</v>
      </c>
      <c r="B99" s="1" t="s">
        <v>2131</v>
      </c>
      <c r="C99" s="1" t="s">
        <v>155</v>
      </c>
      <c r="D99" s="1">
        <v>5.2</v>
      </c>
      <c r="E99" s="1">
        <v>73638</v>
      </c>
      <c r="F99" s="1">
        <v>2018</v>
      </c>
    </row>
    <row r="100" spans="1:6" x14ac:dyDescent="0.35">
      <c r="A100" s="1" t="s">
        <v>339</v>
      </c>
      <c r="B100" s="1" t="s">
        <v>340</v>
      </c>
      <c r="C100" s="1" t="s">
        <v>65</v>
      </c>
      <c r="D100" s="1">
        <v>3.4</v>
      </c>
      <c r="E100" s="1">
        <v>73536</v>
      </c>
      <c r="F100" s="1">
        <v>2017</v>
      </c>
    </row>
    <row r="101" spans="1:6" x14ac:dyDescent="0.35">
      <c r="A101" s="1" t="s">
        <v>2132</v>
      </c>
      <c r="B101" s="1" t="s">
        <v>2133</v>
      </c>
      <c r="C101" s="1" t="s">
        <v>508</v>
      </c>
      <c r="D101" s="1">
        <v>5.2</v>
      </c>
      <c r="E101" s="1">
        <v>73530</v>
      </c>
      <c r="F101" s="1">
        <v>2017</v>
      </c>
    </row>
    <row r="102" spans="1:6" x14ac:dyDescent="0.35">
      <c r="A102" s="1" t="s">
        <v>2134</v>
      </c>
      <c r="B102" s="1" t="s">
        <v>2135</v>
      </c>
      <c r="C102" s="1" t="s">
        <v>56</v>
      </c>
      <c r="D102" s="1">
        <v>5.2</v>
      </c>
      <c r="E102" s="1">
        <v>73490</v>
      </c>
      <c r="F102" s="1">
        <v>1997</v>
      </c>
    </row>
    <row r="103" spans="1:6" x14ac:dyDescent="0.35">
      <c r="A103" s="1" t="s">
        <v>480</v>
      </c>
      <c r="B103" s="1" t="s">
        <v>481</v>
      </c>
      <c r="C103" s="1" t="s">
        <v>175</v>
      </c>
      <c r="D103" s="1">
        <v>3.8</v>
      </c>
      <c r="E103" s="1">
        <v>72530</v>
      </c>
      <c r="F103" s="1">
        <v>2006</v>
      </c>
    </row>
    <row r="104" spans="1:6" x14ac:dyDescent="0.35">
      <c r="A104" s="1" t="s">
        <v>1029</v>
      </c>
      <c r="B104" s="1" t="s">
        <v>1030</v>
      </c>
      <c r="C104" s="1" t="s">
        <v>448</v>
      </c>
      <c r="D104" s="1">
        <v>4.5999999999999996</v>
      </c>
      <c r="E104" s="1">
        <v>71282</v>
      </c>
      <c r="F104" s="1">
        <v>2012</v>
      </c>
    </row>
    <row r="105" spans="1:6" x14ac:dyDescent="0.35">
      <c r="A105" s="1" t="s">
        <v>2136</v>
      </c>
      <c r="B105" s="1" t="s">
        <v>2137</v>
      </c>
      <c r="C105" s="1" t="s">
        <v>175</v>
      </c>
      <c r="D105" s="1">
        <v>5.2</v>
      </c>
      <c r="E105" s="1">
        <v>71042</v>
      </c>
      <c r="F105" s="1">
        <v>2021</v>
      </c>
    </row>
    <row r="106" spans="1:6" x14ac:dyDescent="0.35">
      <c r="A106" s="1" t="s">
        <v>2138</v>
      </c>
      <c r="B106" s="1" t="s">
        <v>2139</v>
      </c>
      <c r="C106" s="1" t="s">
        <v>166</v>
      </c>
      <c r="D106" s="1">
        <v>5.2</v>
      </c>
      <c r="E106" s="1">
        <v>69645</v>
      </c>
      <c r="F106" s="1">
        <v>2020</v>
      </c>
    </row>
    <row r="107" spans="1:6" x14ac:dyDescent="0.35">
      <c r="A107" s="1" t="s">
        <v>1690</v>
      </c>
      <c r="B107" s="1" t="s">
        <v>1691</v>
      </c>
      <c r="C107" s="1" t="s">
        <v>175</v>
      </c>
      <c r="D107" s="1">
        <v>5</v>
      </c>
      <c r="E107" s="1">
        <v>69104</v>
      </c>
      <c r="F107" s="1">
        <v>2012</v>
      </c>
    </row>
    <row r="108" spans="1:6" x14ac:dyDescent="0.35">
      <c r="A108" s="1" t="s">
        <v>1692</v>
      </c>
      <c r="B108" s="1" t="s">
        <v>1693</v>
      </c>
      <c r="C108" s="1" t="s">
        <v>232</v>
      </c>
      <c r="D108" s="1">
        <v>5</v>
      </c>
      <c r="E108" s="1">
        <v>68834</v>
      </c>
      <c r="F108" s="1">
        <v>2008</v>
      </c>
    </row>
    <row r="109" spans="1:6" x14ac:dyDescent="0.35">
      <c r="A109" s="1" t="s">
        <v>1876</v>
      </c>
      <c r="B109" s="1" t="s">
        <v>1877</v>
      </c>
      <c r="C109" s="1" t="s">
        <v>82</v>
      </c>
      <c r="D109" s="1">
        <v>5.0999999999999996</v>
      </c>
      <c r="E109" s="1">
        <v>68727</v>
      </c>
      <c r="F109" s="1">
        <v>2007</v>
      </c>
    </row>
    <row r="110" spans="1:6" x14ac:dyDescent="0.35">
      <c r="A110" s="1" t="s">
        <v>1537</v>
      </c>
      <c r="B110" s="1" t="s">
        <v>1538</v>
      </c>
      <c r="C110" s="1" t="s">
        <v>175</v>
      </c>
      <c r="D110" s="1">
        <v>4.9000000000000004</v>
      </c>
      <c r="E110" s="1">
        <v>67763</v>
      </c>
      <c r="F110" s="1">
        <v>2012</v>
      </c>
    </row>
    <row r="111" spans="1:6" x14ac:dyDescent="0.35">
      <c r="A111" s="1" t="s">
        <v>2140</v>
      </c>
      <c r="B111" s="1" t="s">
        <v>2141</v>
      </c>
      <c r="C111" s="1" t="s">
        <v>232</v>
      </c>
      <c r="D111" s="1">
        <v>5.2</v>
      </c>
      <c r="E111" s="1">
        <v>67633</v>
      </c>
      <c r="F111" s="1">
        <v>2007</v>
      </c>
    </row>
    <row r="112" spans="1:6" x14ac:dyDescent="0.35">
      <c r="A112" s="1" t="s">
        <v>835</v>
      </c>
      <c r="B112" s="1" t="s">
        <v>836</v>
      </c>
      <c r="C112" s="1" t="s">
        <v>178</v>
      </c>
      <c r="D112" s="1">
        <v>4.4000000000000004</v>
      </c>
      <c r="E112" s="1">
        <v>67628</v>
      </c>
      <c r="F112" s="1">
        <v>2003</v>
      </c>
    </row>
    <row r="113" spans="1:6" x14ac:dyDescent="0.35">
      <c r="A113" s="1" t="s">
        <v>2142</v>
      </c>
      <c r="B113" s="1" t="s">
        <v>2143</v>
      </c>
      <c r="C113" s="1" t="s">
        <v>944</v>
      </c>
      <c r="D113" s="1">
        <v>5.2</v>
      </c>
      <c r="E113" s="1">
        <v>67625</v>
      </c>
      <c r="F113" s="1">
        <v>2006</v>
      </c>
    </row>
    <row r="114" spans="1:6" x14ac:dyDescent="0.35">
      <c r="A114" s="1" t="s">
        <v>2144</v>
      </c>
      <c r="B114" s="1" t="s">
        <v>2145</v>
      </c>
      <c r="C114" s="1" t="s">
        <v>175</v>
      </c>
      <c r="D114" s="1">
        <v>5.2</v>
      </c>
      <c r="E114" s="1">
        <v>67262</v>
      </c>
      <c r="F114" s="1">
        <v>2018</v>
      </c>
    </row>
    <row r="115" spans="1:6" x14ac:dyDescent="0.35">
      <c r="A115" s="1" t="s">
        <v>2146</v>
      </c>
      <c r="B115" s="1" t="s">
        <v>2147</v>
      </c>
      <c r="C115" s="1" t="s">
        <v>155</v>
      </c>
      <c r="D115" s="1">
        <v>5.2</v>
      </c>
      <c r="E115" s="1">
        <v>66376</v>
      </c>
      <c r="F115" s="1">
        <v>2021</v>
      </c>
    </row>
    <row r="116" spans="1:6" x14ac:dyDescent="0.35">
      <c r="A116" s="1" t="s">
        <v>2148</v>
      </c>
      <c r="B116" s="1" t="s">
        <v>2149</v>
      </c>
      <c r="C116" s="1" t="s">
        <v>140</v>
      </c>
      <c r="D116" s="1">
        <v>5.2</v>
      </c>
      <c r="E116" s="1">
        <v>66227</v>
      </c>
      <c r="F116" s="1">
        <v>2011</v>
      </c>
    </row>
    <row r="117" spans="1:6" x14ac:dyDescent="0.35">
      <c r="A117" s="1" t="s">
        <v>1332</v>
      </c>
      <c r="B117" s="1" t="s">
        <v>1333</v>
      </c>
      <c r="C117" s="1" t="s">
        <v>104</v>
      </c>
      <c r="D117" s="1">
        <v>4.8</v>
      </c>
      <c r="E117" s="1">
        <v>64742</v>
      </c>
      <c r="F117" s="1">
        <v>2001</v>
      </c>
    </row>
    <row r="118" spans="1:6" x14ac:dyDescent="0.35">
      <c r="A118" s="1" t="s">
        <v>1539</v>
      </c>
      <c r="B118" s="1" t="s">
        <v>1540</v>
      </c>
      <c r="C118" s="1" t="s">
        <v>122</v>
      </c>
      <c r="D118" s="1">
        <v>4.9000000000000004</v>
      </c>
      <c r="E118" s="1">
        <v>64438</v>
      </c>
      <c r="F118" s="1">
        <v>2011</v>
      </c>
    </row>
    <row r="119" spans="1:6" x14ac:dyDescent="0.35">
      <c r="A119" s="1" t="s">
        <v>1169</v>
      </c>
      <c r="B119" s="1" t="s">
        <v>1170</v>
      </c>
      <c r="C119" s="1" t="s">
        <v>352</v>
      </c>
      <c r="D119" s="1">
        <v>4.7</v>
      </c>
      <c r="E119" s="1">
        <v>64356</v>
      </c>
      <c r="F119" s="1">
        <v>2022</v>
      </c>
    </row>
    <row r="120" spans="1:6" x14ac:dyDescent="0.35">
      <c r="A120" s="1" t="s">
        <v>687</v>
      </c>
      <c r="B120" s="1" t="s">
        <v>688</v>
      </c>
      <c r="C120" s="1" t="s">
        <v>217</v>
      </c>
      <c r="D120" s="1">
        <v>4.2</v>
      </c>
      <c r="E120" s="1">
        <v>64107</v>
      </c>
      <c r="F120" s="1">
        <v>1993</v>
      </c>
    </row>
    <row r="121" spans="1:6" x14ac:dyDescent="0.35">
      <c r="A121" s="1" t="s">
        <v>2150</v>
      </c>
      <c r="B121" s="1" t="s">
        <v>2151</v>
      </c>
      <c r="C121" s="1" t="s">
        <v>116</v>
      </c>
      <c r="D121" s="1">
        <v>5.2</v>
      </c>
      <c r="E121" s="1">
        <v>63432</v>
      </c>
      <c r="F121" s="1">
        <v>2002</v>
      </c>
    </row>
    <row r="122" spans="1:6" x14ac:dyDescent="0.35">
      <c r="A122" s="1" t="s">
        <v>2152</v>
      </c>
      <c r="B122" s="1" t="s">
        <v>2153</v>
      </c>
      <c r="C122" s="1" t="s">
        <v>178</v>
      </c>
      <c r="D122" s="1">
        <v>5.2</v>
      </c>
      <c r="E122" s="1">
        <v>63312</v>
      </c>
      <c r="F122" s="1">
        <v>2001</v>
      </c>
    </row>
    <row r="123" spans="1:6" x14ac:dyDescent="0.35">
      <c r="A123" s="1" t="s">
        <v>2154</v>
      </c>
      <c r="B123" s="1" t="s">
        <v>2155</v>
      </c>
      <c r="C123" s="1" t="s">
        <v>804</v>
      </c>
      <c r="D123" s="1">
        <v>5.2</v>
      </c>
      <c r="E123" s="1">
        <v>63302</v>
      </c>
      <c r="F123" s="1">
        <v>1982</v>
      </c>
    </row>
    <row r="124" spans="1:6" x14ac:dyDescent="0.35">
      <c r="A124" s="1" t="s">
        <v>1171</v>
      </c>
      <c r="B124" s="1" t="s">
        <v>1172</v>
      </c>
      <c r="C124" s="1" t="s">
        <v>338</v>
      </c>
      <c r="D124" s="1">
        <v>4.7</v>
      </c>
      <c r="E124" s="1">
        <v>63227</v>
      </c>
      <c r="F124" s="1">
        <v>2008</v>
      </c>
    </row>
    <row r="125" spans="1:6" x14ac:dyDescent="0.35">
      <c r="A125" s="1" t="s">
        <v>936</v>
      </c>
      <c r="B125" s="1" t="s">
        <v>937</v>
      </c>
      <c r="C125" s="1" t="s">
        <v>155</v>
      </c>
      <c r="D125" s="1">
        <v>4.5</v>
      </c>
      <c r="E125" s="1">
        <v>63098</v>
      </c>
      <c r="F125" s="1">
        <v>2001</v>
      </c>
    </row>
    <row r="126" spans="1:6" x14ac:dyDescent="0.35">
      <c r="A126" s="1" t="s">
        <v>228</v>
      </c>
      <c r="B126" s="1" t="s">
        <v>229</v>
      </c>
      <c r="C126" s="1" t="s">
        <v>116</v>
      </c>
      <c r="D126" s="1">
        <v>2.8</v>
      </c>
      <c r="E126" s="1">
        <v>62675</v>
      </c>
      <c r="F126" s="1">
        <v>2006</v>
      </c>
    </row>
    <row r="127" spans="1:6" x14ac:dyDescent="0.35">
      <c r="A127" s="1" t="s">
        <v>1541</v>
      </c>
      <c r="B127" s="1" t="s">
        <v>1542</v>
      </c>
      <c r="C127" s="1" t="s">
        <v>82</v>
      </c>
      <c r="D127" s="1">
        <v>4.9000000000000004</v>
      </c>
      <c r="E127" s="1">
        <v>62589</v>
      </c>
      <c r="F127" s="1">
        <v>2015</v>
      </c>
    </row>
    <row r="128" spans="1:6" x14ac:dyDescent="0.35">
      <c r="A128" s="1" t="s">
        <v>1173</v>
      </c>
      <c r="B128" s="1" t="s">
        <v>1174</v>
      </c>
      <c r="C128" s="1" t="s">
        <v>376</v>
      </c>
      <c r="D128" s="1">
        <v>4.7</v>
      </c>
      <c r="E128" s="1">
        <v>62557</v>
      </c>
      <c r="F128" s="1">
        <v>2010</v>
      </c>
    </row>
    <row r="129" spans="1:6" x14ac:dyDescent="0.35">
      <c r="A129" s="1" t="s">
        <v>1334</v>
      </c>
      <c r="B129" s="1" t="s">
        <v>1335</v>
      </c>
      <c r="C129" s="1" t="s">
        <v>76</v>
      </c>
      <c r="D129" s="1">
        <v>4.8</v>
      </c>
      <c r="E129" s="1">
        <v>61288</v>
      </c>
      <c r="F129" s="1">
        <v>2009</v>
      </c>
    </row>
    <row r="130" spans="1:6" x14ac:dyDescent="0.35">
      <c r="A130" s="1" t="s">
        <v>938</v>
      </c>
      <c r="B130" s="1" t="s">
        <v>939</v>
      </c>
      <c r="C130" s="1" t="s">
        <v>214</v>
      </c>
      <c r="D130" s="1">
        <v>4.5</v>
      </c>
      <c r="E130" s="1">
        <v>61281</v>
      </c>
      <c r="F130" s="1">
        <v>2006</v>
      </c>
    </row>
    <row r="131" spans="1:6" x14ac:dyDescent="0.35">
      <c r="A131" s="1" t="s">
        <v>1031</v>
      </c>
      <c r="B131" s="1" t="s">
        <v>1032</v>
      </c>
      <c r="C131" s="1" t="s">
        <v>31</v>
      </c>
      <c r="D131" s="1">
        <v>4.5999999999999996</v>
      </c>
      <c r="E131" s="1">
        <v>61159</v>
      </c>
      <c r="F131" s="1">
        <v>2021</v>
      </c>
    </row>
    <row r="132" spans="1:6" x14ac:dyDescent="0.35">
      <c r="A132" s="1" t="s">
        <v>203</v>
      </c>
      <c r="B132" s="1" t="s">
        <v>204</v>
      </c>
      <c r="C132" s="1" t="s">
        <v>205</v>
      </c>
      <c r="D132" s="1">
        <v>2.7</v>
      </c>
      <c r="E132" s="1">
        <v>60523</v>
      </c>
      <c r="F132" s="1">
        <v>2014</v>
      </c>
    </row>
    <row r="133" spans="1:6" x14ac:dyDescent="0.35">
      <c r="A133" s="1" t="s">
        <v>1543</v>
      </c>
      <c r="B133" s="1" t="s">
        <v>1544</v>
      </c>
      <c r="C133" s="1" t="s">
        <v>915</v>
      </c>
      <c r="D133" s="1">
        <v>4.9000000000000004</v>
      </c>
      <c r="E133" s="1">
        <v>60238</v>
      </c>
      <c r="F133" s="1">
        <v>2020</v>
      </c>
    </row>
    <row r="134" spans="1:6" x14ac:dyDescent="0.35">
      <c r="A134" s="1" t="s">
        <v>138</v>
      </c>
      <c r="B134" s="1" t="s">
        <v>139</v>
      </c>
      <c r="C134" s="1" t="s">
        <v>140</v>
      </c>
      <c r="D134" s="1">
        <v>2.2999999999999998</v>
      </c>
      <c r="E134" s="1">
        <v>60120</v>
      </c>
      <c r="F134" s="1">
        <v>2005</v>
      </c>
    </row>
    <row r="135" spans="1:6" x14ac:dyDescent="0.35">
      <c r="A135" s="1" t="s">
        <v>1878</v>
      </c>
      <c r="B135" s="1" t="s">
        <v>1879</v>
      </c>
      <c r="C135" s="1" t="s">
        <v>395</v>
      </c>
      <c r="D135" s="1">
        <v>5.0999999999999996</v>
      </c>
      <c r="E135" s="1">
        <v>59981</v>
      </c>
      <c r="F135" s="1">
        <v>2018</v>
      </c>
    </row>
    <row r="136" spans="1:6" x14ac:dyDescent="0.35">
      <c r="A136" s="1" t="s">
        <v>167</v>
      </c>
      <c r="B136" s="1" t="s">
        <v>168</v>
      </c>
      <c r="C136" s="1" t="s">
        <v>169</v>
      </c>
      <c r="D136" s="1">
        <v>2.5</v>
      </c>
      <c r="E136" s="1">
        <v>59055</v>
      </c>
      <c r="F136" s="1">
        <v>2020</v>
      </c>
    </row>
    <row r="137" spans="1:6" x14ac:dyDescent="0.35">
      <c r="A137" s="1" t="s">
        <v>940</v>
      </c>
      <c r="B137" s="1" t="s">
        <v>941</v>
      </c>
      <c r="C137" s="1" t="s">
        <v>175</v>
      </c>
      <c r="D137" s="1">
        <v>4.5</v>
      </c>
      <c r="E137" s="1">
        <v>59038</v>
      </c>
      <c r="F137" s="1">
        <v>2014</v>
      </c>
    </row>
    <row r="138" spans="1:6" x14ac:dyDescent="0.35">
      <c r="A138" s="1" t="s">
        <v>403</v>
      </c>
      <c r="B138" s="1" t="s">
        <v>404</v>
      </c>
      <c r="C138" s="1" t="s">
        <v>166</v>
      </c>
      <c r="D138" s="1">
        <v>3.6</v>
      </c>
      <c r="E138" s="1">
        <v>58941</v>
      </c>
      <c r="F138" s="1">
        <v>1997</v>
      </c>
    </row>
    <row r="139" spans="1:6" x14ac:dyDescent="0.35">
      <c r="A139" s="1" t="s">
        <v>1545</v>
      </c>
      <c r="B139" s="1" t="s">
        <v>1546</v>
      </c>
      <c r="C139" s="1" t="s">
        <v>155</v>
      </c>
      <c r="D139" s="1">
        <v>4.9000000000000004</v>
      </c>
      <c r="E139" s="1">
        <v>58866</v>
      </c>
      <c r="F139" s="1">
        <v>2001</v>
      </c>
    </row>
    <row r="140" spans="1:6" x14ac:dyDescent="0.35">
      <c r="A140" s="1" t="s">
        <v>837</v>
      </c>
      <c r="B140" s="1" t="s">
        <v>838</v>
      </c>
      <c r="C140" s="1" t="s">
        <v>128</v>
      </c>
      <c r="D140" s="1">
        <v>4.4000000000000004</v>
      </c>
      <c r="E140" s="1">
        <v>58611</v>
      </c>
      <c r="F140" s="1">
        <v>2012</v>
      </c>
    </row>
    <row r="141" spans="1:6" x14ac:dyDescent="0.35">
      <c r="A141" s="1" t="s">
        <v>2156</v>
      </c>
      <c r="B141" s="1" t="s">
        <v>2157</v>
      </c>
      <c r="C141" s="1" t="s">
        <v>804</v>
      </c>
      <c r="D141" s="1">
        <v>5.2</v>
      </c>
      <c r="E141" s="1">
        <v>58607</v>
      </c>
      <c r="F141" s="1">
        <v>2011</v>
      </c>
    </row>
    <row r="142" spans="1:6" x14ac:dyDescent="0.35">
      <c r="A142" s="1" t="s">
        <v>1547</v>
      </c>
      <c r="B142" s="1" t="s">
        <v>1548</v>
      </c>
      <c r="C142" s="1" t="s">
        <v>56</v>
      </c>
      <c r="D142" s="1">
        <v>4.9000000000000004</v>
      </c>
      <c r="E142" s="1">
        <v>58338</v>
      </c>
      <c r="F142" s="1">
        <v>2024</v>
      </c>
    </row>
    <row r="143" spans="1:6" x14ac:dyDescent="0.35">
      <c r="A143" s="1" t="s">
        <v>2158</v>
      </c>
      <c r="B143" s="1" t="s">
        <v>2159</v>
      </c>
      <c r="C143" s="1" t="s">
        <v>140</v>
      </c>
      <c r="D143" s="1">
        <v>5.2</v>
      </c>
      <c r="E143" s="1">
        <v>58317</v>
      </c>
      <c r="F143" s="1">
        <v>2003</v>
      </c>
    </row>
    <row r="144" spans="1:6" x14ac:dyDescent="0.35">
      <c r="A144" s="1" t="s">
        <v>1175</v>
      </c>
      <c r="B144" s="1" t="s">
        <v>1176</v>
      </c>
      <c r="C144" s="1" t="s">
        <v>93</v>
      </c>
      <c r="D144" s="1">
        <v>4.7</v>
      </c>
      <c r="E144" s="1">
        <v>57367</v>
      </c>
      <c r="F144" s="1">
        <v>2022</v>
      </c>
    </row>
    <row r="145" spans="1:6" x14ac:dyDescent="0.35">
      <c r="A145" s="1" t="s">
        <v>1336</v>
      </c>
      <c r="B145" s="1" t="s">
        <v>1337</v>
      </c>
      <c r="C145" s="1" t="s">
        <v>82</v>
      </c>
      <c r="D145" s="1">
        <v>4.8</v>
      </c>
      <c r="E145" s="1">
        <v>57264</v>
      </c>
      <c r="F145" s="1">
        <v>2013</v>
      </c>
    </row>
    <row r="146" spans="1:6" x14ac:dyDescent="0.35">
      <c r="A146" s="1" t="s">
        <v>1880</v>
      </c>
      <c r="B146" s="1" t="s">
        <v>1881</v>
      </c>
      <c r="C146" s="1" t="s">
        <v>163</v>
      </c>
      <c r="D146" s="1">
        <v>5.0999999999999996</v>
      </c>
      <c r="E146" s="1">
        <v>56751</v>
      </c>
      <c r="F146" s="1">
        <v>2005</v>
      </c>
    </row>
    <row r="147" spans="1:6" x14ac:dyDescent="0.35">
      <c r="A147" s="1" t="s">
        <v>230</v>
      </c>
      <c r="B147" s="1" t="s">
        <v>231</v>
      </c>
      <c r="C147" s="1" t="s">
        <v>232</v>
      </c>
      <c r="D147" s="1">
        <v>2.8</v>
      </c>
      <c r="E147" s="1">
        <v>56736</v>
      </c>
      <c r="F147" s="1">
        <v>2019</v>
      </c>
    </row>
    <row r="148" spans="1:6" x14ac:dyDescent="0.35">
      <c r="A148" s="1" t="s">
        <v>2160</v>
      </c>
      <c r="B148" s="1" t="s">
        <v>2161</v>
      </c>
      <c r="C148" s="1" t="s">
        <v>11</v>
      </c>
      <c r="D148" s="1">
        <v>5.2</v>
      </c>
      <c r="E148" s="1">
        <v>56722</v>
      </c>
      <c r="F148" s="1">
        <v>2017</v>
      </c>
    </row>
    <row r="149" spans="1:6" x14ac:dyDescent="0.35">
      <c r="A149" s="1" t="s">
        <v>755</v>
      </c>
      <c r="B149" s="1" t="s">
        <v>756</v>
      </c>
      <c r="C149" s="1" t="s">
        <v>166</v>
      </c>
      <c r="D149" s="1">
        <v>4.3</v>
      </c>
      <c r="E149" s="1">
        <v>56624</v>
      </c>
      <c r="F149" s="1">
        <v>2014</v>
      </c>
    </row>
    <row r="150" spans="1:6" x14ac:dyDescent="0.35">
      <c r="A150" s="1" t="s">
        <v>112</v>
      </c>
      <c r="B150" s="1" t="s">
        <v>113</v>
      </c>
      <c r="C150" s="1" t="s">
        <v>11</v>
      </c>
      <c r="D150" s="1">
        <v>2</v>
      </c>
      <c r="E150" s="1">
        <v>56196</v>
      </c>
      <c r="F150" s="1">
        <v>2018</v>
      </c>
    </row>
    <row r="151" spans="1:6" x14ac:dyDescent="0.35">
      <c r="A151" s="1" t="s">
        <v>1033</v>
      </c>
      <c r="B151" s="1" t="s">
        <v>1034</v>
      </c>
      <c r="C151" s="1" t="s">
        <v>217</v>
      </c>
      <c r="D151" s="1">
        <v>4.5999999999999996</v>
      </c>
      <c r="E151" s="1">
        <v>56007</v>
      </c>
      <c r="F151" s="1">
        <v>2009</v>
      </c>
    </row>
    <row r="152" spans="1:6" x14ac:dyDescent="0.35">
      <c r="A152" s="1" t="s">
        <v>1549</v>
      </c>
      <c r="B152" s="1" t="s">
        <v>1550</v>
      </c>
      <c r="C152" s="1" t="s">
        <v>116</v>
      </c>
      <c r="D152" s="1">
        <v>4.9000000000000004</v>
      </c>
      <c r="E152" s="1">
        <v>55540</v>
      </c>
      <c r="F152" s="1">
        <v>2014</v>
      </c>
    </row>
    <row r="153" spans="1:6" x14ac:dyDescent="0.35">
      <c r="A153" s="1" t="s">
        <v>482</v>
      </c>
      <c r="B153" s="1" t="s">
        <v>483</v>
      </c>
      <c r="C153" s="1" t="s">
        <v>50</v>
      </c>
      <c r="D153" s="1">
        <v>3.8</v>
      </c>
      <c r="E153" s="1">
        <v>55504</v>
      </c>
      <c r="F153" s="1">
        <v>2008</v>
      </c>
    </row>
    <row r="154" spans="1:6" x14ac:dyDescent="0.35">
      <c r="A154" s="1" t="s">
        <v>689</v>
      </c>
      <c r="B154" s="1" t="s">
        <v>690</v>
      </c>
      <c r="C154" s="1" t="s">
        <v>691</v>
      </c>
      <c r="D154" s="1">
        <v>4.2</v>
      </c>
      <c r="E154" s="1">
        <v>55420</v>
      </c>
      <c r="F154" s="1">
        <v>1993</v>
      </c>
    </row>
    <row r="155" spans="1:6" x14ac:dyDescent="0.35">
      <c r="A155" s="1" t="s">
        <v>1882</v>
      </c>
      <c r="B155" s="1" t="s">
        <v>1883</v>
      </c>
      <c r="C155" s="1" t="s">
        <v>146</v>
      </c>
      <c r="D155" s="1">
        <v>5.0999999999999996</v>
      </c>
      <c r="E155" s="1">
        <v>54812</v>
      </c>
      <c r="F155" s="1">
        <v>2015</v>
      </c>
    </row>
    <row r="156" spans="1:6" x14ac:dyDescent="0.35">
      <c r="A156" s="1" t="s">
        <v>1551</v>
      </c>
      <c r="B156" s="1" t="s">
        <v>1552</v>
      </c>
      <c r="C156" s="1" t="s">
        <v>178</v>
      </c>
      <c r="D156" s="1">
        <v>4.9000000000000004</v>
      </c>
      <c r="E156" s="1">
        <v>54734</v>
      </c>
      <c r="F156" s="1">
        <v>2015</v>
      </c>
    </row>
    <row r="157" spans="1:6" x14ac:dyDescent="0.35">
      <c r="A157" s="1" t="s">
        <v>1177</v>
      </c>
      <c r="B157" s="1" t="s">
        <v>1178</v>
      </c>
      <c r="C157" s="1" t="s">
        <v>11</v>
      </c>
      <c r="D157" s="1">
        <v>4.7</v>
      </c>
      <c r="E157" s="1">
        <v>54002</v>
      </c>
      <c r="F157" s="1">
        <v>2005</v>
      </c>
    </row>
    <row r="158" spans="1:6" x14ac:dyDescent="0.35">
      <c r="A158" s="1" t="s">
        <v>942</v>
      </c>
      <c r="B158" s="1" t="s">
        <v>943</v>
      </c>
      <c r="C158" s="1" t="s">
        <v>944</v>
      </c>
      <c r="D158" s="1">
        <v>4.5</v>
      </c>
      <c r="E158" s="1">
        <v>53985</v>
      </c>
      <c r="F158" s="1">
        <v>2000</v>
      </c>
    </row>
    <row r="159" spans="1:6" x14ac:dyDescent="0.35">
      <c r="A159" s="1" t="s">
        <v>442</v>
      </c>
      <c r="B159" s="1" t="s">
        <v>443</v>
      </c>
      <c r="C159" s="1" t="s">
        <v>163</v>
      </c>
      <c r="D159" s="1">
        <v>3.7</v>
      </c>
      <c r="E159" s="1">
        <v>53834</v>
      </c>
      <c r="F159" s="1">
        <v>1987</v>
      </c>
    </row>
    <row r="160" spans="1:6" x14ac:dyDescent="0.35">
      <c r="A160" s="1" t="s">
        <v>321</v>
      </c>
      <c r="B160" s="1" t="s">
        <v>322</v>
      </c>
      <c r="C160" s="1" t="s">
        <v>178</v>
      </c>
      <c r="D160" s="1">
        <v>3.3</v>
      </c>
      <c r="E160" s="1">
        <v>53822</v>
      </c>
      <c r="F160" s="1">
        <v>2013</v>
      </c>
    </row>
    <row r="161" spans="1:6" x14ac:dyDescent="0.35">
      <c r="A161" s="1" t="s">
        <v>1179</v>
      </c>
      <c r="B161" s="1" t="s">
        <v>1180</v>
      </c>
      <c r="C161" s="1" t="s">
        <v>175</v>
      </c>
      <c r="D161" s="1">
        <v>4.7</v>
      </c>
      <c r="E161" s="1">
        <v>53769</v>
      </c>
      <c r="F161" s="1">
        <v>2009</v>
      </c>
    </row>
    <row r="162" spans="1:6" x14ac:dyDescent="0.35">
      <c r="A162" s="1" t="s">
        <v>757</v>
      </c>
      <c r="B162" s="1" t="s">
        <v>758</v>
      </c>
      <c r="C162" s="1" t="s">
        <v>759</v>
      </c>
      <c r="D162" s="1">
        <v>4.3</v>
      </c>
      <c r="E162" s="1">
        <v>52995</v>
      </c>
      <c r="F162" s="1">
        <v>2023</v>
      </c>
    </row>
    <row r="163" spans="1:6" x14ac:dyDescent="0.35">
      <c r="A163" s="1" t="s">
        <v>2162</v>
      </c>
      <c r="B163" s="1" t="s">
        <v>2163</v>
      </c>
      <c r="C163" s="1" t="s">
        <v>597</v>
      </c>
      <c r="D163" s="1">
        <v>5.2</v>
      </c>
      <c r="E163" s="1">
        <v>52788</v>
      </c>
      <c r="F163" s="1">
        <v>2006</v>
      </c>
    </row>
    <row r="164" spans="1:6" x14ac:dyDescent="0.35">
      <c r="A164" s="1" t="s">
        <v>1181</v>
      </c>
      <c r="B164" s="1" t="s">
        <v>1182</v>
      </c>
      <c r="C164" s="1" t="s">
        <v>859</v>
      </c>
      <c r="D164" s="1">
        <v>4.7</v>
      </c>
      <c r="E164" s="1">
        <v>52423</v>
      </c>
      <c r="F164" s="1">
        <v>1991</v>
      </c>
    </row>
    <row r="165" spans="1:6" x14ac:dyDescent="0.35">
      <c r="A165" s="1" t="s">
        <v>341</v>
      </c>
      <c r="B165" s="1" t="s">
        <v>342</v>
      </c>
      <c r="C165" s="1" t="s">
        <v>211</v>
      </c>
      <c r="D165" s="1">
        <v>3.4</v>
      </c>
      <c r="E165" s="1">
        <v>52393</v>
      </c>
      <c r="F165" s="1">
        <v>2010</v>
      </c>
    </row>
    <row r="166" spans="1:6" x14ac:dyDescent="0.35">
      <c r="A166" s="1" t="s">
        <v>1694</v>
      </c>
      <c r="B166" s="1" t="s">
        <v>1695</v>
      </c>
      <c r="C166" s="1" t="s">
        <v>859</v>
      </c>
      <c r="D166" s="1">
        <v>5</v>
      </c>
      <c r="E166" s="1">
        <v>52274</v>
      </c>
      <c r="F166" s="1">
        <v>1989</v>
      </c>
    </row>
    <row r="167" spans="1:6" x14ac:dyDescent="0.35">
      <c r="A167" s="1" t="s">
        <v>1183</v>
      </c>
      <c r="B167" s="1" t="s">
        <v>1184</v>
      </c>
      <c r="C167" s="1" t="s">
        <v>11</v>
      </c>
      <c r="D167" s="1">
        <v>4.7</v>
      </c>
      <c r="E167" s="1">
        <v>52219</v>
      </c>
      <c r="F167" s="1">
        <v>2001</v>
      </c>
    </row>
    <row r="168" spans="1:6" x14ac:dyDescent="0.35">
      <c r="A168" s="1" t="s">
        <v>1884</v>
      </c>
      <c r="B168" s="1" t="s">
        <v>1885</v>
      </c>
      <c r="C168" s="1" t="s">
        <v>82</v>
      </c>
      <c r="D168" s="1">
        <v>5.0999999999999996</v>
      </c>
      <c r="E168" s="1">
        <v>52043</v>
      </c>
      <c r="F168" s="1">
        <v>2006</v>
      </c>
    </row>
    <row r="169" spans="1:6" x14ac:dyDescent="0.35">
      <c r="A169" s="1" t="s">
        <v>1185</v>
      </c>
      <c r="B169" s="1" t="s">
        <v>1186</v>
      </c>
      <c r="C169" s="1" t="s">
        <v>178</v>
      </c>
      <c r="D169" s="1">
        <v>4.7</v>
      </c>
      <c r="E169" s="1">
        <v>51954</v>
      </c>
      <c r="F169" s="1">
        <v>1986</v>
      </c>
    </row>
    <row r="170" spans="1:6" x14ac:dyDescent="0.35">
      <c r="A170" s="1" t="s">
        <v>2164</v>
      </c>
      <c r="B170" s="1" t="s">
        <v>2165</v>
      </c>
      <c r="C170" s="1" t="s">
        <v>565</v>
      </c>
      <c r="D170" s="1">
        <v>5.2</v>
      </c>
      <c r="E170" s="1">
        <v>51830</v>
      </c>
      <c r="F170" s="1">
        <v>2017</v>
      </c>
    </row>
    <row r="171" spans="1:6" x14ac:dyDescent="0.35">
      <c r="A171" s="1" t="s">
        <v>484</v>
      </c>
      <c r="B171" s="1" t="s">
        <v>485</v>
      </c>
      <c r="C171" s="1" t="s">
        <v>166</v>
      </c>
      <c r="D171" s="1">
        <v>3.8</v>
      </c>
      <c r="E171" s="1">
        <v>51642</v>
      </c>
      <c r="F171" s="1">
        <v>2007</v>
      </c>
    </row>
    <row r="172" spans="1:6" x14ac:dyDescent="0.35">
      <c r="A172" s="1" t="s">
        <v>1553</v>
      </c>
      <c r="B172" s="1" t="s">
        <v>1554</v>
      </c>
      <c r="C172" s="1" t="s">
        <v>217</v>
      </c>
      <c r="D172" s="1">
        <v>4.9000000000000004</v>
      </c>
      <c r="E172" s="1">
        <v>51617</v>
      </c>
      <c r="F172" s="1">
        <v>2005</v>
      </c>
    </row>
    <row r="173" spans="1:6" x14ac:dyDescent="0.35">
      <c r="A173" s="1" t="s">
        <v>692</v>
      </c>
      <c r="B173" s="1" t="s">
        <v>693</v>
      </c>
      <c r="C173" s="1" t="s">
        <v>178</v>
      </c>
      <c r="D173" s="1">
        <v>4.2</v>
      </c>
      <c r="E173" s="1">
        <v>51595</v>
      </c>
      <c r="F173" s="1">
        <v>1999</v>
      </c>
    </row>
    <row r="174" spans="1:6" x14ac:dyDescent="0.35">
      <c r="A174" s="1" t="s">
        <v>1555</v>
      </c>
      <c r="B174" s="1" t="s">
        <v>1556</v>
      </c>
      <c r="C174" s="1" t="s">
        <v>349</v>
      </c>
      <c r="D174" s="1">
        <v>4.9000000000000004</v>
      </c>
      <c r="E174" s="1">
        <v>51323</v>
      </c>
      <c r="F174" s="1">
        <v>2004</v>
      </c>
    </row>
    <row r="175" spans="1:6" x14ac:dyDescent="0.35">
      <c r="A175" s="1" t="s">
        <v>1035</v>
      </c>
      <c r="B175" s="1" t="s">
        <v>1036</v>
      </c>
      <c r="C175" s="1" t="s">
        <v>175</v>
      </c>
      <c r="D175" s="1">
        <v>4.5999999999999996</v>
      </c>
      <c r="E175" s="1">
        <v>51262</v>
      </c>
      <c r="F175" s="1">
        <v>1998</v>
      </c>
    </row>
    <row r="176" spans="1:6" x14ac:dyDescent="0.35">
      <c r="A176" s="1" t="s">
        <v>185</v>
      </c>
      <c r="B176" s="1" t="s">
        <v>186</v>
      </c>
      <c r="C176" s="1" t="s">
        <v>187</v>
      </c>
      <c r="D176" s="1">
        <v>2.6</v>
      </c>
      <c r="E176" s="1">
        <v>51193</v>
      </c>
      <c r="F176" s="1">
        <v>2003</v>
      </c>
    </row>
    <row r="177" spans="1:6" x14ac:dyDescent="0.35">
      <c r="A177" s="1" t="s">
        <v>1696</v>
      </c>
      <c r="B177" s="1" t="s">
        <v>1697</v>
      </c>
      <c r="C177" s="1" t="s">
        <v>270</v>
      </c>
      <c r="D177" s="1">
        <v>5</v>
      </c>
      <c r="E177" s="1">
        <v>50899</v>
      </c>
      <c r="F177" s="1">
        <v>2013</v>
      </c>
    </row>
    <row r="178" spans="1:6" x14ac:dyDescent="0.35">
      <c r="A178" s="1" t="s">
        <v>1886</v>
      </c>
      <c r="B178" s="1" t="s">
        <v>1887</v>
      </c>
      <c r="C178" s="1" t="s">
        <v>47</v>
      </c>
      <c r="D178" s="1">
        <v>5.0999999999999996</v>
      </c>
      <c r="E178" s="1">
        <v>50879</v>
      </c>
      <c r="F178" s="1">
        <v>2009</v>
      </c>
    </row>
    <row r="179" spans="1:6" x14ac:dyDescent="0.35">
      <c r="A179" s="1" t="s">
        <v>1698</v>
      </c>
      <c r="B179" s="1" t="s">
        <v>1699</v>
      </c>
      <c r="C179" s="1" t="s">
        <v>175</v>
      </c>
      <c r="D179" s="1">
        <v>5</v>
      </c>
      <c r="E179" s="1">
        <v>50760</v>
      </c>
      <c r="F179" s="1">
        <v>2016</v>
      </c>
    </row>
    <row r="180" spans="1:6" x14ac:dyDescent="0.35">
      <c r="A180" s="1" t="s">
        <v>529</v>
      </c>
      <c r="B180" s="1" t="s">
        <v>530</v>
      </c>
      <c r="C180" s="1" t="s">
        <v>82</v>
      </c>
      <c r="D180" s="1">
        <v>3.9</v>
      </c>
      <c r="E180" s="1">
        <v>50725</v>
      </c>
      <c r="F180" s="1">
        <v>2002</v>
      </c>
    </row>
    <row r="181" spans="1:6" x14ac:dyDescent="0.35">
      <c r="A181" s="1" t="s">
        <v>1888</v>
      </c>
      <c r="B181" s="1" t="s">
        <v>1889</v>
      </c>
      <c r="C181" s="1" t="s">
        <v>926</v>
      </c>
      <c r="D181" s="1">
        <v>5.0999999999999996</v>
      </c>
      <c r="E181" s="1">
        <v>50711</v>
      </c>
      <c r="F181" s="1">
        <v>2012</v>
      </c>
    </row>
    <row r="182" spans="1:6" x14ac:dyDescent="0.35">
      <c r="A182" s="1" t="s">
        <v>262</v>
      </c>
      <c r="B182" s="1" t="s">
        <v>263</v>
      </c>
      <c r="C182" s="1" t="s">
        <v>264</v>
      </c>
      <c r="D182" s="1">
        <v>3</v>
      </c>
      <c r="E182" s="1">
        <v>50698</v>
      </c>
      <c r="F182" s="1">
        <v>1987</v>
      </c>
    </row>
    <row r="183" spans="1:6" x14ac:dyDescent="0.35">
      <c r="A183" s="1" t="s">
        <v>1700</v>
      </c>
      <c r="B183" s="1" t="s">
        <v>1701</v>
      </c>
      <c r="C183" s="1" t="s">
        <v>140</v>
      </c>
      <c r="D183" s="1">
        <v>5</v>
      </c>
      <c r="E183" s="1">
        <v>50577</v>
      </c>
      <c r="F183" s="1">
        <v>2010</v>
      </c>
    </row>
    <row r="184" spans="1:6" x14ac:dyDescent="0.35">
      <c r="A184" s="1" t="s">
        <v>1187</v>
      </c>
      <c r="B184" s="1" t="s">
        <v>1188</v>
      </c>
      <c r="C184" s="1" t="s">
        <v>11</v>
      </c>
      <c r="D184" s="1">
        <v>4.7</v>
      </c>
      <c r="E184" s="1">
        <v>50106</v>
      </c>
      <c r="F184" s="1">
        <v>2009</v>
      </c>
    </row>
    <row r="185" spans="1:6" x14ac:dyDescent="0.35">
      <c r="A185" s="1" t="s">
        <v>444</v>
      </c>
      <c r="B185" s="1" t="s">
        <v>445</v>
      </c>
      <c r="C185" s="1" t="s">
        <v>264</v>
      </c>
      <c r="D185" s="1">
        <v>3.7</v>
      </c>
      <c r="E185" s="1">
        <v>49519</v>
      </c>
      <c r="F185" s="1">
        <v>1983</v>
      </c>
    </row>
    <row r="186" spans="1:6" x14ac:dyDescent="0.35">
      <c r="A186" s="1" t="s">
        <v>1890</v>
      </c>
      <c r="B186" s="1" t="s">
        <v>1891</v>
      </c>
      <c r="C186" s="1" t="s">
        <v>82</v>
      </c>
      <c r="D186" s="1">
        <v>5.0999999999999996</v>
      </c>
      <c r="E186" s="1">
        <v>49376</v>
      </c>
      <c r="F186" s="1">
        <v>2006</v>
      </c>
    </row>
    <row r="187" spans="1:6" x14ac:dyDescent="0.35">
      <c r="A187" s="1" t="s">
        <v>1189</v>
      </c>
      <c r="B187" s="1" t="s">
        <v>1190</v>
      </c>
      <c r="C187" s="1" t="s">
        <v>455</v>
      </c>
      <c r="D187" s="1">
        <v>4.7</v>
      </c>
      <c r="E187" s="1">
        <v>49375</v>
      </c>
      <c r="F187" s="1">
        <v>1990</v>
      </c>
    </row>
    <row r="188" spans="1:6" x14ac:dyDescent="0.35">
      <c r="A188" s="1" t="s">
        <v>105</v>
      </c>
      <c r="B188" s="1" t="s">
        <v>106</v>
      </c>
      <c r="C188" s="1" t="s">
        <v>101</v>
      </c>
      <c r="D188" s="1">
        <v>1.9</v>
      </c>
      <c r="E188" s="1">
        <v>48996</v>
      </c>
      <c r="F188" s="1">
        <v>2018</v>
      </c>
    </row>
    <row r="189" spans="1:6" x14ac:dyDescent="0.35">
      <c r="A189" s="1" t="s">
        <v>1037</v>
      </c>
      <c r="B189" s="1" t="s">
        <v>1038</v>
      </c>
      <c r="C189" s="1" t="s">
        <v>1039</v>
      </c>
      <c r="D189" s="1">
        <v>4.5999999999999996</v>
      </c>
      <c r="E189" s="1">
        <v>48925</v>
      </c>
      <c r="F189" s="1">
        <v>1996</v>
      </c>
    </row>
    <row r="190" spans="1:6" x14ac:dyDescent="0.35">
      <c r="A190" s="1" t="s">
        <v>1557</v>
      </c>
      <c r="B190" s="1" t="s">
        <v>1558</v>
      </c>
      <c r="C190" s="1" t="s">
        <v>82</v>
      </c>
      <c r="D190" s="1">
        <v>4.9000000000000004</v>
      </c>
      <c r="E190" s="1">
        <v>48639</v>
      </c>
      <c r="F190" s="1">
        <v>1989</v>
      </c>
    </row>
    <row r="191" spans="1:6" x14ac:dyDescent="0.35">
      <c r="A191" s="1" t="s">
        <v>694</v>
      </c>
      <c r="B191" s="1" t="s">
        <v>695</v>
      </c>
      <c r="C191" s="1" t="s">
        <v>166</v>
      </c>
      <c r="D191" s="1">
        <v>4.2</v>
      </c>
      <c r="E191" s="1">
        <v>48638</v>
      </c>
      <c r="F191" s="1">
        <v>1991</v>
      </c>
    </row>
    <row r="192" spans="1:6" x14ac:dyDescent="0.35">
      <c r="A192" s="1" t="s">
        <v>1702</v>
      </c>
      <c r="B192" s="1" t="s">
        <v>1703</v>
      </c>
      <c r="C192" s="1" t="s">
        <v>217</v>
      </c>
      <c r="D192" s="1">
        <v>5</v>
      </c>
      <c r="E192" s="1">
        <v>48401</v>
      </c>
      <c r="F192" s="1">
        <v>2006</v>
      </c>
    </row>
    <row r="193" spans="1:6" x14ac:dyDescent="0.35">
      <c r="A193" s="1" t="s">
        <v>760</v>
      </c>
      <c r="B193" s="1" t="s">
        <v>761</v>
      </c>
      <c r="C193" s="1" t="s">
        <v>762</v>
      </c>
      <c r="D193" s="1">
        <v>4.3</v>
      </c>
      <c r="E193" s="1">
        <v>48349</v>
      </c>
      <c r="F193" s="1">
        <v>2018</v>
      </c>
    </row>
    <row r="194" spans="1:6" x14ac:dyDescent="0.35">
      <c r="A194" s="1" t="s">
        <v>1191</v>
      </c>
      <c r="B194" s="1" t="s">
        <v>1192</v>
      </c>
      <c r="C194" s="1" t="s">
        <v>140</v>
      </c>
      <c r="D194" s="1">
        <v>4.7</v>
      </c>
      <c r="E194" s="1">
        <v>48063</v>
      </c>
      <c r="F194" s="1">
        <v>2001</v>
      </c>
    </row>
    <row r="195" spans="1:6" x14ac:dyDescent="0.35">
      <c r="A195" s="1" t="s">
        <v>188</v>
      </c>
      <c r="B195" s="1" t="s">
        <v>189</v>
      </c>
      <c r="C195" s="1" t="s">
        <v>190</v>
      </c>
      <c r="D195" s="1">
        <v>2.6</v>
      </c>
      <c r="E195" s="1">
        <v>47934</v>
      </c>
      <c r="F195" s="1">
        <v>2022</v>
      </c>
    </row>
    <row r="196" spans="1:6" x14ac:dyDescent="0.35">
      <c r="A196" s="1" t="s">
        <v>2166</v>
      </c>
      <c r="B196" s="1" t="s">
        <v>2167</v>
      </c>
      <c r="C196" s="1" t="s">
        <v>82</v>
      </c>
      <c r="D196" s="1">
        <v>5.2</v>
      </c>
      <c r="E196" s="1">
        <v>47876</v>
      </c>
      <c r="F196" s="1">
        <v>1991</v>
      </c>
    </row>
    <row r="197" spans="1:6" x14ac:dyDescent="0.35">
      <c r="A197" s="1" t="s">
        <v>839</v>
      </c>
      <c r="B197" s="1" t="s">
        <v>840</v>
      </c>
      <c r="C197" s="1" t="s">
        <v>140</v>
      </c>
      <c r="D197" s="1">
        <v>4.4000000000000004</v>
      </c>
      <c r="E197" s="1">
        <v>47835</v>
      </c>
      <c r="F197" s="1">
        <v>2021</v>
      </c>
    </row>
    <row r="198" spans="1:6" x14ac:dyDescent="0.35">
      <c r="A198" s="1" t="s">
        <v>1559</v>
      </c>
      <c r="B198" s="1" t="s">
        <v>1560</v>
      </c>
      <c r="C198" s="1" t="s">
        <v>163</v>
      </c>
      <c r="D198" s="1">
        <v>4.9000000000000004</v>
      </c>
      <c r="E198" s="1">
        <v>47785</v>
      </c>
      <c r="F198" s="1">
        <v>2011</v>
      </c>
    </row>
    <row r="199" spans="1:6" x14ac:dyDescent="0.35">
      <c r="A199" s="1" t="s">
        <v>1561</v>
      </c>
      <c r="B199" s="1" t="s">
        <v>1562</v>
      </c>
      <c r="C199" s="1" t="s">
        <v>217</v>
      </c>
      <c r="D199" s="1">
        <v>4.9000000000000004</v>
      </c>
      <c r="E199" s="1">
        <v>47571</v>
      </c>
      <c r="F199" s="1">
        <v>1992</v>
      </c>
    </row>
    <row r="200" spans="1:6" x14ac:dyDescent="0.35">
      <c r="A200" s="1" t="s">
        <v>153</v>
      </c>
      <c r="B200" s="1" t="s">
        <v>154</v>
      </c>
      <c r="C200" s="1" t="s">
        <v>155</v>
      </c>
      <c r="D200" s="1">
        <v>2.4</v>
      </c>
      <c r="E200" s="1">
        <v>47417</v>
      </c>
      <c r="F200" s="1">
        <v>2005</v>
      </c>
    </row>
    <row r="201" spans="1:6" x14ac:dyDescent="0.35">
      <c r="A201" s="1" t="s">
        <v>1338</v>
      </c>
      <c r="B201" s="1" t="s">
        <v>1339</v>
      </c>
      <c r="C201" s="1" t="s">
        <v>214</v>
      </c>
      <c r="D201" s="1">
        <v>4.8</v>
      </c>
      <c r="E201" s="1">
        <v>47211</v>
      </c>
      <c r="F201" s="1">
        <v>2006</v>
      </c>
    </row>
    <row r="202" spans="1:6" x14ac:dyDescent="0.35">
      <c r="A202" s="1" t="s">
        <v>696</v>
      </c>
      <c r="B202" s="1" t="s">
        <v>697</v>
      </c>
      <c r="C202" s="1" t="s">
        <v>155</v>
      </c>
      <c r="D202" s="1">
        <v>4.2</v>
      </c>
      <c r="E202" s="1">
        <v>46900</v>
      </c>
      <c r="F202" s="1">
        <v>2022</v>
      </c>
    </row>
    <row r="203" spans="1:6" x14ac:dyDescent="0.35">
      <c r="A203" s="1" t="s">
        <v>405</v>
      </c>
      <c r="B203" s="1" t="s">
        <v>406</v>
      </c>
      <c r="C203" s="1" t="s">
        <v>275</v>
      </c>
      <c r="D203" s="1">
        <v>3.6</v>
      </c>
      <c r="E203" s="1">
        <v>46875</v>
      </c>
      <c r="F203" s="1">
        <v>2019</v>
      </c>
    </row>
    <row r="204" spans="1:6" x14ac:dyDescent="0.35">
      <c r="A204" s="1" t="s">
        <v>2168</v>
      </c>
      <c r="B204" s="1" t="s">
        <v>2169</v>
      </c>
      <c r="C204" s="1" t="s">
        <v>804</v>
      </c>
      <c r="D204" s="1">
        <v>5.2</v>
      </c>
      <c r="E204" s="1">
        <v>46863</v>
      </c>
      <c r="F204" s="1">
        <v>2015</v>
      </c>
    </row>
    <row r="205" spans="1:6" x14ac:dyDescent="0.35">
      <c r="A205" s="1" t="s">
        <v>1340</v>
      </c>
      <c r="B205" s="1" t="s">
        <v>1341</v>
      </c>
      <c r="C205" s="1" t="s">
        <v>1342</v>
      </c>
      <c r="D205" s="1">
        <v>4.8</v>
      </c>
      <c r="E205" s="1">
        <v>46718</v>
      </c>
      <c r="F205" s="1">
        <v>2006</v>
      </c>
    </row>
    <row r="206" spans="1:6" x14ac:dyDescent="0.35">
      <c r="A206" s="1" t="s">
        <v>1193</v>
      </c>
      <c r="B206" s="1" t="s">
        <v>1194</v>
      </c>
      <c r="C206" s="1" t="s">
        <v>1195</v>
      </c>
      <c r="D206" s="1">
        <v>4.7</v>
      </c>
      <c r="E206" s="1">
        <v>46620</v>
      </c>
      <c r="F206" s="1">
        <v>2015</v>
      </c>
    </row>
    <row r="207" spans="1:6" x14ac:dyDescent="0.35">
      <c r="A207" s="1" t="s">
        <v>1704</v>
      </c>
      <c r="B207" s="1" t="s">
        <v>1705</v>
      </c>
      <c r="C207" s="1" t="s">
        <v>214</v>
      </c>
      <c r="D207" s="1">
        <v>5</v>
      </c>
      <c r="E207" s="1">
        <v>46568</v>
      </c>
      <c r="F207" s="1">
        <v>1987</v>
      </c>
    </row>
    <row r="208" spans="1:6" x14ac:dyDescent="0.35">
      <c r="A208" s="1" t="s">
        <v>1196</v>
      </c>
      <c r="B208" s="1" t="s">
        <v>1197</v>
      </c>
      <c r="C208" s="1" t="s">
        <v>232</v>
      </c>
      <c r="D208" s="1">
        <v>4.7</v>
      </c>
      <c r="E208" s="1">
        <v>46518</v>
      </c>
      <c r="F208" s="1">
        <v>2009</v>
      </c>
    </row>
    <row r="209" spans="1:6" x14ac:dyDescent="0.35">
      <c r="A209" s="1" t="s">
        <v>1343</v>
      </c>
      <c r="B209" s="1" t="s">
        <v>1344</v>
      </c>
      <c r="C209" s="1" t="s">
        <v>175</v>
      </c>
      <c r="D209" s="1">
        <v>4.8</v>
      </c>
      <c r="E209" s="1">
        <v>46299</v>
      </c>
      <c r="F209" s="1">
        <v>2016</v>
      </c>
    </row>
    <row r="210" spans="1:6" x14ac:dyDescent="0.35">
      <c r="A210" s="1" t="s">
        <v>1040</v>
      </c>
      <c r="B210" s="1" t="s">
        <v>1041</v>
      </c>
      <c r="C210" s="1" t="s">
        <v>178</v>
      </c>
      <c r="D210" s="1">
        <v>4.5999999999999996</v>
      </c>
      <c r="E210" s="1">
        <v>46282</v>
      </c>
      <c r="F210" s="1">
        <v>2021</v>
      </c>
    </row>
    <row r="211" spans="1:6" x14ac:dyDescent="0.35">
      <c r="A211" s="1" t="s">
        <v>486</v>
      </c>
      <c r="B211" s="1" t="s">
        <v>487</v>
      </c>
      <c r="C211" s="1" t="s">
        <v>137</v>
      </c>
      <c r="D211" s="1">
        <v>3.8</v>
      </c>
      <c r="E211" s="1">
        <v>46165</v>
      </c>
      <c r="F211" s="1">
        <v>2012</v>
      </c>
    </row>
    <row r="212" spans="1:6" x14ac:dyDescent="0.35">
      <c r="A212" s="1" t="s">
        <v>1706</v>
      </c>
      <c r="B212" s="1" t="s">
        <v>1707</v>
      </c>
      <c r="C212" s="1" t="s">
        <v>448</v>
      </c>
      <c r="D212" s="1">
        <v>5</v>
      </c>
      <c r="E212" s="1">
        <v>46139</v>
      </c>
      <c r="F212" s="1">
        <v>2014</v>
      </c>
    </row>
    <row r="213" spans="1:6" x14ac:dyDescent="0.35">
      <c r="A213" s="1" t="s">
        <v>488</v>
      </c>
      <c r="B213" s="1" t="s">
        <v>489</v>
      </c>
      <c r="C213" s="1" t="s">
        <v>163</v>
      </c>
      <c r="D213" s="1">
        <v>3.8</v>
      </c>
      <c r="E213" s="1">
        <v>45902</v>
      </c>
      <c r="F213" s="1">
        <v>1998</v>
      </c>
    </row>
    <row r="214" spans="1:6" x14ac:dyDescent="0.35">
      <c r="A214" s="1" t="s">
        <v>1563</v>
      </c>
      <c r="B214" s="1" t="s">
        <v>1564</v>
      </c>
      <c r="C214" s="1" t="s">
        <v>93</v>
      </c>
      <c r="D214" s="1">
        <v>4.9000000000000004</v>
      </c>
      <c r="E214" s="1">
        <v>45846</v>
      </c>
      <c r="F214" s="1">
        <v>2022</v>
      </c>
    </row>
    <row r="215" spans="1:6" x14ac:dyDescent="0.35">
      <c r="A215" s="1" t="s">
        <v>1345</v>
      </c>
      <c r="B215" s="1" t="s">
        <v>1346</v>
      </c>
      <c r="C215" s="1" t="s">
        <v>134</v>
      </c>
      <c r="D215" s="1">
        <v>4.8</v>
      </c>
      <c r="E215" s="1">
        <v>45770</v>
      </c>
      <c r="F215" s="1">
        <v>2023</v>
      </c>
    </row>
    <row r="216" spans="1:6" x14ac:dyDescent="0.35">
      <c r="A216" s="1" t="s">
        <v>1347</v>
      </c>
      <c r="B216" s="1" t="s">
        <v>1348</v>
      </c>
      <c r="C216" s="1" t="s">
        <v>175</v>
      </c>
      <c r="D216" s="1">
        <v>4.8</v>
      </c>
      <c r="E216" s="1">
        <v>45693</v>
      </c>
      <c r="F216" s="1">
        <v>1985</v>
      </c>
    </row>
    <row r="217" spans="1:6" x14ac:dyDescent="0.35">
      <c r="A217" s="1" t="s">
        <v>1042</v>
      </c>
      <c r="B217" s="1" t="s">
        <v>1043</v>
      </c>
      <c r="C217" s="1" t="s">
        <v>208</v>
      </c>
      <c r="D217" s="1">
        <v>4.5999999999999996</v>
      </c>
      <c r="E217" s="1">
        <v>45654</v>
      </c>
      <c r="F217" s="1">
        <v>2014</v>
      </c>
    </row>
    <row r="218" spans="1:6" x14ac:dyDescent="0.35">
      <c r="A218" s="1" t="s">
        <v>1892</v>
      </c>
      <c r="B218" s="1" t="s">
        <v>1893</v>
      </c>
      <c r="C218" s="1" t="s">
        <v>166</v>
      </c>
      <c r="D218" s="1">
        <v>5.0999999999999996</v>
      </c>
      <c r="E218" s="1">
        <v>45645</v>
      </c>
      <c r="F218" s="1">
        <v>1985</v>
      </c>
    </row>
    <row r="219" spans="1:6" x14ac:dyDescent="0.35">
      <c r="A219" s="1" t="s">
        <v>2170</v>
      </c>
      <c r="B219" s="1" t="s">
        <v>2171</v>
      </c>
      <c r="C219" s="1" t="s">
        <v>294</v>
      </c>
      <c r="D219" s="1">
        <v>5.2</v>
      </c>
      <c r="E219" s="1">
        <v>45631</v>
      </c>
      <c r="F219" s="1">
        <v>2015</v>
      </c>
    </row>
    <row r="220" spans="1:6" x14ac:dyDescent="0.35">
      <c r="A220" s="1" t="s">
        <v>1044</v>
      </c>
      <c r="B220" s="1" t="s">
        <v>1045</v>
      </c>
      <c r="C220" s="1" t="s">
        <v>146</v>
      </c>
      <c r="D220" s="1">
        <v>4.5999999999999996</v>
      </c>
      <c r="E220" s="1">
        <v>45562</v>
      </c>
      <c r="F220" s="1">
        <v>2004</v>
      </c>
    </row>
    <row r="221" spans="1:6" x14ac:dyDescent="0.35">
      <c r="A221" s="1" t="s">
        <v>841</v>
      </c>
      <c r="B221" s="1" t="s">
        <v>842</v>
      </c>
      <c r="C221" s="1" t="s">
        <v>843</v>
      </c>
      <c r="D221" s="1">
        <v>4.4000000000000004</v>
      </c>
      <c r="E221" s="1">
        <v>45378</v>
      </c>
      <c r="F221" s="1">
        <v>1992</v>
      </c>
    </row>
    <row r="222" spans="1:6" x14ac:dyDescent="0.35">
      <c r="A222" s="1" t="s">
        <v>490</v>
      </c>
      <c r="B222" s="1" t="s">
        <v>491</v>
      </c>
      <c r="C222" s="1" t="s">
        <v>128</v>
      </c>
      <c r="D222" s="1">
        <v>3.8</v>
      </c>
      <c r="E222" s="1">
        <v>45106</v>
      </c>
      <c r="F222" s="1">
        <v>2002</v>
      </c>
    </row>
    <row r="223" spans="1:6" x14ac:dyDescent="0.35">
      <c r="A223" s="1" t="s">
        <v>1349</v>
      </c>
      <c r="B223" s="1" t="s">
        <v>1350</v>
      </c>
      <c r="C223" s="1" t="s">
        <v>455</v>
      </c>
      <c r="D223" s="1">
        <v>4.8</v>
      </c>
      <c r="E223" s="1">
        <v>44863</v>
      </c>
      <c r="F223" s="1">
        <v>2009</v>
      </c>
    </row>
    <row r="224" spans="1:6" x14ac:dyDescent="0.35">
      <c r="A224" s="1" t="s">
        <v>1351</v>
      </c>
      <c r="B224" s="1" t="s">
        <v>1352</v>
      </c>
      <c r="C224" s="1" t="s">
        <v>76</v>
      </c>
      <c r="D224" s="1">
        <v>4.8</v>
      </c>
      <c r="E224" s="1">
        <v>44700</v>
      </c>
      <c r="F224" s="1">
        <v>2023</v>
      </c>
    </row>
    <row r="225" spans="1:6" x14ac:dyDescent="0.35">
      <c r="A225" s="1" t="s">
        <v>945</v>
      </c>
      <c r="B225" s="1" t="s">
        <v>946</v>
      </c>
      <c r="C225" s="1" t="s">
        <v>264</v>
      </c>
      <c r="D225" s="1">
        <v>4.5</v>
      </c>
      <c r="E225" s="1">
        <v>44694</v>
      </c>
      <c r="F225" s="1">
        <v>1989</v>
      </c>
    </row>
    <row r="226" spans="1:6" x14ac:dyDescent="0.35">
      <c r="A226" s="1" t="s">
        <v>2172</v>
      </c>
      <c r="B226" s="1" t="s">
        <v>2173</v>
      </c>
      <c r="C226" s="1" t="s">
        <v>1967</v>
      </c>
      <c r="D226" s="1">
        <v>5.2</v>
      </c>
      <c r="E226" s="1">
        <v>44504</v>
      </c>
      <c r="F226" s="1">
        <v>2003</v>
      </c>
    </row>
    <row r="227" spans="1:6" x14ac:dyDescent="0.35">
      <c r="A227" s="1" t="s">
        <v>1894</v>
      </c>
      <c r="B227" s="1" t="s">
        <v>1895</v>
      </c>
      <c r="C227" s="1" t="s">
        <v>217</v>
      </c>
      <c r="D227" s="1">
        <v>5.0999999999999996</v>
      </c>
      <c r="E227" s="1">
        <v>44307</v>
      </c>
      <c r="F227" s="1">
        <v>2008</v>
      </c>
    </row>
    <row r="228" spans="1:6" x14ac:dyDescent="0.35">
      <c r="A228" s="1" t="s">
        <v>492</v>
      </c>
      <c r="B228" s="1" t="s">
        <v>493</v>
      </c>
      <c r="C228" s="1" t="s">
        <v>76</v>
      </c>
      <c r="D228" s="1">
        <v>3.8</v>
      </c>
      <c r="E228" s="1">
        <v>44268</v>
      </c>
      <c r="F228" s="1">
        <v>2011</v>
      </c>
    </row>
    <row r="229" spans="1:6" x14ac:dyDescent="0.35">
      <c r="A229" s="1" t="s">
        <v>295</v>
      </c>
      <c r="B229" s="1" t="s">
        <v>296</v>
      </c>
      <c r="C229" s="1" t="s">
        <v>116</v>
      </c>
      <c r="D229" s="1">
        <v>3.2</v>
      </c>
      <c r="E229" s="1">
        <v>44004</v>
      </c>
      <c r="F229" s="1">
        <v>2013</v>
      </c>
    </row>
    <row r="230" spans="1:6" x14ac:dyDescent="0.35">
      <c r="A230" s="1" t="s">
        <v>1565</v>
      </c>
      <c r="B230" s="1" t="s">
        <v>1566</v>
      </c>
      <c r="C230" s="1" t="s">
        <v>152</v>
      </c>
      <c r="D230" s="1">
        <v>4.9000000000000004</v>
      </c>
      <c r="E230" s="1">
        <v>43983</v>
      </c>
      <c r="F230" s="1">
        <v>2001</v>
      </c>
    </row>
    <row r="231" spans="1:6" x14ac:dyDescent="0.35">
      <c r="A231" s="1" t="s">
        <v>2174</v>
      </c>
      <c r="B231" s="1" t="s">
        <v>2175</v>
      </c>
      <c r="C231" s="1" t="s">
        <v>82</v>
      </c>
      <c r="D231" s="1">
        <v>5.2</v>
      </c>
      <c r="E231" s="1">
        <v>43943</v>
      </c>
      <c r="F231" s="1">
        <v>1988</v>
      </c>
    </row>
    <row r="232" spans="1:6" x14ac:dyDescent="0.35">
      <c r="A232" s="1" t="s">
        <v>947</v>
      </c>
      <c r="B232" s="1" t="s">
        <v>948</v>
      </c>
      <c r="C232" s="1" t="s">
        <v>565</v>
      </c>
      <c r="D232" s="1">
        <v>4.5</v>
      </c>
      <c r="E232" s="1">
        <v>43887</v>
      </c>
      <c r="F232" s="1">
        <v>2017</v>
      </c>
    </row>
    <row r="233" spans="1:6" x14ac:dyDescent="0.35">
      <c r="A233" s="1" t="s">
        <v>1046</v>
      </c>
      <c r="B233" s="1" t="s">
        <v>1047</v>
      </c>
      <c r="C233" s="1" t="s">
        <v>1048</v>
      </c>
      <c r="D233" s="1">
        <v>4.5999999999999996</v>
      </c>
      <c r="E233" s="1">
        <v>43600</v>
      </c>
      <c r="F233" s="1">
        <v>2001</v>
      </c>
    </row>
    <row r="234" spans="1:6" x14ac:dyDescent="0.35">
      <c r="A234" s="1" t="s">
        <v>244</v>
      </c>
      <c r="B234" s="1" t="s">
        <v>245</v>
      </c>
      <c r="C234" s="1" t="s">
        <v>246</v>
      </c>
      <c r="D234" s="1">
        <v>2.9</v>
      </c>
      <c r="E234" s="1">
        <v>43598</v>
      </c>
      <c r="F234" s="1">
        <v>2010</v>
      </c>
    </row>
    <row r="235" spans="1:6" x14ac:dyDescent="0.35">
      <c r="A235" s="1" t="s">
        <v>1198</v>
      </c>
      <c r="B235" s="1" t="s">
        <v>1199</v>
      </c>
      <c r="C235" s="1" t="s">
        <v>82</v>
      </c>
      <c r="D235" s="1">
        <v>4.7</v>
      </c>
      <c r="E235" s="1">
        <v>43509</v>
      </c>
      <c r="F235" s="1">
        <v>1995</v>
      </c>
    </row>
    <row r="236" spans="1:6" x14ac:dyDescent="0.35">
      <c r="A236" s="1" t="s">
        <v>494</v>
      </c>
      <c r="B236" s="1" t="s">
        <v>495</v>
      </c>
      <c r="C236" s="1" t="s">
        <v>178</v>
      </c>
      <c r="D236" s="1">
        <v>3.8</v>
      </c>
      <c r="E236" s="1">
        <v>43456</v>
      </c>
      <c r="F236" s="1">
        <v>2005</v>
      </c>
    </row>
    <row r="237" spans="1:6" x14ac:dyDescent="0.35">
      <c r="A237" s="1" t="s">
        <v>141</v>
      </c>
      <c r="B237" s="1" t="s">
        <v>142</v>
      </c>
      <c r="C237" s="1" t="s">
        <v>143</v>
      </c>
      <c r="D237" s="1">
        <v>2.2999999999999998</v>
      </c>
      <c r="E237" s="1">
        <v>43439</v>
      </c>
      <c r="F237" s="1">
        <v>2022</v>
      </c>
    </row>
    <row r="238" spans="1:6" x14ac:dyDescent="0.35">
      <c r="A238" s="1" t="s">
        <v>1896</v>
      </c>
      <c r="B238" s="1" t="s">
        <v>1897</v>
      </c>
      <c r="C238" s="1" t="s">
        <v>549</v>
      </c>
      <c r="D238" s="1">
        <v>5.0999999999999996</v>
      </c>
      <c r="E238" s="1">
        <v>43252</v>
      </c>
      <c r="F238" s="1">
        <v>2022</v>
      </c>
    </row>
    <row r="239" spans="1:6" x14ac:dyDescent="0.35">
      <c r="A239" s="1" t="s">
        <v>1353</v>
      </c>
      <c r="B239" s="1" t="s">
        <v>1354</v>
      </c>
      <c r="C239" s="1" t="s">
        <v>217</v>
      </c>
      <c r="D239" s="1">
        <v>4.8</v>
      </c>
      <c r="E239" s="1">
        <v>43211</v>
      </c>
      <c r="F239" s="1">
        <v>2006</v>
      </c>
    </row>
    <row r="240" spans="1:6" x14ac:dyDescent="0.35">
      <c r="A240" s="1" t="s">
        <v>1567</v>
      </c>
      <c r="B240" s="1" t="s">
        <v>1568</v>
      </c>
      <c r="C240" s="1" t="s">
        <v>128</v>
      </c>
      <c r="D240" s="1">
        <v>4.9000000000000004</v>
      </c>
      <c r="E240" s="1">
        <v>43209</v>
      </c>
      <c r="F240" s="1">
        <v>2009</v>
      </c>
    </row>
    <row r="241" spans="1:6" x14ac:dyDescent="0.35">
      <c r="A241" s="1" t="s">
        <v>282</v>
      </c>
      <c r="B241" s="1" t="s">
        <v>283</v>
      </c>
      <c r="C241" s="1" t="s">
        <v>53</v>
      </c>
      <c r="D241" s="1">
        <v>3.1</v>
      </c>
      <c r="E241" s="1">
        <v>43118</v>
      </c>
      <c r="F241" s="1">
        <v>2014</v>
      </c>
    </row>
    <row r="242" spans="1:6" x14ac:dyDescent="0.35">
      <c r="A242" s="1" t="s">
        <v>343</v>
      </c>
      <c r="B242" s="1" t="s">
        <v>344</v>
      </c>
      <c r="C242" s="1" t="s">
        <v>11</v>
      </c>
      <c r="D242" s="1">
        <v>3.4</v>
      </c>
      <c r="E242" s="1">
        <v>42995</v>
      </c>
      <c r="F242" s="1">
        <v>2003</v>
      </c>
    </row>
    <row r="243" spans="1:6" x14ac:dyDescent="0.35">
      <c r="A243" s="1" t="s">
        <v>51</v>
      </c>
      <c r="B243" s="1" t="s">
        <v>52</v>
      </c>
      <c r="C243" s="1" t="s">
        <v>53</v>
      </c>
      <c r="D243" s="1">
        <v>1.4</v>
      </c>
      <c r="E243" s="1">
        <v>42954</v>
      </c>
      <c r="F243" s="1">
        <v>2015</v>
      </c>
    </row>
    <row r="244" spans="1:6" x14ac:dyDescent="0.35">
      <c r="A244" s="1" t="s">
        <v>1708</v>
      </c>
      <c r="B244" s="1" t="s">
        <v>1709</v>
      </c>
      <c r="C244" s="1" t="s">
        <v>1710</v>
      </c>
      <c r="D244" s="1">
        <v>5</v>
      </c>
      <c r="E244" s="1">
        <v>42360</v>
      </c>
      <c r="F244" s="1">
        <v>2015</v>
      </c>
    </row>
    <row r="245" spans="1:6" x14ac:dyDescent="0.35">
      <c r="A245" s="1" t="s">
        <v>1898</v>
      </c>
      <c r="B245" s="1" t="s">
        <v>1899</v>
      </c>
      <c r="C245" s="1" t="s">
        <v>1900</v>
      </c>
      <c r="D245" s="1">
        <v>5.0999999999999996</v>
      </c>
      <c r="E245" s="1">
        <v>42213</v>
      </c>
      <c r="F245" s="1">
        <v>2005</v>
      </c>
    </row>
    <row r="246" spans="1:6" x14ac:dyDescent="0.35">
      <c r="A246" s="1" t="s">
        <v>844</v>
      </c>
      <c r="B246" s="1" t="s">
        <v>845</v>
      </c>
      <c r="C246" s="1" t="s">
        <v>846</v>
      </c>
      <c r="D246" s="1">
        <v>4.4000000000000004</v>
      </c>
      <c r="E246" s="1">
        <v>42107</v>
      </c>
      <c r="F246" s="1">
        <v>2006</v>
      </c>
    </row>
    <row r="247" spans="1:6" x14ac:dyDescent="0.35">
      <c r="A247" s="1" t="s">
        <v>847</v>
      </c>
      <c r="B247" s="1" t="s">
        <v>848</v>
      </c>
      <c r="C247" s="1" t="s">
        <v>146</v>
      </c>
      <c r="D247" s="1">
        <v>4.4000000000000004</v>
      </c>
      <c r="E247" s="1">
        <v>41993</v>
      </c>
      <c r="F247" s="1">
        <v>2015</v>
      </c>
    </row>
    <row r="248" spans="1:6" x14ac:dyDescent="0.35">
      <c r="A248" s="1" t="s">
        <v>1355</v>
      </c>
      <c r="B248" s="1" t="s">
        <v>1356</v>
      </c>
      <c r="C248" s="1" t="s">
        <v>584</v>
      </c>
      <c r="D248" s="1">
        <v>4.8</v>
      </c>
      <c r="E248" s="1">
        <v>41990</v>
      </c>
      <c r="F248" s="1">
        <v>2011</v>
      </c>
    </row>
    <row r="249" spans="1:6" x14ac:dyDescent="0.35">
      <c r="A249" s="1" t="s">
        <v>1901</v>
      </c>
      <c r="B249" s="1" t="s">
        <v>1902</v>
      </c>
      <c r="C249" s="1" t="s">
        <v>11</v>
      </c>
      <c r="D249" s="1">
        <v>5.0999999999999996</v>
      </c>
      <c r="E249" s="1">
        <v>41961</v>
      </c>
      <c r="F249" s="1">
        <v>2022</v>
      </c>
    </row>
    <row r="250" spans="1:6" x14ac:dyDescent="0.35">
      <c r="A250" s="1" t="s">
        <v>1711</v>
      </c>
      <c r="B250" s="1" t="s">
        <v>1712</v>
      </c>
      <c r="C250" s="1" t="s">
        <v>146</v>
      </c>
      <c r="D250" s="1">
        <v>5</v>
      </c>
      <c r="E250" s="1">
        <v>41785</v>
      </c>
      <c r="F250" s="1">
        <v>2014</v>
      </c>
    </row>
    <row r="251" spans="1:6" x14ac:dyDescent="0.35">
      <c r="A251" s="1" t="s">
        <v>593</v>
      </c>
      <c r="B251" s="1" t="s">
        <v>594</v>
      </c>
      <c r="C251" s="1" t="s">
        <v>125</v>
      </c>
      <c r="D251" s="1">
        <v>4</v>
      </c>
      <c r="E251" s="1">
        <v>41243</v>
      </c>
      <c r="F251" s="1">
        <v>2023</v>
      </c>
    </row>
    <row r="252" spans="1:6" x14ac:dyDescent="0.35">
      <c r="A252" s="1" t="s">
        <v>531</v>
      </c>
      <c r="B252" s="1" t="s">
        <v>532</v>
      </c>
      <c r="C252" s="1" t="s">
        <v>98</v>
      </c>
      <c r="D252" s="1">
        <v>3.9</v>
      </c>
      <c r="E252" s="1">
        <v>41105</v>
      </c>
      <c r="F252" s="1">
        <v>1957</v>
      </c>
    </row>
    <row r="253" spans="1:6" x14ac:dyDescent="0.35">
      <c r="A253" s="1" t="s">
        <v>849</v>
      </c>
      <c r="B253" s="1" t="s">
        <v>850</v>
      </c>
      <c r="C253" s="1" t="s">
        <v>217</v>
      </c>
      <c r="D253" s="1">
        <v>4.4000000000000004</v>
      </c>
      <c r="E253" s="1">
        <v>40753</v>
      </c>
      <c r="F253" s="1">
        <v>2011</v>
      </c>
    </row>
    <row r="254" spans="1:6" x14ac:dyDescent="0.35">
      <c r="A254" s="1" t="s">
        <v>595</v>
      </c>
      <c r="B254" s="1" t="s">
        <v>596</v>
      </c>
      <c r="C254" s="1" t="s">
        <v>597</v>
      </c>
      <c r="D254" s="1">
        <v>4</v>
      </c>
      <c r="E254" s="1">
        <v>40658</v>
      </c>
      <c r="F254" s="1">
        <v>2000</v>
      </c>
    </row>
    <row r="255" spans="1:6" x14ac:dyDescent="0.35">
      <c r="A255" s="1" t="s">
        <v>54</v>
      </c>
      <c r="B255" s="1" t="s">
        <v>55</v>
      </c>
      <c r="C255" s="1" t="s">
        <v>56</v>
      </c>
      <c r="D255" s="1">
        <v>1.5</v>
      </c>
      <c r="E255" s="1">
        <v>40625</v>
      </c>
      <c r="F255" s="1">
        <v>2021</v>
      </c>
    </row>
    <row r="256" spans="1:6" x14ac:dyDescent="0.35">
      <c r="A256" s="1" t="s">
        <v>1903</v>
      </c>
      <c r="B256" s="1" t="s">
        <v>1904</v>
      </c>
      <c r="C256" s="1" t="s">
        <v>175</v>
      </c>
      <c r="D256" s="1">
        <v>5.0999999999999996</v>
      </c>
      <c r="E256" s="1">
        <v>40491</v>
      </c>
      <c r="F256" s="1">
        <v>2004</v>
      </c>
    </row>
    <row r="257" spans="1:6" x14ac:dyDescent="0.35">
      <c r="A257" s="1" t="s">
        <v>29</v>
      </c>
      <c r="B257" s="1" t="s">
        <v>30</v>
      </c>
      <c r="C257" s="1" t="s">
        <v>31</v>
      </c>
      <c r="D257" s="1">
        <v>1.2</v>
      </c>
      <c r="E257" s="1">
        <v>40233</v>
      </c>
      <c r="F257" s="1">
        <v>2016</v>
      </c>
    </row>
    <row r="258" spans="1:6" x14ac:dyDescent="0.35">
      <c r="A258" s="1" t="s">
        <v>1357</v>
      </c>
      <c r="B258" s="1" t="s">
        <v>1358</v>
      </c>
      <c r="C258" s="1" t="s">
        <v>217</v>
      </c>
      <c r="D258" s="1">
        <v>4.8</v>
      </c>
      <c r="E258" s="1">
        <v>40156</v>
      </c>
      <c r="F258" s="1">
        <v>2000</v>
      </c>
    </row>
    <row r="259" spans="1:6" x14ac:dyDescent="0.35">
      <c r="A259" s="1" t="s">
        <v>1569</v>
      </c>
      <c r="B259" s="1" t="s">
        <v>1570</v>
      </c>
      <c r="C259" s="1" t="s">
        <v>294</v>
      </c>
      <c r="D259" s="1">
        <v>4.9000000000000004</v>
      </c>
      <c r="E259" s="1">
        <v>40151</v>
      </c>
      <c r="F259" s="1">
        <v>2012</v>
      </c>
    </row>
    <row r="260" spans="1:6" x14ac:dyDescent="0.35">
      <c r="A260" s="1" t="s">
        <v>191</v>
      </c>
      <c r="B260" s="1" t="s">
        <v>192</v>
      </c>
      <c r="C260" s="1" t="s">
        <v>193</v>
      </c>
      <c r="D260" s="1">
        <v>2.6</v>
      </c>
      <c r="E260" s="1">
        <v>40098</v>
      </c>
      <c r="F260" s="1">
        <v>2002</v>
      </c>
    </row>
    <row r="261" spans="1:6" x14ac:dyDescent="0.35">
      <c r="A261" s="1" t="s">
        <v>533</v>
      </c>
      <c r="B261" s="1" t="s">
        <v>534</v>
      </c>
      <c r="C261" s="1" t="s">
        <v>535</v>
      </c>
      <c r="D261" s="1">
        <v>3.9</v>
      </c>
      <c r="E261" s="1">
        <v>40065</v>
      </c>
      <c r="F261" s="1">
        <v>2018</v>
      </c>
    </row>
    <row r="262" spans="1:6" x14ac:dyDescent="0.35">
      <c r="A262" s="1" t="s">
        <v>1905</v>
      </c>
      <c r="B262" s="1" t="s">
        <v>1906</v>
      </c>
      <c r="C262" s="1" t="s">
        <v>208</v>
      </c>
      <c r="D262" s="1">
        <v>5.0999999999999996</v>
      </c>
      <c r="E262" s="1">
        <v>40049</v>
      </c>
      <c r="F262" s="1">
        <v>2020</v>
      </c>
    </row>
    <row r="263" spans="1:6" x14ac:dyDescent="0.35">
      <c r="A263" s="1" t="s">
        <v>446</v>
      </c>
      <c r="B263" s="1" t="s">
        <v>447</v>
      </c>
      <c r="C263" s="1" t="s">
        <v>448</v>
      </c>
      <c r="D263" s="1">
        <v>3.7</v>
      </c>
      <c r="E263" s="1">
        <v>39839</v>
      </c>
      <c r="F263" s="1">
        <v>2005</v>
      </c>
    </row>
    <row r="264" spans="1:6" x14ac:dyDescent="0.35">
      <c r="A264" s="1" t="s">
        <v>323</v>
      </c>
      <c r="B264" s="1" t="s">
        <v>324</v>
      </c>
      <c r="C264" s="1" t="s">
        <v>175</v>
      </c>
      <c r="D264" s="1">
        <v>3.3</v>
      </c>
      <c r="E264" s="1">
        <v>39628</v>
      </c>
      <c r="F264" s="1">
        <v>2018</v>
      </c>
    </row>
    <row r="265" spans="1:6" x14ac:dyDescent="0.35">
      <c r="A265" s="1" t="s">
        <v>9</v>
      </c>
      <c r="B265" s="1" t="s">
        <v>10</v>
      </c>
      <c r="C265" s="1" t="s">
        <v>11</v>
      </c>
      <c r="D265" s="1">
        <v>1</v>
      </c>
      <c r="E265" s="1">
        <v>39466</v>
      </c>
      <c r="F265" s="1">
        <v>2017</v>
      </c>
    </row>
    <row r="266" spans="1:6" x14ac:dyDescent="0.35">
      <c r="A266" s="1" t="s">
        <v>1907</v>
      </c>
      <c r="B266" s="1" t="s">
        <v>1908</v>
      </c>
      <c r="C266" s="1" t="s">
        <v>125</v>
      </c>
      <c r="D266" s="1">
        <v>5.0999999999999996</v>
      </c>
      <c r="E266" s="1">
        <v>39407</v>
      </c>
      <c r="F266" s="1">
        <v>2015</v>
      </c>
    </row>
    <row r="267" spans="1:6" x14ac:dyDescent="0.35">
      <c r="A267" s="1" t="s">
        <v>114</v>
      </c>
      <c r="B267" s="1" t="s">
        <v>115</v>
      </c>
      <c r="C267" s="1" t="s">
        <v>116</v>
      </c>
      <c r="D267" s="1">
        <v>2</v>
      </c>
      <c r="E267" s="1">
        <v>39296</v>
      </c>
      <c r="F267" s="1">
        <v>2008</v>
      </c>
    </row>
    <row r="268" spans="1:6" x14ac:dyDescent="0.35">
      <c r="A268" s="1" t="s">
        <v>1049</v>
      </c>
      <c r="B268" s="1" t="s">
        <v>1050</v>
      </c>
      <c r="C268" s="1" t="s">
        <v>109</v>
      </c>
      <c r="D268" s="1">
        <v>4.5999999999999996</v>
      </c>
      <c r="E268" s="1">
        <v>39219</v>
      </c>
      <c r="F268" s="1">
        <v>1982</v>
      </c>
    </row>
    <row r="269" spans="1:6" x14ac:dyDescent="0.35">
      <c r="A269" s="1" t="s">
        <v>1051</v>
      </c>
      <c r="B269" s="1" t="s">
        <v>1052</v>
      </c>
      <c r="C269" s="1" t="s">
        <v>214</v>
      </c>
      <c r="D269" s="1">
        <v>4.5999999999999996</v>
      </c>
      <c r="E269" s="1">
        <v>39029</v>
      </c>
      <c r="F269" s="1">
        <v>1988</v>
      </c>
    </row>
    <row r="270" spans="1:6" x14ac:dyDescent="0.35">
      <c r="A270" s="1" t="s">
        <v>1713</v>
      </c>
      <c r="B270" s="1" t="s">
        <v>1714</v>
      </c>
      <c r="C270" s="1" t="s">
        <v>571</v>
      </c>
      <c r="D270" s="1">
        <v>5</v>
      </c>
      <c r="E270" s="1">
        <v>38974</v>
      </c>
      <c r="F270" s="1">
        <v>2012</v>
      </c>
    </row>
    <row r="271" spans="1:6" x14ac:dyDescent="0.35">
      <c r="A271" s="1" t="s">
        <v>120</v>
      </c>
      <c r="B271" s="1" t="s">
        <v>121</v>
      </c>
      <c r="C271" s="1" t="s">
        <v>122</v>
      </c>
      <c r="D271" s="1">
        <v>2.1</v>
      </c>
      <c r="E271" s="1">
        <v>38962</v>
      </c>
      <c r="F271" s="1">
        <v>2003</v>
      </c>
    </row>
    <row r="272" spans="1:6" x14ac:dyDescent="0.35">
      <c r="A272" s="1" t="s">
        <v>536</v>
      </c>
      <c r="B272" s="1" t="s">
        <v>537</v>
      </c>
      <c r="C272" s="1" t="s">
        <v>76</v>
      </c>
      <c r="D272" s="1">
        <v>3.9</v>
      </c>
      <c r="E272" s="1">
        <v>38624</v>
      </c>
      <c r="F272" s="1">
        <v>2008</v>
      </c>
    </row>
    <row r="273" spans="1:6" x14ac:dyDescent="0.35">
      <c r="A273" s="1" t="s">
        <v>538</v>
      </c>
      <c r="B273" s="1" t="s">
        <v>539</v>
      </c>
      <c r="C273" s="1" t="s">
        <v>163</v>
      </c>
      <c r="D273" s="1">
        <v>3.9</v>
      </c>
      <c r="E273" s="1">
        <v>38451</v>
      </c>
      <c r="F273" s="1">
        <v>2024</v>
      </c>
    </row>
    <row r="274" spans="1:6" x14ac:dyDescent="0.35">
      <c r="A274" s="1" t="s">
        <v>2176</v>
      </c>
      <c r="B274" s="1" t="s">
        <v>2177</v>
      </c>
      <c r="C274" s="1" t="s">
        <v>291</v>
      </c>
      <c r="D274" s="1">
        <v>5.2</v>
      </c>
      <c r="E274" s="1">
        <v>38239</v>
      </c>
      <c r="F274" s="1">
        <v>2008</v>
      </c>
    </row>
    <row r="275" spans="1:6" x14ac:dyDescent="0.35">
      <c r="A275" s="1" t="s">
        <v>449</v>
      </c>
      <c r="B275" s="1" t="s">
        <v>450</v>
      </c>
      <c r="C275" s="1" t="s">
        <v>291</v>
      </c>
      <c r="D275" s="1">
        <v>3.7</v>
      </c>
      <c r="E275" s="1">
        <v>38236</v>
      </c>
      <c r="F275" s="1">
        <v>1997</v>
      </c>
    </row>
    <row r="276" spans="1:6" x14ac:dyDescent="0.35">
      <c r="A276" s="1" t="s">
        <v>2178</v>
      </c>
      <c r="B276" s="1" t="s">
        <v>2179</v>
      </c>
      <c r="C276" s="1" t="s">
        <v>175</v>
      </c>
      <c r="D276" s="1">
        <v>5.2</v>
      </c>
      <c r="E276" s="1">
        <v>38126</v>
      </c>
      <c r="F276" s="1">
        <v>2008</v>
      </c>
    </row>
    <row r="277" spans="1:6" x14ac:dyDescent="0.35">
      <c r="A277" s="1" t="s">
        <v>1359</v>
      </c>
      <c r="B277" s="1" t="s">
        <v>1360</v>
      </c>
      <c r="C277" s="1" t="s">
        <v>211</v>
      </c>
      <c r="D277" s="1">
        <v>4.8</v>
      </c>
      <c r="E277" s="1">
        <v>38080</v>
      </c>
      <c r="F277" s="1">
        <v>2016</v>
      </c>
    </row>
    <row r="278" spans="1:6" x14ac:dyDescent="0.35">
      <c r="A278" s="1" t="s">
        <v>637</v>
      </c>
      <c r="B278" s="1" t="s">
        <v>638</v>
      </c>
      <c r="C278" s="1" t="s">
        <v>639</v>
      </c>
      <c r="D278" s="1">
        <v>4.0999999999999996</v>
      </c>
      <c r="E278" s="1">
        <v>38080</v>
      </c>
      <c r="F278" s="1">
        <v>1993</v>
      </c>
    </row>
    <row r="279" spans="1:6" x14ac:dyDescent="0.35">
      <c r="A279" s="1" t="s">
        <v>1200</v>
      </c>
      <c r="B279" s="1" t="s">
        <v>1201</v>
      </c>
      <c r="C279" s="1" t="s">
        <v>178</v>
      </c>
      <c r="D279" s="1">
        <v>4.7</v>
      </c>
      <c r="E279" s="1">
        <v>37988</v>
      </c>
      <c r="F279" s="1">
        <v>2017</v>
      </c>
    </row>
    <row r="280" spans="1:6" x14ac:dyDescent="0.35">
      <c r="A280" s="1" t="s">
        <v>698</v>
      </c>
      <c r="B280" s="1" t="s">
        <v>699</v>
      </c>
      <c r="C280" s="1" t="s">
        <v>76</v>
      </c>
      <c r="D280" s="1">
        <v>4.2</v>
      </c>
      <c r="E280" s="1">
        <v>37863</v>
      </c>
      <c r="F280" s="1">
        <v>2012</v>
      </c>
    </row>
    <row r="281" spans="1:6" x14ac:dyDescent="0.35">
      <c r="A281" s="1" t="s">
        <v>74</v>
      </c>
      <c r="B281" s="1" t="s">
        <v>75</v>
      </c>
      <c r="C281" s="1" t="s">
        <v>76</v>
      </c>
      <c r="D281" s="1">
        <v>1.7</v>
      </c>
      <c r="E281" s="1">
        <v>37830</v>
      </c>
      <c r="F281" s="1">
        <v>1966</v>
      </c>
    </row>
    <row r="282" spans="1:6" x14ac:dyDescent="0.35">
      <c r="A282" s="1" t="s">
        <v>325</v>
      </c>
      <c r="B282" s="1" t="s">
        <v>326</v>
      </c>
      <c r="C282" s="1" t="s">
        <v>82</v>
      </c>
      <c r="D282" s="1">
        <v>3.3</v>
      </c>
      <c r="E282" s="1">
        <v>37715</v>
      </c>
      <c r="F282" s="1">
        <v>2018</v>
      </c>
    </row>
    <row r="283" spans="1:6" x14ac:dyDescent="0.35">
      <c r="A283" s="1" t="s">
        <v>949</v>
      </c>
      <c r="B283" s="1" t="s">
        <v>950</v>
      </c>
      <c r="C283" s="1" t="s">
        <v>951</v>
      </c>
      <c r="D283" s="1">
        <v>4.5</v>
      </c>
      <c r="E283" s="1">
        <v>37695</v>
      </c>
      <c r="F283" s="1">
        <v>2006</v>
      </c>
    </row>
    <row r="284" spans="1:6" x14ac:dyDescent="0.35">
      <c r="A284" s="1" t="s">
        <v>265</v>
      </c>
      <c r="B284" s="1" t="s">
        <v>266</v>
      </c>
      <c r="C284" s="1" t="s">
        <v>267</v>
      </c>
      <c r="D284" s="1">
        <v>3</v>
      </c>
      <c r="E284" s="1">
        <v>37559</v>
      </c>
      <c r="F284" s="1">
        <v>2005</v>
      </c>
    </row>
    <row r="285" spans="1:6" x14ac:dyDescent="0.35">
      <c r="A285" s="1" t="s">
        <v>1909</v>
      </c>
      <c r="B285" s="1" t="s">
        <v>1910</v>
      </c>
      <c r="C285" s="1" t="s">
        <v>178</v>
      </c>
      <c r="D285" s="1">
        <v>5.0999999999999996</v>
      </c>
      <c r="E285" s="1">
        <v>37534</v>
      </c>
      <c r="F285" s="1">
        <v>2003</v>
      </c>
    </row>
    <row r="286" spans="1:6" x14ac:dyDescent="0.35">
      <c r="A286" s="1" t="s">
        <v>2180</v>
      </c>
      <c r="B286" s="1" t="s">
        <v>2181</v>
      </c>
      <c r="C286" s="1" t="s">
        <v>56</v>
      </c>
      <c r="D286" s="1">
        <v>5.2</v>
      </c>
      <c r="E286" s="1">
        <v>37384</v>
      </c>
      <c r="F286" s="1">
        <v>2000</v>
      </c>
    </row>
    <row r="287" spans="1:6" x14ac:dyDescent="0.35">
      <c r="A287" s="1" t="s">
        <v>2182</v>
      </c>
      <c r="B287" s="1" t="s">
        <v>2183</v>
      </c>
      <c r="C287" s="1" t="s">
        <v>146</v>
      </c>
      <c r="D287" s="1">
        <v>5.2</v>
      </c>
      <c r="E287" s="1">
        <v>37368</v>
      </c>
      <c r="F287" s="1">
        <v>2022</v>
      </c>
    </row>
    <row r="288" spans="1:6" x14ac:dyDescent="0.35">
      <c r="A288" s="1" t="s">
        <v>2184</v>
      </c>
      <c r="B288" s="1" t="s">
        <v>2185</v>
      </c>
      <c r="C288" s="1" t="s">
        <v>50</v>
      </c>
      <c r="D288" s="1">
        <v>5.2</v>
      </c>
      <c r="E288" s="1">
        <v>37266</v>
      </c>
      <c r="F288" s="1">
        <v>2007</v>
      </c>
    </row>
    <row r="289" spans="1:6" x14ac:dyDescent="0.35">
      <c r="A289" s="1" t="s">
        <v>1571</v>
      </c>
      <c r="B289" s="1" t="s">
        <v>1572</v>
      </c>
      <c r="C289" s="1" t="s">
        <v>267</v>
      </c>
      <c r="D289" s="1">
        <v>4.9000000000000004</v>
      </c>
      <c r="E289" s="1">
        <v>37216</v>
      </c>
      <c r="F289" s="1">
        <v>2000</v>
      </c>
    </row>
    <row r="290" spans="1:6" x14ac:dyDescent="0.35">
      <c r="A290" s="1" t="s">
        <v>1361</v>
      </c>
      <c r="B290" s="1" t="s">
        <v>1362</v>
      </c>
      <c r="C290" s="1" t="s">
        <v>62</v>
      </c>
      <c r="D290" s="1">
        <v>4.8</v>
      </c>
      <c r="E290" s="1">
        <v>37206</v>
      </c>
      <c r="F290" s="1">
        <v>1997</v>
      </c>
    </row>
    <row r="291" spans="1:6" x14ac:dyDescent="0.35">
      <c r="A291" s="1" t="s">
        <v>1363</v>
      </c>
      <c r="B291" s="1" t="s">
        <v>1364</v>
      </c>
      <c r="C291" s="1" t="s">
        <v>178</v>
      </c>
      <c r="D291" s="1">
        <v>4.8</v>
      </c>
      <c r="E291" s="1">
        <v>37029</v>
      </c>
      <c r="F291" s="1">
        <v>1993</v>
      </c>
    </row>
    <row r="292" spans="1:6" x14ac:dyDescent="0.35">
      <c r="A292" s="1" t="s">
        <v>1715</v>
      </c>
      <c r="B292" s="1" t="s">
        <v>1716</v>
      </c>
      <c r="C292" s="1" t="s">
        <v>146</v>
      </c>
      <c r="D292" s="1">
        <v>5</v>
      </c>
      <c r="E292" s="1">
        <v>36822</v>
      </c>
      <c r="F292" s="1">
        <v>2022</v>
      </c>
    </row>
    <row r="293" spans="1:6" x14ac:dyDescent="0.35">
      <c r="A293" s="1" t="s">
        <v>1365</v>
      </c>
      <c r="B293" s="1" t="s">
        <v>1366</v>
      </c>
      <c r="C293" s="1" t="s">
        <v>560</v>
      </c>
      <c r="D293" s="1">
        <v>4.8</v>
      </c>
      <c r="E293" s="1">
        <v>36718</v>
      </c>
      <c r="F293" s="1">
        <v>2019</v>
      </c>
    </row>
    <row r="294" spans="1:6" x14ac:dyDescent="0.35">
      <c r="A294" s="1" t="s">
        <v>368</v>
      </c>
      <c r="B294" s="1" t="s">
        <v>369</v>
      </c>
      <c r="C294" s="1" t="s">
        <v>214</v>
      </c>
      <c r="D294" s="1">
        <v>3.5</v>
      </c>
      <c r="E294" s="1">
        <v>36715</v>
      </c>
      <c r="F294" s="1">
        <v>1994</v>
      </c>
    </row>
    <row r="295" spans="1:6" x14ac:dyDescent="0.35">
      <c r="A295" s="1" t="s">
        <v>451</v>
      </c>
      <c r="B295" s="1" t="s">
        <v>452</v>
      </c>
      <c r="C295" s="1" t="s">
        <v>166</v>
      </c>
      <c r="D295" s="1">
        <v>3.7</v>
      </c>
      <c r="E295" s="1">
        <v>36690</v>
      </c>
      <c r="F295" s="1">
        <v>2000</v>
      </c>
    </row>
    <row r="296" spans="1:6" x14ac:dyDescent="0.35">
      <c r="A296" s="1" t="s">
        <v>1053</v>
      </c>
      <c r="B296" s="1" t="s">
        <v>1054</v>
      </c>
      <c r="C296" s="1" t="s">
        <v>76</v>
      </c>
      <c r="D296" s="1">
        <v>4.5999999999999996</v>
      </c>
      <c r="E296" s="1">
        <v>36499</v>
      </c>
      <c r="F296" s="1">
        <v>2011</v>
      </c>
    </row>
    <row r="297" spans="1:6" x14ac:dyDescent="0.35">
      <c r="A297" s="1" t="s">
        <v>1367</v>
      </c>
      <c r="B297" s="1" t="s">
        <v>1368</v>
      </c>
      <c r="C297" s="1" t="s">
        <v>125</v>
      </c>
      <c r="D297" s="1">
        <v>4.8</v>
      </c>
      <c r="E297" s="1">
        <v>36320</v>
      </c>
      <c r="F297" s="1">
        <v>2006</v>
      </c>
    </row>
    <row r="298" spans="1:6" x14ac:dyDescent="0.35">
      <c r="A298" s="1" t="s">
        <v>1911</v>
      </c>
      <c r="B298" s="1" t="s">
        <v>1912</v>
      </c>
      <c r="C298" s="1" t="s">
        <v>178</v>
      </c>
      <c r="D298" s="1">
        <v>5.0999999999999996</v>
      </c>
      <c r="E298" s="1">
        <v>36282</v>
      </c>
      <c r="F298" s="1">
        <v>1996</v>
      </c>
    </row>
    <row r="299" spans="1:6" x14ac:dyDescent="0.35">
      <c r="A299" s="1" t="s">
        <v>2186</v>
      </c>
      <c r="B299" s="1" t="s">
        <v>2187</v>
      </c>
      <c r="C299" s="1" t="s">
        <v>1778</v>
      </c>
      <c r="D299" s="1">
        <v>5.2</v>
      </c>
      <c r="E299" s="1">
        <v>36196</v>
      </c>
      <c r="F299" s="1">
        <v>2016</v>
      </c>
    </row>
    <row r="300" spans="1:6" x14ac:dyDescent="0.35">
      <c r="A300" s="1" t="s">
        <v>1055</v>
      </c>
      <c r="B300" s="1" t="s">
        <v>1056</v>
      </c>
      <c r="C300" s="1" t="s">
        <v>474</v>
      </c>
      <c r="D300" s="1">
        <v>4.5999999999999996</v>
      </c>
      <c r="E300" s="1">
        <v>36082</v>
      </c>
      <c r="F300" s="1">
        <v>1996</v>
      </c>
    </row>
    <row r="301" spans="1:6" x14ac:dyDescent="0.35">
      <c r="A301" s="1" t="s">
        <v>540</v>
      </c>
      <c r="B301" s="1" t="s">
        <v>541</v>
      </c>
      <c r="C301" s="1" t="s">
        <v>462</v>
      </c>
      <c r="D301" s="1">
        <v>3.9</v>
      </c>
      <c r="E301" s="1">
        <v>36065</v>
      </c>
      <c r="F301" s="1">
        <v>2018</v>
      </c>
    </row>
    <row r="302" spans="1:6" x14ac:dyDescent="0.35">
      <c r="A302" s="1" t="s">
        <v>2188</v>
      </c>
      <c r="B302" s="1" t="s">
        <v>2189</v>
      </c>
      <c r="C302" s="1" t="s">
        <v>462</v>
      </c>
      <c r="D302" s="1">
        <v>5.2</v>
      </c>
      <c r="E302" s="1">
        <v>35728</v>
      </c>
      <c r="F302" s="1">
        <v>2012</v>
      </c>
    </row>
    <row r="303" spans="1:6" x14ac:dyDescent="0.35">
      <c r="A303" s="1" t="s">
        <v>1913</v>
      </c>
      <c r="B303" s="1" t="s">
        <v>1914</v>
      </c>
      <c r="C303" s="1" t="s">
        <v>1098</v>
      </c>
      <c r="D303" s="1">
        <v>5.0999999999999996</v>
      </c>
      <c r="E303" s="1">
        <v>35718</v>
      </c>
      <c r="F303" s="1">
        <v>2005</v>
      </c>
    </row>
    <row r="304" spans="1:6" x14ac:dyDescent="0.35">
      <c r="A304" s="1" t="s">
        <v>268</v>
      </c>
      <c r="B304" s="1" t="s">
        <v>269</v>
      </c>
      <c r="C304" s="1" t="s">
        <v>270</v>
      </c>
      <c r="D304" s="1">
        <v>3</v>
      </c>
      <c r="E304" s="1">
        <v>35335</v>
      </c>
      <c r="F304" s="1">
        <v>1990</v>
      </c>
    </row>
    <row r="305" spans="1:6" x14ac:dyDescent="0.35">
      <c r="A305" s="1" t="s">
        <v>1573</v>
      </c>
      <c r="B305" s="1" t="s">
        <v>1574</v>
      </c>
      <c r="C305" s="1" t="s">
        <v>146</v>
      </c>
      <c r="D305" s="1">
        <v>4.9000000000000004</v>
      </c>
      <c r="E305" s="1">
        <v>35175</v>
      </c>
      <c r="F305" s="1">
        <v>1998</v>
      </c>
    </row>
    <row r="306" spans="1:6" x14ac:dyDescent="0.35">
      <c r="A306" s="1" t="s">
        <v>1369</v>
      </c>
      <c r="B306" s="1" t="s">
        <v>1370</v>
      </c>
      <c r="C306" s="1" t="s">
        <v>217</v>
      </c>
      <c r="D306" s="1">
        <v>4.8</v>
      </c>
      <c r="E306" s="1">
        <v>35096</v>
      </c>
      <c r="F306" s="1">
        <v>2005</v>
      </c>
    </row>
    <row r="307" spans="1:6" x14ac:dyDescent="0.35">
      <c r="A307" s="1" t="s">
        <v>1717</v>
      </c>
      <c r="B307" s="1" t="s">
        <v>1718</v>
      </c>
      <c r="C307" s="1" t="s">
        <v>143</v>
      </c>
      <c r="D307" s="1">
        <v>5</v>
      </c>
      <c r="E307" s="1">
        <v>35093</v>
      </c>
      <c r="F307" s="1">
        <v>1989</v>
      </c>
    </row>
    <row r="308" spans="1:6" x14ac:dyDescent="0.35">
      <c r="A308" s="1" t="s">
        <v>247</v>
      </c>
      <c r="B308" s="1" t="s">
        <v>248</v>
      </c>
      <c r="C308" s="1" t="s">
        <v>249</v>
      </c>
      <c r="D308" s="1">
        <v>2.9</v>
      </c>
      <c r="E308" s="1">
        <v>34925</v>
      </c>
      <c r="F308" s="1">
        <v>2011</v>
      </c>
    </row>
    <row r="309" spans="1:6" x14ac:dyDescent="0.35">
      <c r="A309" s="1" t="s">
        <v>1719</v>
      </c>
      <c r="B309" s="1" t="s">
        <v>1720</v>
      </c>
      <c r="C309" s="1" t="s">
        <v>682</v>
      </c>
      <c r="D309" s="1">
        <v>5</v>
      </c>
      <c r="E309" s="1">
        <v>34756</v>
      </c>
      <c r="F309" s="1">
        <v>2009</v>
      </c>
    </row>
    <row r="310" spans="1:6" x14ac:dyDescent="0.35">
      <c r="A310" s="1" t="s">
        <v>1202</v>
      </c>
      <c r="B310" s="1" t="s">
        <v>1203</v>
      </c>
      <c r="C310" s="1" t="s">
        <v>1204</v>
      </c>
      <c r="D310" s="1">
        <v>4.7</v>
      </c>
      <c r="E310" s="1">
        <v>34737</v>
      </c>
      <c r="F310" s="1">
        <v>2011</v>
      </c>
    </row>
    <row r="311" spans="1:6" x14ac:dyDescent="0.35">
      <c r="A311" s="1" t="s">
        <v>1915</v>
      </c>
      <c r="B311" s="1" t="s">
        <v>1916</v>
      </c>
      <c r="C311" s="1" t="s">
        <v>31</v>
      </c>
      <c r="D311" s="1">
        <v>5.0999999999999996</v>
      </c>
      <c r="E311" s="1">
        <v>34730</v>
      </c>
      <c r="F311" s="1">
        <v>1993</v>
      </c>
    </row>
    <row r="312" spans="1:6" x14ac:dyDescent="0.35">
      <c r="A312" s="1" t="s">
        <v>1057</v>
      </c>
      <c r="B312" s="1" t="s">
        <v>1058</v>
      </c>
      <c r="C312" s="1" t="s">
        <v>1059</v>
      </c>
      <c r="D312" s="1">
        <v>4.5999999999999996</v>
      </c>
      <c r="E312" s="1">
        <v>34690</v>
      </c>
      <c r="F312" s="1">
        <v>1994</v>
      </c>
    </row>
    <row r="313" spans="1:6" x14ac:dyDescent="0.35">
      <c r="A313" s="1" t="s">
        <v>1205</v>
      </c>
      <c r="B313" s="1" t="s">
        <v>1206</v>
      </c>
      <c r="C313" s="1" t="s">
        <v>122</v>
      </c>
      <c r="D313" s="1">
        <v>4.7</v>
      </c>
      <c r="E313" s="1">
        <v>34619</v>
      </c>
      <c r="F313" s="1">
        <v>2004</v>
      </c>
    </row>
    <row r="314" spans="1:6" x14ac:dyDescent="0.35">
      <c r="A314" s="1" t="s">
        <v>952</v>
      </c>
      <c r="B314" s="1" t="s">
        <v>953</v>
      </c>
      <c r="C314" s="1" t="s">
        <v>568</v>
      </c>
      <c r="D314" s="1">
        <v>4.5</v>
      </c>
      <c r="E314" s="1">
        <v>34529</v>
      </c>
      <c r="F314" s="1">
        <v>2024</v>
      </c>
    </row>
    <row r="315" spans="1:6" x14ac:dyDescent="0.35">
      <c r="A315" s="1" t="s">
        <v>1721</v>
      </c>
      <c r="B315" s="1" t="s">
        <v>1722</v>
      </c>
      <c r="C315" s="1" t="s">
        <v>915</v>
      </c>
      <c r="D315" s="1">
        <v>5</v>
      </c>
      <c r="E315" s="1">
        <v>34517</v>
      </c>
      <c r="F315" s="1">
        <v>2006</v>
      </c>
    </row>
    <row r="316" spans="1:6" x14ac:dyDescent="0.35">
      <c r="A316" s="1" t="s">
        <v>598</v>
      </c>
      <c r="B316" s="1" t="s">
        <v>599</v>
      </c>
      <c r="C316" s="1" t="s">
        <v>448</v>
      </c>
      <c r="D316" s="1">
        <v>4</v>
      </c>
      <c r="E316" s="1">
        <v>34414</v>
      </c>
      <c r="F316" s="1">
        <v>2008</v>
      </c>
    </row>
    <row r="317" spans="1:6" x14ac:dyDescent="0.35">
      <c r="A317" s="1" t="s">
        <v>954</v>
      </c>
      <c r="B317" s="1" t="s">
        <v>955</v>
      </c>
      <c r="C317" s="1" t="s">
        <v>178</v>
      </c>
      <c r="D317" s="1">
        <v>4.5</v>
      </c>
      <c r="E317" s="1">
        <v>34299</v>
      </c>
      <c r="F317" s="1">
        <v>2003</v>
      </c>
    </row>
    <row r="318" spans="1:6" x14ac:dyDescent="0.35">
      <c r="A318" s="1" t="s">
        <v>1917</v>
      </c>
      <c r="B318" s="1" t="s">
        <v>1918</v>
      </c>
      <c r="C318" s="1" t="s">
        <v>549</v>
      </c>
      <c r="D318" s="1">
        <v>5.0999999999999996</v>
      </c>
      <c r="E318" s="1">
        <v>34036</v>
      </c>
      <c r="F318" s="1">
        <v>1992</v>
      </c>
    </row>
    <row r="319" spans="1:6" x14ac:dyDescent="0.35">
      <c r="A319" s="1" t="s">
        <v>1723</v>
      </c>
      <c r="B319" s="1" t="s">
        <v>1724</v>
      </c>
      <c r="C319" s="1" t="s">
        <v>915</v>
      </c>
      <c r="D319" s="1">
        <v>5</v>
      </c>
      <c r="E319" s="1">
        <v>33993</v>
      </c>
      <c r="F319" s="1">
        <v>2003</v>
      </c>
    </row>
    <row r="320" spans="1:6" x14ac:dyDescent="0.35">
      <c r="A320" s="1" t="s">
        <v>1371</v>
      </c>
      <c r="B320" s="1" t="s">
        <v>1372</v>
      </c>
      <c r="C320" s="1" t="s">
        <v>933</v>
      </c>
      <c r="D320" s="1">
        <v>4.8</v>
      </c>
      <c r="E320" s="1">
        <v>33903</v>
      </c>
      <c r="F320" s="1">
        <v>2018</v>
      </c>
    </row>
    <row r="321" spans="1:6" x14ac:dyDescent="0.35">
      <c r="A321" s="1" t="s">
        <v>851</v>
      </c>
      <c r="B321" s="1" t="s">
        <v>852</v>
      </c>
      <c r="C321" s="1" t="s">
        <v>214</v>
      </c>
      <c r="D321" s="1">
        <v>4.4000000000000004</v>
      </c>
      <c r="E321" s="1">
        <v>33689</v>
      </c>
      <c r="F321" s="1">
        <v>1989</v>
      </c>
    </row>
    <row r="322" spans="1:6" x14ac:dyDescent="0.35">
      <c r="A322" s="1" t="s">
        <v>370</v>
      </c>
      <c r="B322" s="1" t="s">
        <v>371</v>
      </c>
      <c r="C322" s="1" t="s">
        <v>26</v>
      </c>
      <c r="D322" s="1">
        <v>3.5</v>
      </c>
      <c r="E322" s="1">
        <v>33641</v>
      </c>
      <c r="F322" s="1">
        <v>2017</v>
      </c>
    </row>
    <row r="323" spans="1:6" x14ac:dyDescent="0.35">
      <c r="A323" s="1" t="s">
        <v>1919</v>
      </c>
      <c r="B323" s="1" t="s">
        <v>1920</v>
      </c>
      <c r="C323" s="1" t="s">
        <v>44</v>
      </c>
      <c r="D323" s="1">
        <v>5.0999999999999996</v>
      </c>
      <c r="E323" s="1">
        <v>33518</v>
      </c>
      <c r="F323" s="1">
        <v>2012</v>
      </c>
    </row>
    <row r="324" spans="1:6" x14ac:dyDescent="0.35">
      <c r="A324" s="1" t="s">
        <v>1921</v>
      </c>
      <c r="B324" s="1" t="s">
        <v>1922</v>
      </c>
      <c r="C324" s="1" t="s">
        <v>44</v>
      </c>
      <c r="D324" s="1">
        <v>5.0999999999999996</v>
      </c>
      <c r="E324" s="1">
        <v>33502</v>
      </c>
      <c r="F324" s="1">
        <v>2006</v>
      </c>
    </row>
    <row r="325" spans="1:6" x14ac:dyDescent="0.35">
      <c r="A325" s="1" t="s">
        <v>2190</v>
      </c>
      <c r="B325" s="1" t="s">
        <v>2191</v>
      </c>
      <c r="C325" s="1" t="s">
        <v>217</v>
      </c>
      <c r="D325" s="1">
        <v>5.2</v>
      </c>
      <c r="E325" s="1">
        <v>33131</v>
      </c>
      <c r="F325" s="1">
        <v>2008</v>
      </c>
    </row>
    <row r="326" spans="1:6" x14ac:dyDescent="0.35">
      <c r="A326" s="1" t="s">
        <v>1725</v>
      </c>
      <c r="B326" s="1" t="s">
        <v>1726</v>
      </c>
      <c r="C326" s="1" t="s">
        <v>11</v>
      </c>
      <c r="D326" s="1">
        <v>5</v>
      </c>
      <c r="E326" s="1">
        <v>33071</v>
      </c>
      <c r="F326" s="1">
        <v>1967</v>
      </c>
    </row>
    <row r="327" spans="1:6" x14ac:dyDescent="0.35">
      <c r="A327" s="1" t="s">
        <v>2192</v>
      </c>
      <c r="B327" s="1" t="s">
        <v>2193</v>
      </c>
      <c r="C327" s="1" t="s">
        <v>82</v>
      </c>
      <c r="D327" s="1">
        <v>5.2</v>
      </c>
      <c r="E327" s="1">
        <v>33002</v>
      </c>
      <c r="F327" s="1">
        <v>2012</v>
      </c>
    </row>
    <row r="328" spans="1:6" x14ac:dyDescent="0.35">
      <c r="A328" s="1" t="s">
        <v>700</v>
      </c>
      <c r="B328" s="1" t="s">
        <v>701</v>
      </c>
      <c r="C328" s="1" t="s">
        <v>565</v>
      </c>
      <c r="D328" s="1">
        <v>4.2</v>
      </c>
      <c r="E328" s="1">
        <v>32959</v>
      </c>
      <c r="F328" s="1">
        <v>2005</v>
      </c>
    </row>
    <row r="329" spans="1:6" x14ac:dyDescent="0.35">
      <c r="A329" s="1" t="s">
        <v>407</v>
      </c>
      <c r="B329" s="1" t="s">
        <v>408</v>
      </c>
      <c r="C329" s="1" t="s">
        <v>14</v>
      </c>
      <c r="D329" s="1">
        <v>3.6</v>
      </c>
      <c r="E329" s="1">
        <v>32880</v>
      </c>
      <c r="F329" s="1">
        <v>2020</v>
      </c>
    </row>
    <row r="330" spans="1:6" x14ac:dyDescent="0.35">
      <c r="A330" s="1" t="s">
        <v>1923</v>
      </c>
      <c r="B330" s="1" t="s">
        <v>1924</v>
      </c>
      <c r="C330" s="1" t="s">
        <v>448</v>
      </c>
      <c r="D330" s="1">
        <v>5.0999999999999996</v>
      </c>
      <c r="E330" s="1">
        <v>32865</v>
      </c>
      <c r="F330" s="1">
        <v>2009</v>
      </c>
    </row>
    <row r="331" spans="1:6" x14ac:dyDescent="0.35">
      <c r="A331" s="1" t="s">
        <v>1207</v>
      </c>
      <c r="B331" s="1" t="s">
        <v>1208</v>
      </c>
      <c r="C331" s="1" t="s">
        <v>125</v>
      </c>
      <c r="D331" s="1">
        <v>4.7</v>
      </c>
      <c r="E331" s="1">
        <v>32768</v>
      </c>
      <c r="F331" s="1">
        <v>2019</v>
      </c>
    </row>
    <row r="332" spans="1:6" x14ac:dyDescent="0.35">
      <c r="A332" s="1" t="s">
        <v>1575</v>
      </c>
      <c r="B332" s="1" t="s">
        <v>1576</v>
      </c>
      <c r="C332" s="1" t="s">
        <v>11</v>
      </c>
      <c r="D332" s="1">
        <v>4.9000000000000004</v>
      </c>
      <c r="E332" s="1">
        <v>32630</v>
      </c>
      <c r="F332" s="1">
        <v>2002</v>
      </c>
    </row>
    <row r="333" spans="1:6" x14ac:dyDescent="0.35">
      <c r="A333" s="1" t="s">
        <v>1373</v>
      </c>
      <c r="B333" s="1" t="s">
        <v>1374</v>
      </c>
      <c r="C333" s="1" t="s">
        <v>11</v>
      </c>
      <c r="D333" s="1">
        <v>4.8</v>
      </c>
      <c r="E333" s="1">
        <v>32589</v>
      </c>
      <c r="F333" s="1">
        <v>2004</v>
      </c>
    </row>
    <row r="334" spans="1:6" x14ac:dyDescent="0.35">
      <c r="A334" s="1" t="s">
        <v>2194</v>
      </c>
      <c r="B334" s="1" t="s">
        <v>2195</v>
      </c>
      <c r="C334" s="1" t="s">
        <v>395</v>
      </c>
      <c r="D334" s="1">
        <v>5.2</v>
      </c>
      <c r="E334" s="1">
        <v>32479</v>
      </c>
      <c r="F334" s="1">
        <v>2024</v>
      </c>
    </row>
    <row r="335" spans="1:6" x14ac:dyDescent="0.35">
      <c r="A335" s="1" t="s">
        <v>1727</v>
      </c>
      <c r="B335" s="1" t="s">
        <v>1728</v>
      </c>
      <c r="C335" s="1" t="s">
        <v>1160</v>
      </c>
      <c r="D335" s="1">
        <v>5</v>
      </c>
      <c r="E335" s="1">
        <v>32368</v>
      </c>
      <c r="F335" s="1">
        <v>2011</v>
      </c>
    </row>
    <row r="336" spans="1:6" x14ac:dyDescent="0.35">
      <c r="A336" s="1" t="s">
        <v>956</v>
      </c>
      <c r="B336" s="1" t="s">
        <v>957</v>
      </c>
      <c r="C336" s="1" t="s">
        <v>155</v>
      </c>
      <c r="D336" s="1">
        <v>4.5</v>
      </c>
      <c r="E336" s="1">
        <v>32271</v>
      </c>
      <c r="F336" s="1">
        <v>1998</v>
      </c>
    </row>
    <row r="337" spans="1:6" x14ac:dyDescent="0.35">
      <c r="A337" s="1" t="s">
        <v>1729</v>
      </c>
      <c r="B337" s="1" t="s">
        <v>1730</v>
      </c>
      <c r="C337" s="1" t="s">
        <v>1731</v>
      </c>
      <c r="D337" s="1">
        <v>5</v>
      </c>
      <c r="E337" s="1">
        <v>32153</v>
      </c>
      <c r="F337" s="1">
        <v>2020</v>
      </c>
    </row>
    <row r="338" spans="1:6" x14ac:dyDescent="0.35">
      <c r="A338" s="1" t="s">
        <v>1209</v>
      </c>
      <c r="B338" s="1" t="s">
        <v>1210</v>
      </c>
      <c r="C338" s="1" t="s">
        <v>291</v>
      </c>
      <c r="D338" s="1">
        <v>4.7</v>
      </c>
      <c r="E338" s="1">
        <v>31927</v>
      </c>
      <c r="F338" s="1">
        <v>2004</v>
      </c>
    </row>
    <row r="339" spans="1:6" x14ac:dyDescent="0.35">
      <c r="A339" s="1" t="s">
        <v>57</v>
      </c>
      <c r="B339" s="1" t="s">
        <v>58</v>
      </c>
      <c r="C339" s="1" t="s">
        <v>59</v>
      </c>
      <c r="D339" s="1">
        <v>1.5</v>
      </c>
      <c r="E339" s="1">
        <v>31809</v>
      </c>
      <c r="F339" s="1">
        <v>2004</v>
      </c>
    </row>
    <row r="340" spans="1:6" x14ac:dyDescent="0.35">
      <c r="A340" s="1" t="s">
        <v>250</v>
      </c>
      <c r="B340" s="1" t="s">
        <v>251</v>
      </c>
      <c r="C340" s="1" t="s">
        <v>76</v>
      </c>
      <c r="D340" s="1">
        <v>2.9</v>
      </c>
      <c r="E340" s="1">
        <v>31766</v>
      </c>
      <c r="F340" s="1">
        <v>2023</v>
      </c>
    </row>
    <row r="341" spans="1:6" x14ac:dyDescent="0.35">
      <c r="A341" s="1" t="s">
        <v>252</v>
      </c>
      <c r="B341" s="1" t="s">
        <v>253</v>
      </c>
      <c r="C341" s="1" t="s">
        <v>254</v>
      </c>
      <c r="D341" s="1">
        <v>2.9</v>
      </c>
      <c r="E341" s="1">
        <v>31725</v>
      </c>
      <c r="F341" s="1">
        <v>2007</v>
      </c>
    </row>
    <row r="342" spans="1:6" x14ac:dyDescent="0.35">
      <c r="A342" s="1" t="s">
        <v>372</v>
      </c>
      <c r="B342" s="1" t="s">
        <v>373</v>
      </c>
      <c r="C342" s="1" t="s">
        <v>172</v>
      </c>
      <c r="D342" s="1">
        <v>3.5</v>
      </c>
      <c r="E342" s="1">
        <v>31722</v>
      </c>
      <c r="F342" s="1">
        <v>1996</v>
      </c>
    </row>
    <row r="343" spans="1:6" x14ac:dyDescent="0.35">
      <c r="A343" s="1" t="s">
        <v>1732</v>
      </c>
      <c r="B343" s="1" t="s">
        <v>1733</v>
      </c>
      <c r="C343" s="1" t="s">
        <v>1734</v>
      </c>
      <c r="D343" s="1">
        <v>5</v>
      </c>
      <c r="E343" s="1">
        <v>31684</v>
      </c>
      <c r="F343" s="1">
        <v>2019</v>
      </c>
    </row>
    <row r="344" spans="1:6" x14ac:dyDescent="0.35">
      <c r="A344" s="1" t="s">
        <v>958</v>
      </c>
      <c r="B344" s="1" t="s">
        <v>959</v>
      </c>
      <c r="C344" s="1" t="s">
        <v>125</v>
      </c>
      <c r="D344" s="1">
        <v>4.5</v>
      </c>
      <c r="E344" s="1">
        <v>31620</v>
      </c>
      <c r="F344" s="1">
        <v>2023</v>
      </c>
    </row>
    <row r="345" spans="1:6" x14ac:dyDescent="0.35">
      <c r="A345" s="1" t="s">
        <v>1060</v>
      </c>
      <c r="B345" s="1" t="s">
        <v>1061</v>
      </c>
      <c r="C345" s="1" t="s">
        <v>448</v>
      </c>
      <c r="D345" s="1">
        <v>4.5999999999999996</v>
      </c>
      <c r="E345" s="1">
        <v>31383</v>
      </c>
      <c r="F345" s="1">
        <v>2015</v>
      </c>
    </row>
    <row r="346" spans="1:6" x14ac:dyDescent="0.35">
      <c r="A346" s="1" t="s">
        <v>853</v>
      </c>
      <c r="B346" s="1" t="s">
        <v>854</v>
      </c>
      <c r="C346" s="1" t="s">
        <v>455</v>
      </c>
      <c r="D346" s="1">
        <v>4.4000000000000004</v>
      </c>
      <c r="E346" s="1">
        <v>31357</v>
      </c>
      <c r="F346" s="1">
        <v>1993</v>
      </c>
    </row>
    <row r="347" spans="1:6" x14ac:dyDescent="0.35">
      <c r="A347" s="1" t="s">
        <v>1062</v>
      </c>
      <c r="B347" s="1" t="s">
        <v>1063</v>
      </c>
      <c r="C347" s="1" t="s">
        <v>178</v>
      </c>
      <c r="D347" s="1">
        <v>4.5999999999999996</v>
      </c>
      <c r="E347" s="1">
        <v>31263</v>
      </c>
      <c r="F347" s="1">
        <v>2024</v>
      </c>
    </row>
    <row r="348" spans="1:6" x14ac:dyDescent="0.35">
      <c r="A348" s="1" t="s">
        <v>409</v>
      </c>
      <c r="B348" s="1" t="s">
        <v>410</v>
      </c>
      <c r="C348" s="1" t="s">
        <v>175</v>
      </c>
      <c r="D348" s="1">
        <v>3.6</v>
      </c>
      <c r="E348" s="1">
        <v>31257</v>
      </c>
      <c r="F348" s="1">
        <v>2007</v>
      </c>
    </row>
    <row r="349" spans="1:6" x14ac:dyDescent="0.35">
      <c r="A349" s="1" t="s">
        <v>1211</v>
      </c>
      <c r="B349" s="1" t="s">
        <v>1212</v>
      </c>
      <c r="C349" s="1" t="s">
        <v>474</v>
      </c>
      <c r="D349" s="1">
        <v>4.7</v>
      </c>
      <c r="E349" s="1">
        <v>31247</v>
      </c>
      <c r="F349" s="1">
        <v>2006</v>
      </c>
    </row>
    <row r="350" spans="1:6" x14ac:dyDescent="0.35">
      <c r="A350" s="1" t="s">
        <v>1375</v>
      </c>
      <c r="B350" s="1" t="s">
        <v>1376</v>
      </c>
      <c r="C350" s="1" t="s">
        <v>270</v>
      </c>
      <c r="D350" s="1">
        <v>4.8</v>
      </c>
      <c r="E350" s="1">
        <v>31239</v>
      </c>
      <c r="F350" s="1">
        <v>1993</v>
      </c>
    </row>
    <row r="351" spans="1:6" x14ac:dyDescent="0.35">
      <c r="A351" s="1" t="s">
        <v>855</v>
      </c>
      <c r="B351" s="1" t="s">
        <v>856</v>
      </c>
      <c r="C351" s="1" t="s">
        <v>122</v>
      </c>
      <c r="D351" s="1">
        <v>4.4000000000000004</v>
      </c>
      <c r="E351" s="1">
        <v>31224</v>
      </c>
      <c r="F351" s="1">
        <v>2016</v>
      </c>
    </row>
    <row r="352" spans="1:6" x14ac:dyDescent="0.35">
      <c r="A352" s="1" t="s">
        <v>702</v>
      </c>
      <c r="B352" s="1" t="s">
        <v>703</v>
      </c>
      <c r="C352" s="1" t="s">
        <v>172</v>
      </c>
      <c r="D352" s="1">
        <v>4.2</v>
      </c>
      <c r="E352" s="1">
        <v>31116</v>
      </c>
      <c r="F352" s="1">
        <v>1999</v>
      </c>
    </row>
    <row r="353" spans="1:6" x14ac:dyDescent="0.35">
      <c r="A353" s="1" t="s">
        <v>1213</v>
      </c>
      <c r="B353" s="1" t="s">
        <v>380</v>
      </c>
      <c r="C353" s="1" t="s">
        <v>76</v>
      </c>
      <c r="D353" s="1">
        <v>4.7</v>
      </c>
      <c r="E353" s="1">
        <v>31102</v>
      </c>
      <c r="F353" s="1">
        <v>2006</v>
      </c>
    </row>
    <row r="354" spans="1:6" x14ac:dyDescent="0.35">
      <c r="A354" s="1" t="s">
        <v>1735</v>
      </c>
      <c r="B354" s="1" t="s">
        <v>1736</v>
      </c>
      <c r="C354" s="1" t="s">
        <v>211</v>
      </c>
      <c r="D354" s="1">
        <v>5</v>
      </c>
      <c r="E354" s="1">
        <v>30918</v>
      </c>
      <c r="F354" s="1">
        <v>2024</v>
      </c>
    </row>
    <row r="355" spans="1:6" x14ac:dyDescent="0.35">
      <c r="A355" s="1" t="s">
        <v>1214</v>
      </c>
      <c r="B355" s="1" t="s">
        <v>1215</v>
      </c>
      <c r="C355" s="1" t="s">
        <v>116</v>
      </c>
      <c r="D355" s="1">
        <v>4.7</v>
      </c>
      <c r="E355" s="1">
        <v>30886</v>
      </c>
      <c r="F355" s="1">
        <v>2003</v>
      </c>
    </row>
    <row r="356" spans="1:6" x14ac:dyDescent="0.35">
      <c r="A356" s="1" t="s">
        <v>763</v>
      </c>
      <c r="B356" s="1" t="s">
        <v>764</v>
      </c>
      <c r="C356" s="1" t="s">
        <v>90</v>
      </c>
      <c r="D356" s="1">
        <v>4.3</v>
      </c>
      <c r="E356" s="1">
        <v>30755</v>
      </c>
      <c r="F356" s="1">
        <v>2020</v>
      </c>
    </row>
    <row r="357" spans="1:6" x14ac:dyDescent="0.35">
      <c r="A357" s="1" t="s">
        <v>1577</v>
      </c>
      <c r="B357" s="1" t="s">
        <v>1578</v>
      </c>
      <c r="C357" s="1" t="s">
        <v>175</v>
      </c>
      <c r="D357" s="1">
        <v>4.9000000000000004</v>
      </c>
      <c r="E357" s="1">
        <v>30687</v>
      </c>
      <c r="F357" s="1">
        <v>2001</v>
      </c>
    </row>
    <row r="358" spans="1:6" x14ac:dyDescent="0.35">
      <c r="A358" s="1" t="s">
        <v>1737</v>
      </c>
      <c r="B358" s="1" t="s">
        <v>1738</v>
      </c>
      <c r="C358" s="1" t="s">
        <v>155</v>
      </c>
      <c r="D358" s="1">
        <v>5</v>
      </c>
      <c r="E358" s="1">
        <v>30458</v>
      </c>
      <c r="F358" s="1">
        <v>1999</v>
      </c>
    </row>
    <row r="359" spans="1:6" x14ac:dyDescent="0.35">
      <c r="A359" s="1" t="s">
        <v>857</v>
      </c>
      <c r="B359" s="1" t="s">
        <v>858</v>
      </c>
      <c r="C359" s="1" t="s">
        <v>859</v>
      </c>
      <c r="D359" s="1">
        <v>4.4000000000000004</v>
      </c>
      <c r="E359" s="1">
        <v>30284</v>
      </c>
      <c r="F359" s="1">
        <v>2019</v>
      </c>
    </row>
    <row r="360" spans="1:6" x14ac:dyDescent="0.35">
      <c r="A360" s="1" t="s">
        <v>860</v>
      </c>
      <c r="B360" s="1" t="s">
        <v>861</v>
      </c>
      <c r="C360" s="1" t="s">
        <v>11</v>
      </c>
      <c r="D360" s="1">
        <v>4.4000000000000004</v>
      </c>
      <c r="E360" s="1">
        <v>30265</v>
      </c>
      <c r="F360" s="1">
        <v>1996</v>
      </c>
    </row>
    <row r="361" spans="1:6" x14ac:dyDescent="0.35">
      <c r="A361" s="1" t="s">
        <v>1739</v>
      </c>
      <c r="B361" s="1" t="s">
        <v>1740</v>
      </c>
      <c r="C361" s="1" t="s">
        <v>455</v>
      </c>
      <c r="D361" s="1">
        <v>5</v>
      </c>
      <c r="E361" s="1">
        <v>30157</v>
      </c>
      <c r="F361" s="1">
        <v>1993</v>
      </c>
    </row>
    <row r="362" spans="1:6" x14ac:dyDescent="0.35">
      <c r="A362" s="1" t="s">
        <v>284</v>
      </c>
      <c r="B362" s="1" t="s">
        <v>285</v>
      </c>
      <c r="C362" s="1" t="s">
        <v>286</v>
      </c>
      <c r="D362" s="1">
        <v>3.1</v>
      </c>
      <c r="E362" s="1">
        <v>30005</v>
      </c>
      <c r="F362" s="1">
        <v>2002</v>
      </c>
    </row>
    <row r="363" spans="1:6" x14ac:dyDescent="0.35">
      <c r="A363" s="1" t="s">
        <v>960</v>
      </c>
      <c r="B363" s="1" t="s">
        <v>961</v>
      </c>
      <c r="C363" s="1" t="s">
        <v>146</v>
      </c>
      <c r="D363" s="1">
        <v>4.5</v>
      </c>
      <c r="E363" s="1">
        <v>29987</v>
      </c>
      <c r="F363" s="1">
        <v>2011</v>
      </c>
    </row>
    <row r="364" spans="1:6" x14ac:dyDescent="0.35">
      <c r="A364" s="1" t="s">
        <v>1377</v>
      </c>
      <c r="B364" s="1" t="s">
        <v>1378</v>
      </c>
      <c r="C364" s="1" t="s">
        <v>584</v>
      </c>
      <c r="D364" s="1">
        <v>4.8</v>
      </c>
      <c r="E364" s="1">
        <v>29879</v>
      </c>
      <c r="F364" s="1">
        <v>2014</v>
      </c>
    </row>
    <row r="365" spans="1:6" x14ac:dyDescent="0.35">
      <c r="A365" s="1" t="s">
        <v>1064</v>
      </c>
      <c r="B365" s="1" t="s">
        <v>1065</v>
      </c>
      <c r="C365" s="1" t="s">
        <v>597</v>
      </c>
      <c r="D365" s="1">
        <v>4.5999999999999996</v>
      </c>
      <c r="E365" s="1">
        <v>29806</v>
      </c>
      <c r="F365" s="1">
        <v>2009</v>
      </c>
    </row>
    <row r="366" spans="1:6" x14ac:dyDescent="0.35">
      <c r="A366" s="1" t="s">
        <v>640</v>
      </c>
      <c r="B366" s="1" t="s">
        <v>641</v>
      </c>
      <c r="C366" s="1" t="s">
        <v>146</v>
      </c>
      <c r="D366" s="1">
        <v>4.0999999999999996</v>
      </c>
      <c r="E366" s="1">
        <v>29795</v>
      </c>
      <c r="F366" s="1">
        <v>2004</v>
      </c>
    </row>
    <row r="367" spans="1:6" x14ac:dyDescent="0.35">
      <c r="A367" s="1" t="s">
        <v>862</v>
      </c>
      <c r="B367" s="1" t="s">
        <v>863</v>
      </c>
      <c r="C367" s="1" t="s">
        <v>116</v>
      </c>
      <c r="D367" s="1">
        <v>4.4000000000000004</v>
      </c>
      <c r="E367" s="1">
        <v>29652</v>
      </c>
      <c r="F367" s="1">
        <v>2021</v>
      </c>
    </row>
    <row r="368" spans="1:6" x14ac:dyDescent="0.35">
      <c r="A368" s="1" t="s">
        <v>1579</v>
      </c>
      <c r="B368" s="1" t="s">
        <v>1580</v>
      </c>
      <c r="C368" s="1" t="s">
        <v>11</v>
      </c>
      <c r="D368" s="1">
        <v>4.9000000000000004</v>
      </c>
      <c r="E368" s="1">
        <v>29491</v>
      </c>
      <c r="F368" s="1">
        <v>2008</v>
      </c>
    </row>
    <row r="369" spans="1:6" x14ac:dyDescent="0.35">
      <c r="A369" s="1" t="s">
        <v>1741</v>
      </c>
      <c r="B369" s="1" t="s">
        <v>1742</v>
      </c>
      <c r="C369" s="1" t="s">
        <v>571</v>
      </c>
      <c r="D369" s="1">
        <v>5</v>
      </c>
      <c r="E369" s="1">
        <v>29436</v>
      </c>
      <c r="F369" s="1">
        <v>2006</v>
      </c>
    </row>
    <row r="370" spans="1:6" x14ac:dyDescent="0.35">
      <c r="A370" s="1" t="s">
        <v>1581</v>
      </c>
      <c r="B370" s="1" t="s">
        <v>1582</v>
      </c>
      <c r="C370" s="1" t="s">
        <v>190</v>
      </c>
      <c r="D370" s="1">
        <v>4.9000000000000004</v>
      </c>
      <c r="E370" s="1">
        <v>29411</v>
      </c>
      <c r="F370" s="1">
        <v>2022</v>
      </c>
    </row>
    <row r="371" spans="1:6" x14ac:dyDescent="0.35">
      <c r="A371" s="1" t="s">
        <v>1583</v>
      </c>
      <c r="B371" s="1" t="s">
        <v>1584</v>
      </c>
      <c r="C371" s="1" t="s">
        <v>163</v>
      </c>
      <c r="D371" s="1">
        <v>4.9000000000000004</v>
      </c>
      <c r="E371" s="1">
        <v>29336</v>
      </c>
      <c r="F371" s="1">
        <v>2017</v>
      </c>
    </row>
    <row r="372" spans="1:6" x14ac:dyDescent="0.35">
      <c r="A372" s="1" t="s">
        <v>1743</v>
      </c>
      <c r="B372" s="1" t="s">
        <v>1744</v>
      </c>
      <c r="C372" s="1" t="s">
        <v>474</v>
      </c>
      <c r="D372" s="1">
        <v>5</v>
      </c>
      <c r="E372" s="1">
        <v>29234</v>
      </c>
      <c r="F372" s="1">
        <v>2024</v>
      </c>
    </row>
    <row r="373" spans="1:6" x14ac:dyDescent="0.35">
      <c r="A373" s="1" t="s">
        <v>496</v>
      </c>
      <c r="B373" s="1" t="s">
        <v>497</v>
      </c>
      <c r="C373" s="1" t="s">
        <v>76</v>
      </c>
      <c r="D373" s="1">
        <v>3.8</v>
      </c>
      <c r="E373" s="1">
        <v>29122</v>
      </c>
      <c r="F373" s="1">
        <v>1977</v>
      </c>
    </row>
    <row r="374" spans="1:6" x14ac:dyDescent="0.35">
      <c r="A374" s="1" t="s">
        <v>1216</v>
      </c>
      <c r="B374" s="1" t="s">
        <v>1217</v>
      </c>
      <c r="C374" s="1" t="s">
        <v>11</v>
      </c>
      <c r="D374" s="1">
        <v>4.7</v>
      </c>
      <c r="E374" s="1">
        <v>29113</v>
      </c>
      <c r="F374" s="1">
        <v>2022</v>
      </c>
    </row>
    <row r="375" spans="1:6" x14ac:dyDescent="0.35">
      <c r="A375" s="1" t="s">
        <v>411</v>
      </c>
      <c r="B375" s="1" t="s">
        <v>412</v>
      </c>
      <c r="C375" s="1" t="s">
        <v>178</v>
      </c>
      <c r="D375" s="1">
        <v>3.6</v>
      </c>
      <c r="E375" s="1">
        <v>29008</v>
      </c>
      <c r="F375" s="1">
        <v>2011</v>
      </c>
    </row>
    <row r="376" spans="1:6" x14ac:dyDescent="0.35">
      <c r="A376" s="1" t="s">
        <v>1745</v>
      </c>
      <c r="B376" s="1" t="s">
        <v>1746</v>
      </c>
      <c r="C376" s="1" t="s">
        <v>352</v>
      </c>
      <c r="D376" s="1">
        <v>5</v>
      </c>
      <c r="E376" s="1">
        <v>28881</v>
      </c>
      <c r="F376" s="1">
        <v>2017</v>
      </c>
    </row>
    <row r="377" spans="1:6" x14ac:dyDescent="0.35">
      <c r="A377" s="1" t="s">
        <v>1925</v>
      </c>
      <c r="B377" s="1" t="s">
        <v>1926</v>
      </c>
      <c r="C377" s="1" t="s">
        <v>565</v>
      </c>
      <c r="D377" s="1">
        <v>5.0999999999999996</v>
      </c>
      <c r="E377" s="1">
        <v>28873</v>
      </c>
      <c r="F377" s="1">
        <v>2021</v>
      </c>
    </row>
    <row r="378" spans="1:6" x14ac:dyDescent="0.35">
      <c r="A378" s="1" t="s">
        <v>962</v>
      </c>
      <c r="B378" s="1" t="s">
        <v>963</v>
      </c>
      <c r="C378" s="1" t="s">
        <v>649</v>
      </c>
      <c r="D378" s="1">
        <v>4.5</v>
      </c>
      <c r="E378" s="1">
        <v>28833</v>
      </c>
      <c r="F378" s="1">
        <v>2011</v>
      </c>
    </row>
    <row r="379" spans="1:6" x14ac:dyDescent="0.35">
      <c r="A379" s="1" t="s">
        <v>542</v>
      </c>
      <c r="B379" s="1" t="s">
        <v>543</v>
      </c>
      <c r="C379" s="1" t="s">
        <v>544</v>
      </c>
      <c r="D379" s="1">
        <v>3.9</v>
      </c>
      <c r="E379" s="1">
        <v>28830</v>
      </c>
      <c r="F379" s="1">
        <v>2004</v>
      </c>
    </row>
    <row r="380" spans="1:6" x14ac:dyDescent="0.35">
      <c r="A380" s="1" t="s">
        <v>1379</v>
      </c>
      <c r="B380" s="1" t="s">
        <v>1380</v>
      </c>
      <c r="C380" s="1" t="s">
        <v>56</v>
      </c>
      <c r="D380" s="1">
        <v>4.8</v>
      </c>
      <c r="E380" s="1">
        <v>28817</v>
      </c>
      <c r="F380" s="1">
        <v>2010</v>
      </c>
    </row>
    <row r="381" spans="1:6" x14ac:dyDescent="0.35">
      <c r="A381" s="1" t="s">
        <v>704</v>
      </c>
      <c r="B381" s="1" t="s">
        <v>705</v>
      </c>
      <c r="C381" s="1" t="s">
        <v>706</v>
      </c>
      <c r="D381" s="1">
        <v>4.2</v>
      </c>
      <c r="E381" s="1">
        <v>28726</v>
      </c>
      <c r="F381" s="1">
        <v>2014</v>
      </c>
    </row>
    <row r="382" spans="1:6" x14ac:dyDescent="0.35">
      <c r="A382" s="1" t="s">
        <v>864</v>
      </c>
      <c r="B382" s="1" t="s">
        <v>865</v>
      </c>
      <c r="C382" s="1" t="s">
        <v>90</v>
      </c>
      <c r="D382" s="1">
        <v>4.4000000000000004</v>
      </c>
      <c r="E382" s="1">
        <v>28639</v>
      </c>
      <c r="F382" s="1">
        <v>2023</v>
      </c>
    </row>
    <row r="383" spans="1:6" x14ac:dyDescent="0.35">
      <c r="A383" s="1" t="s">
        <v>1927</v>
      </c>
      <c r="B383" s="1" t="s">
        <v>1928</v>
      </c>
      <c r="C383" s="1" t="s">
        <v>128</v>
      </c>
      <c r="D383" s="1">
        <v>5.0999999999999996</v>
      </c>
      <c r="E383" s="1">
        <v>28618</v>
      </c>
      <c r="F383" s="1">
        <v>2004</v>
      </c>
    </row>
    <row r="384" spans="1:6" x14ac:dyDescent="0.35">
      <c r="A384" s="1" t="s">
        <v>1218</v>
      </c>
      <c r="B384" s="1" t="s">
        <v>1219</v>
      </c>
      <c r="C384" s="1" t="s">
        <v>125</v>
      </c>
      <c r="D384" s="1">
        <v>4.7</v>
      </c>
      <c r="E384" s="1">
        <v>28381</v>
      </c>
      <c r="F384" s="1">
        <v>2011</v>
      </c>
    </row>
    <row r="385" spans="1:6" x14ac:dyDescent="0.35">
      <c r="A385" s="1" t="s">
        <v>1220</v>
      </c>
      <c r="B385" s="1" t="s">
        <v>1221</v>
      </c>
      <c r="C385" s="1" t="s">
        <v>1222</v>
      </c>
      <c r="D385" s="1">
        <v>4.7</v>
      </c>
      <c r="E385" s="1">
        <v>28236</v>
      </c>
      <c r="F385" s="1">
        <v>2021</v>
      </c>
    </row>
    <row r="386" spans="1:6" x14ac:dyDescent="0.35">
      <c r="A386" s="1" t="s">
        <v>1929</v>
      </c>
      <c r="B386" s="1" t="s">
        <v>1930</v>
      </c>
      <c r="C386" s="1" t="s">
        <v>448</v>
      </c>
      <c r="D386" s="1">
        <v>5.0999999999999996</v>
      </c>
      <c r="E386" s="1">
        <v>28225</v>
      </c>
      <c r="F386" s="1">
        <v>2012</v>
      </c>
    </row>
    <row r="387" spans="1:6" x14ac:dyDescent="0.35">
      <c r="A387" s="1" t="s">
        <v>1931</v>
      </c>
      <c r="B387" s="1" t="s">
        <v>1932</v>
      </c>
      <c r="C387" s="1" t="s">
        <v>11</v>
      </c>
      <c r="D387" s="1">
        <v>5.0999999999999996</v>
      </c>
      <c r="E387" s="1">
        <v>28077</v>
      </c>
      <c r="F387" s="1">
        <v>1991</v>
      </c>
    </row>
    <row r="388" spans="1:6" x14ac:dyDescent="0.35">
      <c r="A388" s="1" t="s">
        <v>1223</v>
      </c>
      <c r="B388" s="1" t="s">
        <v>1224</v>
      </c>
      <c r="C388" s="1" t="s">
        <v>93</v>
      </c>
      <c r="D388" s="1">
        <v>4.7</v>
      </c>
      <c r="E388" s="1">
        <v>27979</v>
      </c>
      <c r="F388" s="1">
        <v>2022</v>
      </c>
    </row>
    <row r="389" spans="1:6" x14ac:dyDescent="0.35">
      <c r="A389" s="1" t="s">
        <v>1933</v>
      </c>
      <c r="B389" s="1" t="s">
        <v>1934</v>
      </c>
      <c r="C389" s="1" t="s">
        <v>762</v>
      </c>
      <c r="D389" s="1">
        <v>5.0999999999999996</v>
      </c>
      <c r="E389" s="1">
        <v>27917</v>
      </c>
      <c r="F389" s="1">
        <v>1990</v>
      </c>
    </row>
    <row r="390" spans="1:6" x14ac:dyDescent="0.35">
      <c r="A390" s="1" t="s">
        <v>194</v>
      </c>
      <c r="B390" s="1" t="s">
        <v>195</v>
      </c>
      <c r="C390" s="1" t="s">
        <v>193</v>
      </c>
      <c r="D390" s="1">
        <v>2.6</v>
      </c>
      <c r="E390" s="1">
        <v>27849</v>
      </c>
      <c r="F390" s="1">
        <v>1999</v>
      </c>
    </row>
    <row r="391" spans="1:6" x14ac:dyDescent="0.35">
      <c r="A391" s="1" t="s">
        <v>144</v>
      </c>
      <c r="B391" s="1" t="s">
        <v>145</v>
      </c>
      <c r="C391" s="1" t="s">
        <v>146</v>
      </c>
      <c r="D391" s="1">
        <v>2.2999999999999998</v>
      </c>
      <c r="E391" s="1">
        <v>27734</v>
      </c>
      <c r="F391" s="1">
        <v>2022</v>
      </c>
    </row>
    <row r="392" spans="1:6" x14ac:dyDescent="0.35">
      <c r="A392" s="1" t="s">
        <v>345</v>
      </c>
      <c r="B392" s="1" t="s">
        <v>346</v>
      </c>
      <c r="C392" s="1" t="s">
        <v>217</v>
      </c>
      <c r="D392" s="1">
        <v>3.4</v>
      </c>
      <c r="E392" s="1">
        <v>27733</v>
      </c>
      <c r="F392" s="1">
        <v>2002</v>
      </c>
    </row>
    <row r="393" spans="1:6" x14ac:dyDescent="0.35">
      <c r="A393" s="1" t="s">
        <v>1066</v>
      </c>
      <c r="B393" s="1" t="s">
        <v>1067</v>
      </c>
      <c r="C393" s="1" t="s">
        <v>175</v>
      </c>
      <c r="D393" s="1">
        <v>4.5999999999999996</v>
      </c>
      <c r="E393" s="1">
        <v>27732</v>
      </c>
      <c r="F393" s="1">
        <v>2014</v>
      </c>
    </row>
    <row r="394" spans="1:6" x14ac:dyDescent="0.35">
      <c r="A394" s="1" t="s">
        <v>1585</v>
      </c>
      <c r="B394" s="1" t="s">
        <v>1586</v>
      </c>
      <c r="C394" s="1" t="s">
        <v>175</v>
      </c>
      <c r="D394" s="1">
        <v>4.9000000000000004</v>
      </c>
      <c r="E394" s="1">
        <v>27687</v>
      </c>
      <c r="F394" s="1">
        <v>2010</v>
      </c>
    </row>
    <row r="395" spans="1:6" x14ac:dyDescent="0.35">
      <c r="A395" s="1" t="s">
        <v>1935</v>
      </c>
      <c r="B395" s="1" t="s">
        <v>1936</v>
      </c>
      <c r="C395" s="1" t="s">
        <v>270</v>
      </c>
      <c r="D395" s="1">
        <v>5.0999999999999996</v>
      </c>
      <c r="E395" s="1">
        <v>27665</v>
      </c>
      <c r="F395" s="1">
        <v>1997</v>
      </c>
    </row>
    <row r="396" spans="1:6" x14ac:dyDescent="0.35">
      <c r="A396" s="1" t="s">
        <v>77</v>
      </c>
      <c r="B396" s="1" t="s">
        <v>78</v>
      </c>
      <c r="C396" s="1" t="s">
        <v>79</v>
      </c>
      <c r="D396" s="1">
        <v>1.7</v>
      </c>
      <c r="E396" s="1">
        <v>27591</v>
      </c>
      <c r="F396" s="1">
        <v>2015</v>
      </c>
    </row>
    <row r="397" spans="1:6" x14ac:dyDescent="0.35">
      <c r="A397" s="1" t="s">
        <v>642</v>
      </c>
      <c r="B397" s="1" t="s">
        <v>643</v>
      </c>
      <c r="C397" s="1" t="s">
        <v>571</v>
      </c>
      <c r="D397" s="1">
        <v>4.0999999999999996</v>
      </c>
      <c r="E397" s="1">
        <v>27444</v>
      </c>
      <c r="F397" s="1">
        <v>2011</v>
      </c>
    </row>
    <row r="398" spans="1:6" x14ac:dyDescent="0.35">
      <c r="A398" s="1" t="s">
        <v>545</v>
      </c>
      <c r="B398" s="1" t="s">
        <v>546</v>
      </c>
      <c r="C398" s="1" t="s">
        <v>62</v>
      </c>
      <c r="D398" s="1">
        <v>3.9</v>
      </c>
      <c r="E398" s="1">
        <v>27338</v>
      </c>
      <c r="F398" s="1">
        <v>2002</v>
      </c>
    </row>
    <row r="399" spans="1:6" x14ac:dyDescent="0.35">
      <c r="A399" s="1" t="s">
        <v>1747</v>
      </c>
      <c r="B399" s="1" t="s">
        <v>1748</v>
      </c>
      <c r="C399" s="1" t="s">
        <v>565</v>
      </c>
      <c r="D399" s="1">
        <v>5</v>
      </c>
      <c r="E399" s="1">
        <v>27196</v>
      </c>
      <c r="F399" s="1">
        <v>2005</v>
      </c>
    </row>
    <row r="400" spans="1:6" x14ac:dyDescent="0.35">
      <c r="A400" s="1" t="s">
        <v>107</v>
      </c>
      <c r="B400" s="1" t="s">
        <v>108</v>
      </c>
      <c r="C400" s="1" t="s">
        <v>109</v>
      </c>
      <c r="D400" s="1">
        <v>1.9</v>
      </c>
      <c r="E400" s="1">
        <v>27123</v>
      </c>
      <c r="F400" s="1">
        <v>2003</v>
      </c>
    </row>
    <row r="401" spans="1:6" x14ac:dyDescent="0.35">
      <c r="A401" s="1" t="s">
        <v>1587</v>
      </c>
      <c r="B401" s="1" t="s">
        <v>1588</v>
      </c>
      <c r="C401" s="1" t="s">
        <v>93</v>
      </c>
      <c r="D401" s="1">
        <v>4.9000000000000004</v>
      </c>
      <c r="E401" s="1">
        <v>26968</v>
      </c>
      <c r="F401" s="1">
        <v>2021</v>
      </c>
    </row>
    <row r="402" spans="1:6" x14ac:dyDescent="0.35">
      <c r="A402" s="1" t="s">
        <v>1381</v>
      </c>
      <c r="B402" s="1" t="s">
        <v>1382</v>
      </c>
      <c r="C402" s="1" t="s">
        <v>584</v>
      </c>
      <c r="D402" s="1">
        <v>4.8</v>
      </c>
      <c r="E402" s="1">
        <v>26839</v>
      </c>
      <c r="F402" s="1">
        <v>2022</v>
      </c>
    </row>
    <row r="403" spans="1:6" x14ac:dyDescent="0.35">
      <c r="A403" s="1" t="s">
        <v>347</v>
      </c>
      <c r="B403" s="1" t="s">
        <v>348</v>
      </c>
      <c r="C403" s="1" t="s">
        <v>349</v>
      </c>
      <c r="D403" s="1">
        <v>3.4</v>
      </c>
      <c r="E403" s="1">
        <v>26805</v>
      </c>
      <c r="F403" s="1">
        <v>1994</v>
      </c>
    </row>
    <row r="404" spans="1:6" x14ac:dyDescent="0.35">
      <c r="A404" s="1" t="s">
        <v>1383</v>
      </c>
      <c r="B404" s="1" t="s">
        <v>1384</v>
      </c>
      <c r="C404" s="1" t="s">
        <v>376</v>
      </c>
      <c r="D404" s="1">
        <v>4.8</v>
      </c>
      <c r="E404" s="1">
        <v>26734</v>
      </c>
      <c r="F404" s="1">
        <v>2004</v>
      </c>
    </row>
    <row r="405" spans="1:6" x14ac:dyDescent="0.35">
      <c r="A405" s="1" t="s">
        <v>765</v>
      </c>
      <c r="B405" s="1" t="s">
        <v>766</v>
      </c>
      <c r="C405" s="1" t="s">
        <v>400</v>
      </c>
      <c r="D405" s="1">
        <v>4.3</v>
      </c>
      <c r="E405" s="1">
        <v>26593</v>
      </c>
      <c r="F405" s="1">
        <v>2017</v>
      </c>
    </row>
    <row r="406" spans="1:6" x14ac:dyDescent="0.35">
      <c r="A406" s="1" t="s">
        <v>1385</v>
      </c>
      <c r="B406" s="1" t="s">
        <v>1386</v>
      </c>
      <c r="C406" s="1" t="s">
        <v>178</v>
      </c>
      <c r="D406" s="1">
        <v>4.8</v>
      </c>
      <c r="E406" s="1">
        <v>26542</v>
      </c>
      <c r="F406" s="1">
        <v>2001</v>
      </c>
    </row>
    <row r="407" spans="1:6" x14ac:dyDescent="0.35">
      <c r="A407" s="1" t="s">
        <v>1225</v>
      </c>
      <c r="B407" s="1" t="s">
        <v>1226</v>
      </c>
      <c r="C407" s="1" t="s">
        <v>508</v>
      </c>
      <c r="D407" s="1">
        <v>4.7</v>
      </c>
      <c r="E407" s="1">
        <v>26511</v>
      </c>
      <c r="F407" s="1">
        <v>2022</v>
      </c>
    </row>
    <row r="408" spans="1:6" x14ac:dyDescent="0.35">
      <c r="A408" s="1" t="s">
        <v>547</v>
      </c>
      <c r="B408" s="1" t="s">
        <v>548</v>
      </c>
      <c r="C408" s="1" t="s">
        <v>549</v>
      </c>
      <c r="D408" s="1">
        <v>3.9</v>
      </c>
      <c r="E408" s="1">
        <v>26296</v>
      </c>
      <c r="F408" s="1">
        <v>2008</v>
      </c>
    </row>
    <row r="409" spans="1:6" x14ac:dyDescent="0.35">
      <c r="A409" s="1" t="s">
        <v>644</v>
      </c>
      <c r="B409" s="1" t="s">
        <v>645</v>
      </c>
      <c r="C409" s="1" t="s">
        <v>646</v>
      </c>
      <c r="D409" s="1">
        <v>4.0999999999999996</v>
      </c>
      <c r="E409" s="1">
        <v>26229</v>
      </c>
      <c r="F409" s="1">
        <v>2011</v>
      </c>
    </row>
    <row r="410" spans="1:6" x14ac:dyDescent="0.35">
      <c r="A410" s="1" t="s">
        <v>287</v>
      </c>
      <c r="B410" s="1" t="s">
        <v>288</v>
      </c>
      <c r="C410" s="1" t="s">
        <v>140</v>
      </c>
      <c r="D410" s="1">
        <v>3.1</v>
      </c>
      <c r="E410" s="1">
        <v>25970</v>
      </c>
      <c r="F410" s="1">
        <v>1996</v>
      </c>
    </row>
    <row r="411" spans="1:6" x14ac:dyDescent="0.35">
      <c r="A411" s="1" t="s">
        <v>453</v>
      </c>
      <c r="B411" s="1" t="s">
        <v>454</v>
      </c>
      <c r="C411" s="1" t="s">
        <v>455</v>
      </c>
      <c r="D411" s="1">
        <v>3.7</v>
      </c>
      <c r="E411" s="1">
        <v>25926</v>
      </c>
      <c r="F411" s="1">
        <v>2000</v>
      </c>
    </row>
    <row r="412" spans="1:6" x14ac:dyDescent="0.35">
      <c r="A412" s="1" t="s">
        <v>456</v>
      </c>
      <c r="B412" s="1" t="s">
        <v>457</v>
      </c>
      <c r="C412" s="1" t="s">
        <v>93</v>
      </c>
      <c r="D412" s="1">
        <v>3.7</v>
      </c>
      <c r="E412" s="1">
        <v>25920</v>
      </c>
      <c r="F412" s="1">
        <v>2024</v>
      </c>
    </row>
    <row r="413" spans="1:6" x14ac:dyDescent="0.35">
      <c r="A413" s="1" t="s">
        <v>1068</v>
      </c>
      <c r="B413" s="1" t="s">
        <v>1069</v>
      </c>
      <c r="C413" s="1" t="s">
        <v>134</v>
      </c>
      <c r="D413" s="1">
        <v>4.5999999999999996</v>
      </c>
      <c r="E413" s="1">
        <v>25861</v>
      </c>
      <c r="F413" s="1">
        <v>1994</v>
      </c>
    </row>
    <row r="414" spans="1:6" x14ac:dyDescent="0.35">
      <c r="A414" s="1" t="s">
        <v>1937</v>
      </c>
      <c r="B414" s="1" t="s">
        <v>1938</v>
      </c>
      <c r="C414" s="1" t="s">
        <v>477</v>
      </c>
      <c r="D414" s="1">
        <v>5.0999999999999996</v>
      </c>
      <c r="E414" s="1">
        <v>25853</v>
      </c>
      <c r="F414" s="1">
        <v>2006</v>
      </c>
    </row>
    <row r="415" spans="1:6" x14ac:dyDescent="0.35">
      <c r="A415" s="1" t="s">
        <v>80</v>
      </c>
      <c r="B415" s="1" t="s">
        <v>81</v>
      </c>
      <c r="C415" s="1" t="s">
        <v>82</v>
      </c>
      <c r="D415" s="1">
        <v>1.7</v>
      </c>
      <c r="E415" s="1">
        <v>25843</v>
      </c>
      <c r="F415" s="1">
        <v>2010</v>
      </c>
    </row>
    <row r="416" spans="1:6" x14ac:dyDescent="0.35">
      <c r="A416" s="1" t="s">
        <v>1749</v>
      </c>
      <c r="B416" s="1" t="s">
        <v>1750</v>
      </c>
      <c r="C416" s="1" t="s">
        <v>294</v>
      </c>
      <c r="D416" s="1">
        <v>5</v>
      </c>
      <c r="E416" s="1">
        <v>25793</v>
      </c>
      <c r="F416" s="1">
        <v>2014</v>
      </c>
    </row>
    <row r="417" spans="1:6" x14ac:dyDescent="0.35">
      <c r="A417" s="1" t="s">
        <v>1227</v>
      </c>
      <c r="B417" s="1" t="s">
        <v>1228</v>
      </c>
      <c r="C417" s="1" t="s">
        <v>93</v>
      </c>
      <c r="D417" s="1">
        <v>4.7</v>
      </c>
      <c r="E417" s="1">
        <v>25779</v>
      </c>
      <c r="F417" s="1">
        <v>2024</v>
      </c>
    </row>
    <row r="418" spans="1:6" x14ac:dyDescent="0.35">
      <c r="A418" s="1" t="s">
        <v>1229</v>
      </c>
      <c r="B418" s="1" t="s">
        <v>1230</v>
      </c>
      <c r="C418" s="1" t="s">
        <v>175</v>
      </c>
      <c r="D418" s="1">
        <v>4.7</v>
      </c>
      <c r="E418" s="1">
        <v>25702</v>
      </c>
      <c r="F418" s="1">
        <v>2012</v>
      </c>
    </row>
    <row r="419" spans="1:6" x14ac:dyDescent="0.35">
      <c r="A419" s="1" t="s">
        <v>1231</v>
      </c>
      <c r="B419" s="1" t="s">
        <v>1232</v>
      </c>
      <c r="C419" s="1" t="s">
        <v>270</v>
      </c>
      <c r="D419" s="1">
        <v>4.7</v>
      </c>
      <c r="E419" s="1">
        <v>25626</v>
      </c>
      <c r="F419" s="1">
        <v>1995</v>
      </c>
    </row>
    <row r="420" spans="1:6" x14ac:dyDescent="0.35">
      <c r="A420" s="1" t="s">
        <v>458</v>
      </c>
      <c r="B420" s="1" t="s">
        <v>459</v>
      </c>
      <c r="C420" s="1" t="s">
        <v>338</v>
      </c>
      <c r="D420" s="1">
        <v>3.7</v>
      </c>
      <c r="E420" s="1">
        <v>25594</v>
      </c>
      <c r="F420" s="1">
        <v>2009</v>
      </c>
    </row>
    <row r="421" spans="1:6" x14ac:dyDescent="0.35">
      <c r="A421" s="1" t="s">
        <v>1387</v>
      </c>
      <c r="B421" s="1" t="s">
        <v>1388</v>
      </c>
      <c r="C421" s="1" t="s">
        <v>568</v>
      </c>
      <c r="D421" s="1">
        <v>4.8</v>
      </c>
      <c r="E421" s="1">
        <v>25593</v>
      </c>
      <c r="F421" s="1">
        <v>2022</v>
      </c>
    </row>
    <row r="422" spans="1:6" x14ac:dyDescent="0.35">
      <c r="A422" s="1" t="s">
        <v>374</v>
      </c>
      <c r="B422" s="1" t="s">
        <v>375</v>
      </c>
      <c r="C422" s="1" t="s">
        <v>376</v>
      </c>
      <c r="D422" s="1">
        <v>3.5</v>
      </c>
      <c r="E422" s="1">
        <v>25539</v>
      </c>
      <c r="F422" s="1">
        <v>2007</v>
      </c>
    </row>
    <row r="423" spans="1:6" x14ac:dyDescent="0.35">
      <c r="A423" s="1" t="s">
        <v>1389</v>
      </c>
      <c r="B423" s="1" t="s">
        <v>1390</v>
      </c>
      <c r="C423" s="1" t="s">
        <v>76</v>
      </c>
      <c r="D423" s="1">
        <v>4.8</v>
      </c>
      <c r="E423" s="1">
        <v>25522</v>
      </c>
      <c r="F423" s="1">
        <v>2024</v>
      </c>
    </row>
    <row r="424" spans="1:6" x14ac:dyDescent="0.35">
      <c r="A424" s="1" t="s">
        <v>866</v>
      </c>
      <c r="B424" s="1" t="s">
        <v>867</v>
      </c>
      <c r="C424" s="1" t="s">
        <v>294</v>
      </c>
      <c r="D424" s="1">
        <v>4.4000000000000004</v>
      </c>
      <c r="E424" s="1">
        <v>25450</v>
      </c>
      <c r="F424" s="1">
        <v>2013</v>
      </c>
    </row>
    <row r="425" spans="1:6" x14ac:dyDescent="0.35">
      <c r="A425" s="1" t="s">
        <v>1391</v>
      </c>
      <c r="B425" s="1" t="s">
        <v>1392</v>
      </c>
      <c r="C425" s="1" t="s">
        <v>87</v>
      </c>
      <c r="D425" s="1">
        <v>4.8</v>
      </c>
      <c r="E425" s="1">
        <v>25429</v>
      </c>
      <c r="F425" s="1">
        <v>1992</v>
      </c>
    </row>
    <row r="426" spans="1:6" x14ac:dyDescent="0.35">
      <c r="A426" s="1" t="s">
        <v>206</v>
      </c>
      <c r="B426" s="1" t="s">
        <v>207</v>
      </c>
      <c r="C426" s="1" t="s">
        <v>208</v>
      </c>
      <c r="D426" s="1">
        <v>2.7</v>
      </c>
      <c r="E426" s="1">
        <v>25301</v>
      </c>
      <c r="F426" s="1">
        <v>2022</v>
      </c>
    </row>
    <row r="427" spans="1:6" x14ac:dyDescent="0.35">
      <c r="A427" s="1" t="s">
        <v>1589</v>
      </c>
      <c r="B427" s="1" t="s">
        <v>1590</v>
      </c>
      <c r="C427" s="1" t="s">
        <v>1591</v>
      </c>
      <c r="D427" s="1">
        <v>4.9000000000000004</v>
      </c>
      <c r="E427" s="1">
        <v>25286</v>
      </c>
      <c r="F427" s="1">
        <v>2004</v>
      </c>
    </row>
    <row r="428" spans="1:6" x14ac:dyDescent="0.35">
      <c r="A428" s="1" t="s">
        <v>1939</v>
      </c>
      <c r="B428" s="1" t="s">
        <v>1940</v>
      </c>
      <c r="C428" s="1" t="s">
        <v>98</v>
      </c>
      <c r="D428" s="1">
        <v>5.0999999999999996</v>
      </c>
      <c r="E428" s="1">
        <v>25248</v>
      </c>
      <c r="F428" s="1">
        <v>1996</v>
      </c>
    </row>
    <row r="429" spans="1:6" x14ac:dyDescent="0.35">
      <c r="A429" s="1" t="s">
        <v>1941</v>
      </c>
      <c r="B429" s="1" t="s">
        <v>1942</v>
      </c>
      <c r="C429" s="1" t="s">
        <v>1075</v>
      </c>
      <c r="D429" s="1">
        <v>5.0999999999999996</v>
      </c>
      <c r="E429" s="1">
        <v>25219</v>
      </c>
      <c r="F429" s="1">
        <v>1989</v>
      </c>
    </row>
    <row r="430" spans="1:6" x14ac:dyDescent="0.35">
      <c r="A430" s="1" t="s">
        <v>1592</v>
      </c>
      <c r="B430" s="1" t="s">
        <v>1593</v>
      </c>
      <c r="C430" s="1" t="s">
        <v>116</v>
      </c>
      <c r="D430" s="1">
        <v>4.9000000000000004</v>
      </c>
      <c r="E430" s="1">
        <v>25175</v>
      </c>
      <c r="F430" s="1">
        <v>2024</v>
      </c>
    </row>
    <row r="431" spans="1:6" x14ac:dyDescent="0.35">
      <c r="A431" s="1" t="s">
        <v>1751</v>
      </c>
      <c r="B431" s="1" t="s">
        <v>1752</v>
      </c>
      <c r="C431" s="1" t="s">
        <v>846</v>
      </c>
      <c r="D431" s="1">
        <v>5</v>
      </c>
      <c r="E431" s="1">
        <v>25165</v>
      </c>
      <c r="F431" s="1">
        <v>2003</v>
      </c>
    </row>
    <row r="432" spans="1:6" x14ac:dyDescent="0.35">
      <c r="A432" s="1" t="s">
        <v>767</v>
      </c>
      <c r="B432" s="1" t="s">
        <v>768</v>
      </c>
      <c r="C432" s="1" t="s">
        <v>68</v>
      </c>
      <c r="D432" s="1">
        <v>4.3</v>
      </c>
      <c r="E432" s="1">
        <v>25148</v>
      </c>
      <c r="F432" s="1">
        <v>2013</v>
      </c>
    </row>
    <row r="433" spans="1:6" x14ac:dyDescent="0.35">
      <c r="A433" s="1" t="s">
        <v>289</v>
      </c>
      <c r="B433" s="1" t="s">
        <v>290</v>
      </c>
      <c r="C433" s="1" t="s">
        <v>291</v>
      </c>
      <c r="D433" s="1">
        <v>3.1</v>
      </c>
      <c r="E433" s="1">
        <v>25105</v>
      </c>
      <c r="F433" s="1">
        <v>2007</v>
      </c>
    </row>
    <row r="434" spans="1:6" x14ac:dyDescent="0.35">
      <c r="A434" s="1" t="s">
        <v>550</v>
      </c>
      <c r="B434" s="1" t="s">
        <v>551</v>
      </c>
      <c r="C434" s="1" t="s">
        <v>76</v>
      </c>
      <c r="D434" s="1">
        <v>3.9</v>
      </c>
      <c r="E434" s="1">
        <v>25083</v>
      </c>
      <c r="F434" s="1">
        <v>2017</v>
      </c>
    </row>
    <row r="435" spans="1:6" x14ac:dyDescent="0.35">
      <c r="A435" s="1" t="s">
        <v>707</v>
      </c>
      <c r="B435" s="1" t="s">
        <v>708</v>
      </c>
      <c r="C435" s="1" t="s">
        <v>709</v>
      </c>
      <c r="D435" s="1">
        <v>4.2</v>
      </c>
      <c r="E435" s="1">
        <v>25030</v>
      </c>
      <c r="F435" s="1">
        <v>2021</v>
      </c>
    </row>
    <row r="436" spans="1:6" x14ac:dyDescent="0.35">
      <c r="A436" s="1" t="s">
        <v>1233</v>
      </c>
      <c r="B436" s="1" t="s">
        <v>1234</v>
      </c>
      <c r="C436" s="1" t="s">
        <v>82</v>
      </c>
      <c r="D436" s="1">
        <v>4.7</v>
      </c>
      <c r="E436" s="1">
        <v>25006</v>
      </c>
      <c r="F436" s="1">
        <v>2024</v>
      </c>
    </row>
    <row r="437" spans="1:6" x14ac:dyDescent="0.35">
      <c r="A437" s="1" t="s">
        <v>964</v>
      </c>
      <c r="B437" s="1" t="s">
        <v>965</v>
      </c>
      <c r="C437" s="1" t="s">
        <v>11</v>
      </c>
      <c r="D437" s="1">
        <v>4.5</v>
      </c>
      <c r="E437" s="1">
        <v>24952</v>
      </c>
      <c r="F437" s="1">
        <v>2004</v>
      </c>
    </row>
    <row r="438" spans="1:6" x14ac:dyDescent="0.35">
      <c r="A438" s="1" t="s">
        <v>769</v>
      </c>
      <c r="B438" s="1" t="s">
        <v>770</v>
      </c>
      <c r="C438" s="1" t="s">
        <v>163</v>
      </c>
      <c r="D438" s="1">
        <v>4.3</v>
      </c>
      <c r="E438" s="1">
        <v>24871</v>
      </c>
      <c r="F438" s="1">
        <v>2008</v>
      </c>
    </row>
    <row r="439" spans="1:6" x14ac:dyDescent="0.35">
      <c r="A439" s="1" t="s">
        <v>966</v>
      </c>
      <c r="B439" s="1" t="s">
        <v>967</v>
      </c>
      <c r="C439" s="1" t="s">
        <v>508</v>
      </c>
      <c r="D439" s="1">
        <v>4.5</v>
      </c>
      <c r="E439" s="1">
        <v>24829</v>
      </c>
      <c r="F439" s="1">
        <v>2019</v>
      </c>
    </row>
    <row r="440" spans="1:6" x14ac:dyDescent="0.35">
      <c r="A440" s="1" t="s">
        <v>413</v>
      </c>
      <c r="B440" s="1" t="s">
        <v>414</v>
      </c>
      <c r="C440" s="1" t="s">
        <v>122</v>
      </c>
      <c r="D440" s="1">
        <v>3.6</v>
      </c>
      <c r="E440" s="1">
        <v>24800</v>
      </c>
      <c r="F440" s="1">
        <v>2004</v>
      </c>
    </row>
    <row r="441" spans="1:6" x14ac:dyDescent="0.35">
      <c r="A441" s="1" t="s">
        <v>552</v>
      </c>
      <c r="B441" s="1" t="s">
        <v>553</v>
      </c>
      <c r="C441" s="1" t="s">
        <v>554</v>
      </c>
      <c r="D441" s="1">
        <v>3.9</v>
      </c>
      <c r="E441" s="1">
        <v>24718</v>
      </c>
      <c r="F441" s="1">
        <v>2009</v>
      </c>
    </row>
    <row r="442" spans="1:6" x14ac:dyDescent="0.35">
      <c r="A442" s="1" t="s">
        <v>968</v>
      </c>
      <c r="B442" s="1" t="s">
        <v>969</v>
      </c>
      <c r="C442" s="1" t="s">
        <v>146</v>
      </c>
      <c r="D442" s="1">
        <v>4.5</v>
      </c>
      <c r="E442" s="1">
        <v>24501</v>
      </c>
      <c r="F442" s="1">
        <v>2007</v>
      </c>
    </row>
    <row r="443" spans="1:6" x14ac:dyDescent="0.35">
      <c r="A443" s="1" t="s">
        <v>868</v>
      </c>
      <c r="B443" s="1" t="s">
        <v>869</v>
      </c>
      <c r="C443" s="1" t="s">
        <v>166</v>
      </c>
      <c r="D443" s="1">
        <v>4.4000000000000004</v>
      </c>
      <c r="E443" s="1">
        <v>24457</v>
      </c>
      <c r="F443" s="1">
        <v>1984</v>
      </c>
    </row>
    <row r="444" spans="1:6" x14ac:dyDescent="0.35">
      <c r="A444" s="1" t="s">
        <v>1943</v>
      </c>
      <c r="B444" s="1" t="s">
        <v>1944</v>
      </c>
      <c r="C444" s="1" t="s">
        <v>294</v>
      </c>
      <c r="D444" s="1">
        <v>5.0999999999999996</v>
      </c>
      <c r="E444" s="1">
        <v>24451</v>
      </c>
      <c r="F444" s="1">
        <v>2019</v>
      </c>
    </row>
    <row r="445" spans="1:6" x14ac:dyDescent="0.35">
      <c r="A445" s="1" t="s">
        <v>1235</v>
      </c>
      <c r="B445" s="1" t="s">
        <v>1236</v>
      </c>
      <c r="C445" s="1" t="s">
        <v>338</v>
      </c>
      <c r="D445" s="1">
        <v>4.7</v>
      </c>
      <c r="E445" s="1">
        <v>24427</v>
      </c>
      <c r="F445" s="1">
        <v>2024</v>
      </c>
    </row>
    <row r="446" spans="1:6" x14ac:dyDescent="0.35">
      <c r="A446" s="1" t="s">
        <v>1237</v>
      </c>
      <c r="B446" s="1" t="s">
        <v>1238</v>
      </c>
      <c r="C446" s="1" t="s">
        <v>158</v>
      </c>
      <c r="D446" s="1">
        <v>4.7</v>
      </c>
      <c r="E446" s="1">
        <v>24366</v>
      </c>
      <c r="F446" s="1">
        <v>2004</v>
      </c>
    </row>
    <row r="447" spans="1:6" x14ac:dyDescent="0.35">
      <c r="A447" s="1" t="s">
        <v>970</v>
      </c>
      <c r="B447" s="1" t="s">
        <v>971</v>
      </c>
      <c r="C447" s="1" t="s">
        <v>568</v>
      </c>
      <c r="D447" s="1">
        <v>4.5</v>
      </c>
      <c r="E447" s="1">
        <v>24338</v>
      </c>
      <c r="F447" s="1">
        <v>2021</v>
      </c>
    </row>
    <row r="448" spans="1:6" x14ac:dyDescent="0.35">
      <c r="A448" s="1" t="s">
        <v>1393</v>
      </c>
      <c r="B448" s="1" t="s">
        <v>1394</v>
      </c>
      <c r="C448" s="1" t="s">
        <v>116</v>
      </c>
      <c r="D448" s="1">
        <v>4.8</v>
      </c>
      <c r="E448" s="1">
        <v>24209</v>
      </c>
      <c r="F448" s="1">
        <v>2006</v>
      </c>
    </row>
    <row r="449" spans="1:6" x14ac:dyDescent="0.35">
      <c r="A449" s="1" t="s">
        <v>156</v>
      </c>
      <c r="B449" s="1" t="s">
        <v>157</v>
      </c>
      <c r="C449" s="1" t="s">
        <v>158</v>
      </c>
      <c r="D449" s="1">
        <v>2.4</v>
      </c>
      <c r="E449" s="1">
        <v>24198</v>
      </c>
      <c r="F449" s="1">
        <v>2001</v>
      </c>
    </row>
    <row r="450" spans="1:6" x14ac:dyDescent="0.35">
      <c r="A450" s="1" t="s">
        <v>1594</v>
      </c>
      <c r="B450" s="1" t="s">
        <v>1595</v>
      </c>
      <c r="C450" s="1" t="s">
        <v>44</v>
      </c>
      <c r="D450" s="1">
        <v>4.9000000000000004</v>
      </c>
      <c r="E450" s="1">
        <v>24124</v>
      </c>
      <c r="F450" s="1">
        <v>1991</v>
      </c>
    </row>
    <row r="451" spans="1:6" x14ac:dyDescent="0.35">
      <c r="A451" s="1" t="s">
        <v>1596</v>
      </c>
      <c r="B451" s="1" t="s">
        <v>1597</v>
      </c>
      <c r="C451" s="1" t="s">
        <v>639</v>
      </c>
      <c r="D451" s="1">
        <v>4.9000000000000004</v>
      </c>
      <c r="E451" s="1">
        <v>23991</v>
      </c>
      <c r="F451" s="1">
        <v>1992</v>
      </c>
    </row>
    <row r="452" spans="1:6" x14ac:dyDescent="0.35">
      <c r="A452" s="1" t="s">
        <v>870</v>
      </c>
      <c r="B452" s="1" t="s">
        <v>871</v>
      </c>
      <c r="C452" s="1" t="s">
        <v>205</v>
      </c>
      <c r="D452" s="1">
        <v>4.4000000000000004</v>
      </c>
      <c r="E452" s="1">
        <v>23967</v>
      </c>
      <c r="F452" s="1">
        <v>2015</v>
      </c>
    </row>
    <row r="453" spans="1:6" x14ac:dyDescent="0.35">
      <c r="A453" s="1" t="s">
        <v>771</v>
      </c>
      <c r="B453" s="1" t="s">
        <v>772</v>
      </c>
      <c r="C453" s="1" t="s">
        <v>646</v>
      </c>
      <c r="D453" s="1">
        <v>4.3</v>
      </c>
      <c r="E453" s="1">
        <v>23940</v>
      </c>
      <c r="F453" s="1">
        <v>2022</v>
      </c>
    </row>
    <row r="454" spans="1:6" x14ac:dyDescent="0.35">
      <c r="A454" s="1" t="s">
        <v>1239</v>
      </c>
      <c r="B454" s="1" t="s">
        <v>1240</v>
      </c>
      <c r="C454" s="1" t="s">
        <v>270</v>
      </c>
      <c r="D454" s="1">
        <v>4.7</v>
      </c>
      <c r="E454" s="1">
        <v>23931</v>
      </c>
      <c r="F454" s="1">
        <v>2014</v>
      </c>
    </row>
    <row r="455" spans="1:6" x14ac:dyDescent="0.35">
      <c r="A455" s="1" t="s">
        <v>1070</v>
      </c>
      <c r="B455" s="1" t="s">
        <v>1071</v>
      </c>
      <c r="C455" s="1" t="s">
        <v>1072</v>
      </c>
      <c r="D455" s="1">
        <v>4.5999999999999996</v>
      </c>
      <c r="E455" s="1">
        <v>23858</v>
      </c>
      <c r="F455" s="1">
        <v>2007</v>
      </c>
    </row>
    <row r="456" spans="1:6" x14ac:dyDescent="0.35">
      <c r="A456" s="1" t="s">
        <v>1073</v>
      </c>
      <c r="B456" s="1" t="s">
        <v>1074</v>
      </c>
      <c r="C456" s="1" t="s">
        <v>1075</v>
      </c>
      <c r="D456" s="1">
        <v>4.5999999999999996</v>
      </c>
      <c r="E456" s="1">
        <v>23801</v>
      </c>
      <c r="F456" s="1">
        <v>2022</v>
      </c>
    </row>
    <row r="457" spans="1:6" x14ac:dyDescent="0.35">
      <c r="A457" s="1" t="s">
        <v>1076</v>
      </c>
      <c r="B457" s="1" t="s">
        <v>1077</v>
      </c>
      <c r="C457" s="1" t="s">
        <v>65</v>
      </c>
      <c r="D457" s="1">
        <v>4.5999999999999996</v>
      </c>
      <c r="E457" s="1">
        <v>23739</v>
      </c>
      <c r="F457" s="1">
        <v>2010</v>
      </c>
    </row>
    <row r="458" spans="1:6" x14ac:dyDescent="0.35">
      <c r="A458" s="1" t="s">
        <v>647</v>
      </c>
      <c r="B458" s="1" t="s">
        <v>648</v>
      </c>
      <c r="C458" s="1" t="s">
        <v>649</v>
      </c>
      <c r="D458" s="1">
        <v>4.0999999999999996</v>
      </c>
      <c r="E458" s="1">
        <v>23717</v>
      </c>
      <c r="F458" s="1">
        <v>2012</v>
      </c>
    </row>
    <row r="459" spans="1:6" x14ac:dyDescent="0.35">
      <c r="A459" s="1" t="s">
        <v>1241</v>
      </c>
      <c r="B459" s="1" t="s">
        <v>1242</v>
      </c>
      <c r="C459" s="1" t="s">
        <v>1243</v>
      </c>
      <c r="D459" s="1">
        <v>4.7</v>
      </c>
      <c r="E459" s="1">
        <v>23690</v>
      </c>
      <c r="F459" s="1">
        <v>2020</v>
      </c>
    </row>
    <row r="460" spans="1:6" x14ac:dyDescent="0.35">
      <c r="A460" s="1" t="s">
        <v>1945</v>
      </c>
      <c r="B460" s="1" t="s">
        <v>1946</v>
      </c>
      <c r="C460" s="1" t="s">
        <v>1947</v>
      </c>
      <c r="D460" s="1">
        <v>5.0999999999999996</v>
      </c>
      <c r="E460" s="1">
        <v>23649</v>
      </c>
      <c r="F460" s="1">
        <v>2022</v>
      </c>
    </row>
    <row r="461" spans="1:6" x14ac:dyDescent="0.35">
      <c r="A461" s="1" t="s">
        <v>1948</v>
      </c>
      <c r="B461" s="1">
        <v>31</v>
      </c>
      <c r="C461" s="1" t="s">
        <v>82</v>
      </c>
      <c r="D461" s="1">
        <v>5.0999999999999996</v>
      </c>
      <c r="E461" s="1">
        <v>23633</v>
      </c>
      <c r="F461" s="1">
        <v>2016</v>
      </c>
    </row>
    <row r="462" spans="1:6" x14ac:dyDescent="0.35">
      <c r="A462" s="1" t="s">
        <v>377</v>
      </c>
      <c r="B462" s="1" t="s">
        <v>378</v>
      </c>
      <c r="C462" s="1" t="s">
        <v>11</v>
      </c>
      <c r="D462" s="1">
        <v>3.5</v>
      </c>
      <c r="E462" s="1">
        <v>23615</v>
      </c>
      <c r="F462" s="1">
        <v>2016</v>
      </c>
    </row>
    <row r="463" spans="1:6" x14ac:dyDescent="0.35">
      <c r="A463" s="1" t="s">
        <v>1753</v>
      </c>
      <c r="B463" s="1" t="s">
        <v>1754</v>
      </c>
      <c r="C463" s="1" t="s">
        <v>646</v>
      </c>
      <c r="D463" s="1">
        <v>5</v>
      </c>
      <c r="E463" s="1">
        <v>23466</v>
      </c>
      <c r="F463" s="1">
        <v>2008</v>
      </c>
    </row>
    <row r="464" spans="1:6" x14ac:dyDescent="0.35">
      <c r="A464" s="1" t="s">
        <v>1949</v>
      </c>
      <c r="B464" s="1" t="s">
        <v>1950</v>
      </c>
      <c r="C464" s="1" t="s">
        <v>400</v>
      </c>
      <c r="D464" s="1">
        <v>5.0999999999999996</v>
      </c>
      <c r="E464" s="1">
        <v>23465</v>
      </c>
      <c r="F464" s="1">
        <v>2017</v>
      </c>
    </row>
    <row r="465" spans="1:6" x14ac:dyDescent="0.35">
      <c r="A465" s="1" t="s">
        <v>1395</v>
      </c>
      <c r="B465" s="1" t="s">
        <v>1396</v>
      </c>
      <c r="C465" s="1" t="s">
        <v>508</v>
      </c>
      <c r="D465" s="1">
        <v>4.8</v>
      </c>
      <c r="E465" s="1">
        <v>23460</v>
      </c>
      <c r="F465" s="1">
        <v>2013</v>
      </c>
    </row>
    <row r="466" spans="1:6" x14ac:dyDescent="0.35">
      <c r="A466" s="1" t="s">
        <v>1755</v>
      </c>
      <c r="B466" s="1" t="s">
        <v>1756</v>
      </c>
      <c r="C466" s="1" t="s">
        <v>951</v>
      </c>
      <c r="D466" s="1">
        <v>5</v>
      </c>
      <c r="E466" s="1">
        <v>23421</v>
      </c>
      <c r="F466" s="1">
        <v>2018</v>
      </c>
    </row>
    <row r="467" spans="1:6" x14ac:dyDescent="0.35">
      <c r="A467" s="1" t="s">
        <v>1598</v>
      </c>
      <c r="B467" s="1" t="s">
        <v>1599</v>
      </c>
      <c r="C467" s="1" t="s">
        <v>217</v>
      </c>
      <c r="D467" s="1">
        <v>4.9000000000000004</v>
      </c>
      <c r="E467" s="1">
        <v>23360</v>
      </c>
      <c r="F467" s="1">
        <v>2015</v>
      </c>
    </row>
    <row r="468" spans="1:6" x14ac:dyDescent="0.35">
      <c r="A468" s="1" t="s">
        <v>1951</v>
      </c>
      <c r="B468" s="1" t="s">
        <v>1952</v>
      </c>
      <c r="C468" s="1" t="s">
        <v>93</v>
      </c>
      <c r="D468" s="1">
        <v>5.0999999999999996</v>
      </c>
      <c r="E468" s="1">
        <v>23343</v>
      </c>
      <c r="F468" s="1">
        <v>2024</v>
      </c>
    </row>
    <row r="469" spans="1:6" x14ac:dyDescent="0.35">
      <c r="A469" s="1" t="s">
        <v>1397</v>
      </c>
      <c r="B469" s="1" t="s">
        <v>1398</v>
      </c>
      <c r="C469" s="1" t="s">
        <v>116</v>
      </c>
      <c r="D469" s="1">
        <v>4.8</v>
      </c>
      <c r="E469" s="1">
        <v>23297</v>
      </c>
      <c r="F469" s="1">
        <v>2021</v>
      </c>
    </row>
    <row r="470" spans="1:6" x14ac:dyDescent="0.35">
      <c r="A470" s="1" t="s">
        <v>972</v>
      </c>
      <c r="B470" s="1" t="s">
        <v>973</v>
      </c>
      <c r="C470" s="1" t="s">
        <v>11</v>
      </c>
      <c r="D470" s="1">
        <v>4.5</v>
      </c>
      <c r="E470" s="1">
        <v>23286</v>
      </c>
      <c r="F470" s="1">
        <v>2009</v>
      </c>
    </row>
    <row r="471" spans="1:6" x14ac:dyDescent="0.35">
      <c r="A471" s="1" t="s">
        <v>872</v>
      </c>
      <c r="B471" s="1" t="s">
        <v>873</v>
      </c>
      <c r="C471" s="1" t="s">
        <v>568</v>
      </c>
      <c r="D471" s="1">
        <v>4.4000000000000004</v>
      </c>
      <c r="E471" s="1">
        <v>23267</v>
      </c>
      <c r="F471" s="1">
        <v>2023</v>
      </c>
    </row>
    <row r="472" spans="1:6" x14ac:dyDescent="0.35">
      <c r="A472" s="1" t="s">
        <v>1953</v>
      </c>
      <c r="B472" s="1" t="s">
        <v>1954</v>
      </c>
      <c r="C472" s="1" t="s">
        <v>128</v>
      </c>
      <c r="D472" s="1">
        <v>5.0999999999999996</v>
      </c>
      <c r="E472" s="1">
        <v>23205</v>
      </c>
      <c r="F472" s="1">
        <v>2017</v>
      </c>
    </row>
    <row r="473" spans="1:6" x14ac:dyDescent="0.35">
      <c r="A473" s="1" t="s">
        <v>159</v>
      </c>
      <c r="B473" s="1" t="s">
        <v>160</v>
      </c>
      <c r="C473" s="1" t="s">
        <v>8</v>
      </c>
      <c r="D473" s="1">
        <v>2.4</v>
      </c>
      <c r="E473" s="1">
        <v>23140</v>
      </c>
      <c r="F473" s="1">
        <v>2018</v>
      </c>
    </row>
    <row r="474" spans="1:6" x14ac:dyDescent="0.35">
      <c r="A474" s="1" t="s">
        <v>874</v>
      </c>
      <c r="B474" s="1" t="s">
        <v>875</v>
      </c>
      <c r="C474" s="1" t="s">
        <v>178</v>
      </c>
      <c r="D474" s="1">
        <v>4.4000000000000004</v>
      </c>
      <c r="E474" s="1">
        <v>23135</v>
      </c>
      <c r="F474" s="1">
        <v>2006</v>
      </c>
    </row>
    <row r="475" spans="1:6" x14ac:dyDescent="0.35">
      <c r="A475" s="1" t="s">
        <v>196</v>
      </c>
      <c r="B475" s="1" t="s">
        <v>197</v>
      </c>
      <c r="C475" s="1" t="s">
        <v>198</v>
      </c>
      <c r="D475" s="1">
        <v>2.6</v>
      </c>
      <c r="E475" s="1">
        <v>23076</v>
      </c>
      <c r="F475" s="1">
        <v>2019</v>
      </c>
    </row>
    <row r="476" spans="1:6" x14ac:dyDescent="0.35">
      <c r="A476" s="1" t="s">
        <v>350</v>
      </c>
      <c r="B476" s="1" t="s">
        <v>351</v>
      </c>
      <c r="C476" s="1" t="s">
        <v>352</v>
      </c>
      <c r="D476" s="1">
        <v>3.4</v>
      </c>
      <c r="E476" s="1">
        <v>23043</v>
      </c>
      <c r="F476" s="1">
        <v>2002</v>
      </c>
    </row>
    <row r="477" spans="1:6" x14ac:dyDescent="0.35">
      <c r="A477" s="1" t="s">
        <v>1399</v>
      </c>
      <c r="B477" s="1" t="s">
        <v>1400</v>
      </c>
      <c r="C477" s="1" t="s">
        <v>178</v>
      </c>
      <c r="D477" s="1">
        <v>4.8</v>
      </c>
      <c r="E477" s="1">
        <v>23019</v>
      </c>
      <c r="F477" s="1">
        <v>2007</v>
      </c>
    </row>
    <row r="478" spans="1:6" x14ac:dyDescent="0.35">
      <c r="A478" s="1" t="s">
        <v>123</v>
      </c>
      <c r="B478" s="1" t="s">
        <v>124</v>
      </c>
      <c r="C478" s="1" t="s">
        <v>125</v>
      </c>
      <c r="D478" s="1">
        <v>2.2000000000000002</v>
      </c>
      <c r="E478" s="1">
        <v>22954</v>
      </c>
      <c r="F478" s="1">
        <v>2019</v>
      </c>
    </row>
    <row r="479" spans="1:6" x14ac:dyDescent="0.35">
      <c r="A479" s="1" t="s">
        <v>297</v>
      </c>
      <c r="B479" s="1" t="s">
        <v>298</v>
      </c>
      <c r="C479" s="1" t="s">
        <v>299</v>
      </c>
      <c r="D479" s="1">
        <v>3.2</v>
      </c>
      <c r="E479" s="1">
        <v>22908</v>
      </c>
      <c r="F479" s="1">
        <v>2013</v>
      </c>
    </row>
    <row r="480" spans="1:6" x14ac:dyDescent="0.35">
      <c r="A480" s="1" t="s">
        <v>773</v>
      </c>
      <c r="B480" s="1" t="s">
        <v>774</v>
      </c>
      <c r="C480" s="1" t="s">
        <v>44</v>
      </c>
      <c r="D480" s="1">
        <v>4.3</v>
      </c>
      <c r="E480" s="1">
        <v>22904</v>
      </c>
      <c r="F480" s="1">
        <v>2007</v>
      </c>
    </row>
    <row r="481" spans="1:6" x14ac:dyDescent="0.35">
      <c r="A481" s="1" t="s">
        <v>1955</v>
      </c>
      <c r="B481" s="1" t="s">
        <v>1956</v>
      </c>
      <c r="C481" s="1" t="s">
        <v>93</v>
      </c>
      <c r="D481" s="1">
        <v>5.0999999999999996</v>
      </c>
      <c r="E481" s="1">
        <v>22895</v>
      </c>
      <c r="F481" s="1">
        <v>2023</v>
      </c>
    </row>
    <row r="482" spans="1:6" x14ac:dyDescent="0.35">
      <c r="A482" s="1" t="s">
        <v>600</v>
      </c>
      <c r="B482" s="1" t="s">
        <v>601</v>
      </c>
      <c r="C482" s="1" t="s">
        <v>455</v>
      </c>
      <c r="D482" s="1">
        <v>4</v>
      </c>
      <c r="E482" s="1">
        <v>22857</v>
      </c>
      <c r="F482" s="1">
        <v>2006</v>
      </c>
    </row>
    <row r="483" spans="1:6" x14ac:dyDescent="0.35">
      <c r="A483" s="1" t="s">
        <v>1401</v>
      </c>
      <c r="B483" s="1" t="s">
        <v>1402</v>
      </c>
      <c r="C483" s="1" t="s">
        <v>1403</v>
      </c>
      <c r="D483" s="1">
        <v>4.8</v>
      </c>
      <c r="E483" s="1">
        <v>22810</v>
      </c>
      <c r="F483" s="1">
        <v>2009</v>
      </c>
    </row>
    <row r="484" spans="1:6" x14ac:dyDescent="0.35">
      <c r="A484" s="1" t="s">
        <v>1957</v>
      </c>
      <c r="B484" s="1" t="s">
        <v>1958</v>
      </c>
      <c r="C484" s="1" t="s">
        <v>275</v>
      </c>
      <c r="D484" s="1">
        <v>5.0999999999999996</v>
      </c>
      <c r="E484" s="1">
        <v>22787</v>
      </c>
      <c r="F484" s="1">
        <v>2018</v>
      </c>
    </row>
    <row r="485" spans="1:6" x14ac:dyDescent="0.35">
      <c r="A485" s="1" t="s">
        <v>1078</v>
      </c>
      <c r="B485" s="1" t="s">
        <v>1079</v>
      </c>
      <c r="C485" s="1" t="s">
        <v>338</v>
      </c>
      <c r="D485" s="1">
        <v>4.5999999999999996</v>
      </c>
      <c r="E485" s="1">
        <v>22517</v>
      </c>
      <c r="F485" s="1">
        <v>1996</v>
      </c>
    </row>
    <row r="486" spans="1:6" x14ac:dyDescent="0.35">
      <c r="A486" s="1" t="s">
        <v>1757</v>
      </c>
      <c r="B486" s="1" t="s">
        <v>1758</v>
      </c>
      <c r="C486" s="1" t="s">
        <v>116</v>
      </c>
      <c r="D486" s="1">
        <v>5</v>
      </c>
      <c r="E486" s="1">
        <v>22425</v>
      </c>
      <c r="F486" s="1">
        <v>2009</v>
      </c>
    </row>
    <row r="487" spans="1:6" x14ac:dyDescent="0.35">
      <c r="A487" s="1" t="s">
        <v>974</v>
      </c>
      <c r="B487" s="1" t="s">
        <v>975</v>
      </c>
      <c r="C487" s="1" t="s">
        <v>976</v>
      </c>
      <c r="D487" s="1">
        <v>4.5</v>
      </c>
      <c r="E487" s="1">
        <v>22416</v>
      </c>
      <c r="F487" s="1">
        <v>1994</v>
      </c>
    </row>
    <row r="488" spans="1:6" x14ac:dyDescent="0.35">
      <c r="A488" s="1" t="s">
        <v>775</v>
      </c>
      <c r="B488" s="1" t="s">
        <v>776</v>
      </c>
      <c r="C488" s="1" t="s">
        <v>777</v>
      </c>
      <c r="D488" s="1">
        <v>4.3</v>
      </c>
      <c r="E488" s="1">
        <v>22352</v>
      </c>
      <c r="F488" s="1">
        <v>2002</v>
      </c>
    </row>
    <row r="489" spans="1:6" x14ac:dyDescent="0.35">
      <c r="A489" s="1" t="s">
        <v>650</v>
      </c>
      <c r="B489" s="1" t="s">
        <v>651</v>
      </c>
      <c r="C489" s="1" t="s">
        <v>565</v>
      </c>
      <c r="D489" s="1">
        <v>4.0999999999999996</v>
      </c>
      <c r="E489" s="1">
        <v>22267</v>
      </c>
      <c r="F489" s="1">
        <v>2019</v>
      </c>
    </row>
    <row r="490" spans="1:6" x14ac:dyDescent="0.35">
      <c r="A490" s="1" t="s">
        <v>652</v>
      </c>
      <c r="B490" s="1" t="s">
        <v>653</v>
      </c>
      <c r="C490" s="1" t="s">
        <v>654</v>
      </c>
      <c r="D490" s="1">
        <v>4.0999999999999996</v>
      </c>
      <c r="E490" s="1">
        <v>22226</v>
      </c>
      <c r="F490" s="1">
        <v>2018</v>
      </c>
    </row>
    <row r="491" spans="1:6" x14ac:dyDescent="0.35">
      <c r="A491" s="1" t="s">
        <v>1404</v>
      </c>
      <c r="B491" s="1" t="s">
        <v>1405</v>
      </c>
      <c r="C491" s="1" t="s">
        <v>143</v>
      </c>
      <c r="D491" s="1">
        <v>4.8</v>
      </c>
      <c r="E491" s="1">
        <v>22108</v>
      </c>
      <c r="F491" s="1">
        <v>2016</v>
      </c>
    </row>
    <row r="492" spans="1:6" x14ac:dyDescent="0.35">
      <c r="A492" s="1" t="s">
        <v>555</v>
      </c>
      <c r="B492" s="1" t="s">
        <v>556</v>
      </c>
      <c r="C492" s="1" t="s">
        <v>557</v>
      </c>
      <c r="D492" s="1">
        <v>3.9</v>
      </c>
      <c r="E492" s="1">
        <v>22055</v>
      </c>
      <c r="F492" s="1">
        <v>2017</v>
      </c>
    </row>
    <row r="493" spans="1:6" x14ac:dyDescent="0.35">
      <c r="A493" s="1" t="s">
        <v>977</v>
      </c>
      <c r="B493" s="1" t="s">
        <v>978</v>
      </c>
      <c r="C493" s="1" t="s">
        <v>155</v>
      </c>
      <c r="D493" s="1">
        <v>4.5</v>
      </c>
      <c r="E493" s="1">
        <v>22037</v>
      </c>
      <c r="F493" s="1">
        <v>2008</v>
      </c>
    </row>
    <row r="494" spans="1:6" x14ac:dyDescent="0.35">
      <c r="A494" s="1" t="s">
        <v>1406</v>
      </c>
      <c r="B494" s="1" t="s">
        <v>1407</v>
      </c>
      <c r="C494" s="1" t="s">
        <v>175</v>
      </c>
      <c r="D494" s="1">
        <v>4.8</v>
      </c>
      <c r="E494" s="1">
        <v>21937</v>
      </c>
      <c r="F494" s="1">
        <v>2010</v>
      </c>
    </row>
    <row r="495" spans="1:6" x14ac:dyDescent="0.35">
      <c r="A495" s="1" t="s">
        <v>876</v>
      </c>
      <c r="B495" s="1" t="s">
        <v>877</v>
      </c>
      <c r="C495" s="1" t="s">
        <v>56</v>
      </c>
      <c r="D495" s="1">
        <v>4.4000000000000004</v>
      </c>
      <c r="E495" s="1">
        <v>21913</v>
      </c>
      <c r="F495" s="1">
        <v>2011</v>
      </c>
    </row>
    <row r="496" spans="1:6" x14ac:dyDescent="0.35">
      <c r="A496" s="1" t="s">
        <v>710</v>
      </c>
      <c r="B496" s="1" t="s">
        <v>711</v>
      </c>
      <c r="C496" s="1" t="s">
        <v>175</v>
      </c>
      <c r="D496" s="1">
        <v>4.2</v>
      </c>
      <c r="E496" s="1">
        <v>21872</v>
      </c>
      <c r="F496" s="1">
        <v>2015</v>
      </c>
    </row>
    <row r="497" spans="1:6" x14ac:dyDescent="0.35">
      <c r="A497" s="1" t="s">
        <v>778</v>
      </c>
      <c r="B497" s="1" t="s">
        <v>779</v>
      </c>
      <c r="C497" s="1" t="s">
        <v>11</v>
      </c>
      <c r="D497" s="1">
        <v>4.3</v>
      </c>
      <c r="E497" s="1">
        <v>21719</v>
      </c>
      <c r="F497" s="1">
        <v>2010</v>
      </c>
    </row>
    <row r="498" spans="1:6" x14ac:dyDescent="0.35">
      <c r="A498" s="1" t="s">
        <v>1080</v>
      </c>
      <c r="B498" s="1" t="s">
        <v>1081</v>
      </c>
      <c r="C498" s="1" t="s">
        <v>93</v>
      </c>
      <c r="D498" s="1">
        <v>4.5999999999999996</v>
      </c>
      <c r="E498" s="1">
        <v>21671</v>
      </c>
      <c r="F498" s="1">
        <v>2003</v>
      </c>
    </row>
    <row r="499" spans="1:6" x14ac:dyDescent="0.35">
      <c r="A499" s="1" t="s">
        <v>1959</v>
      </c>
      <c r="B499" s="1" t="s">
        <v>1960</v>
      </c>
      <c r="C499" s="1" t="s">
        <v>1778</v>
      </c>
      <c r="D499" s="1">
        <v>5.0999999999999996</v>
      </c>
      <c r="E499" s="1">
        <v>21613</v>
      </c>
      <c r="F499" s="1">
        <v>2012</v>
      </c>
    </row>
    <row r="500" spans="1:6" x14ac:dyDescent="0.35">
      <c r="A500" s="1" t="s">
        <v>1600</v>
      </c>
      <c r="B500" s="1" t="s">
        <v>1601</v>
      </c>
      <c r="C500" s="1" t="s">
        <v>951</v>
      </c>
      <c r="D500" s="1">
        <v>4.9000000000000004</v>
      </c>
      <c r="E500" s="1">
        <v>21611</v>
      </c>
      <c r="F500" s="1">
        <v>2021</v>
      </c>
    </row>
    <row r="501" spans="1:6" x14ac:dyDescent="0.35">
      <c r="A501" s="1" t="s">
        <v>1408</v>
      </c>
      <c r="B501" s="1" t="s">
        <v>1409</v>
      </c>
      <c r="C501" s="1" t="s">
        <v>208</v>
      </c>
      <c r="D501" s="1">
        <v>4.8</v>
      </c>
      <c r="E501" s="1">
        <v>21536</v>
      </c>
      <c r="F501" s="1">
        <v>2021</v>
      </c>
    </row>
    <row r="502" spans="1:6" x14ac:dyDescent="0.35">
      <c r="A502" s="1" t="s">
        <v>1082</v>
      </c>
      <c r="B502" s="1" t="s">
        <v>1083</v>
      </c>
      <c r="C502" s="1" t="s">
        <v>166</v>
      </c>
      <c r="D502" s="1">
        <v>4.5999999999999996</v>
      </c>
      <c r="E502" s="1">
        <v>21523</v>
      </c>
      <c r="F502" s="1">
        <v>2000</v>
      </c>
    </row>
    <row r="503" spans="1:6" x14ac:dyDescent="0.35">
      <c r="A503" s="1" t="s">
        <v>1961</v>
      </c>
      <c r="B503" s="1" t="s">
        <v>1962</v>
      </c>
      <c r="C503" s="1" t="s">
        <v>31</v>
      </c>
      <c r="D503" s="1">
        <v>5.0999999999999996</v>
      </c>
      <c r="E503" s="1">
        <v>21512</v>
      </c>
      <c r="F503" s="1">
        <v>2002</v>
      </c>
    </row>
    <row r="504" spans="1:6" x14ac:dyDescent="0.35">
      <c r="A504" s="1" t="s">
        <v>1759</v>
      </c>
      <c r="B504" s="1" t="s">
        <v>1760</v>
      </c>
      <c r="C504" s="1" t="s">
        <v>146</v>
      </c>
      <c r="D504" s="1">
        <v>5</v>
      </c>
      <c r="E504" s="1">
        <v>21455</v>
      </c>
      <c r="F504" s="1">
        <v>2012</v>
      </c>
    </row>
    <row r="505" spans="1:6" x14ac:dyDescent="0.35">
      <c r="A505" s="1" t="s">
        <v>1963</v>
      </c>
      <c r="B505" s="1" t="s">
        <v>1964</v>
      </c>
      <c r="C505" s="1" t="s">
        <v>175</v>
      </c>
      <c r="D505" s="1">
        <v>5.0999999999999996</v>
      </c>
      <c r="E505" s="1">
        <v>21420</v>
      </c>
      <c r="F505" s="1">
        <v>2014</v>
      </c>
    </row>
    <row r="506" spans="1:6" x14ac:dyDescent="0.35">
      <c r="A506" s="1" t="s">
        <v>780</v>
      </c>
      <c r="B506" s="1" t="s">
        <v>781</v>
      </c>
      <c r="C506" s="1" t="s">
        <v>217</v>
      </c>
      <c r="D506" s="1">
        <v>4.3</v>
      </c>
      <c r="E506" s="1">
        <v>21396</v>
      </c>
      <c r="F506" s="1">
        <v>2000</v>
      </c>
    </row>
    <row r="507" spans="1:6" x14ac:dyDescent="0.35">
      <c r="A507" s="1" t="s">
        <v>1761</v>
      </c>
      <c r="B507" s="1" t="s">
        <v>1762</v>
      </c>
      <c r="C507" s="1" t="s">
        <v>116</v>
      </c>
      <c r="D507" s="1">
        <v>5</v>
      </c>
      <c r="E507" s="1">
        <v>21350</v>
      </c>
      <c r="F507" s="1">
        <v>2011</v>
      </c>
    </row>
    <row r="508" spans="1:6" x14ac:dyDescent="0.35">
      <c r="A508" s="1" t="s">
        <v>460</v>
      </c>
      <c r="B508" s="1" t="s">
        <v>461</v>
      </c>
      <c r="C508" s="1" t="s">
        <v>462</v>
      </c>
      <c r="D508" s="1">
        <v>3.7</v>
      </c>
      <c r="E508" s="1">
        <v>21267</v>
      </c>
      <c r="F508" s="1">
        <v>2002</v>
      </c>
    </row>
    <row r="509" spans="1:6" x14ac:dyDescent="0.35">
      <c r="A509" s="1" t="s">
        <v>1244</v>
      </c>
      <c r="B509" s="1" t="s">
        <v>1245</v>
      </c>
      <c r="C509" s="1" t="s">
        <v>565</v>
      </c>
      <c r="D509" s="1">
        <v>4.7</v>
      </c>
      <c r="E509" s="1">
        <v>21253</v>
      </c>
      <c r="F509" s="1">
        <v>2020</v>
      </c>
    </row>
    <row r="510" spans="1:6" x14ac:dyDescent="0.35">
      <c r="A510" s="1" t="s">
        <v>1246</v>
      </c>
      <c r="B510" s="1" t="s">
        <v>1247</v>
      </c>
      <c r="C510" s="1" t="s">
        <v>82</v>
      </c>
      <c r="D510" s="1">
        <v>4.7</v>
      </c>
      <c r="E510" s="1">
        <v>21211</v>
      </c>
      <c r="F510" s="1">
        <v>1988</v>
      </c>
    </row>
    <row r="511" spans="1:6" x14ac:dyDescent="0.35">
      <c r="A511" s="1" t="s">
        <v>878</v>
      </c>
      <c r="B511" s="1" t="s">
        <v>879</v>
      </c>
      <c r="C511" s="1" t="s">
        <v>736</v>
      </c>
      <c r="D511" s="1">
        <v>4.4000000000000004</v>
      </c>
      <c r="E511" s="1">
        <v>21193</v>
      </c>
      <c r="F511" s="1">
        <v>2019</v>
      </c>
    </row>
    <row r="512" spans="1:6" x14ac:dyDescent="0.35">
      <c r="A512" s="1" t="s">
        <v>1763</v>
      </c>
      <c r="B512" s="1" t="s">
        <v>1764</v>
      </c>
      <c r="C512" s="1" t="s">
        <v>646</v>
      </c>
      <c r="D512" s="1">
        <v>5</v>
      </c>
      <c r="E512" s="1">
        <v>21173</v>
      </c>
      <c r="F512" s="1">
        <v>1998</v>
      </c>
    </row>
    <row r="513" spans="1:6" x14ac:dyDescent="0.35">
      <c r="A513" s="1" t="s">
        <v>1602</v>
      </c>
      <c r="B513" s="1" t="s">
        <v>1603</v>
      </c>
      <c r="C513" s="1" t="s">
        <v>1422</v>
      </c>
      <c r="D513" s="1">
        <v>4.9000000000000004</v>
      </c>
      <c r="E513" s="1">
        <v>21157</v>
      </c>
      <c r="F513" s="1">
        <v>2022</v>
      </c>
    </row>
    <row r="514" spans="1:6" x14ac:dyDescent="0.35">
      <c r="A514" s="1" t="s">
        <v>1604</v>
      </c>
      <c r="B514" s="1" t="s">
        <v>1605</v>
      </c>
      <c r="C514" s="1" t="s">
        <v>232</v>
      </c>
      <c r="D514" s="1">
        <v>4.9000000000000004</v>
      </c>
      <c r="E514" s="1">
        <v>21128</v>
      </c>
      <c r="F514" s="1">
        <v>2008</v>
      </c>
    </row>
    <row r="515" spans="1:6" x14ac:dyDescent="0.35">
      <c r="A515" s="1" t="s">
        <v>1765</v>
      </c>
      <c r="B515" s="1" t="s">
        <v>1766</v>
      </c>
      <c r="C515" s="1" t="s">
        <v>26</v>
      </c>
      <c r="D515" s="1">
        <v>5</v>
      </c>
      <c r="E515" s="1">
        <v>21086</v>
      </c>
      <c r="F515" s="1">
        <v>2014</v>
      </c>
    </row>
    <row r="516" spans="1:6" x14ac:dyDescent="0.35">
      <c r="A516" s="1" t="s">
        <v>1965</v>
      </c>
      <c r="B516" s="1" t="s">
        <v>1966</v>
      </c>
      <c r="C516" s="1" t="s">
        <v>1967</v>
      </c>
      <c r="D516" s="1">
        <v>5.0999999999999996</v>
      </c>
      <c r="E516" s="1">
        <v>21067</v>
      </c>
      <c r="F516" s="1">
        <v>2009</v>
      </c>
    </row>
    <row r="517" spans="1:6" x14ac:dyDescent="0.35">
      <c r="A517" s="1" t="s">
        <v>1410</v>
      </c>
      <c r="B517" s="1" t="s">
        <v>1411</v>
      </c>
      <c r="C517" s="1" t="s">
        <v>211</v>
      </c>
      <c r="D517" s="1">
        <v>4.8</v>
      </c>
      <c r="E517" s="1">
        <v>21038</v>
      </c>
      <c r="F517" s="1">
        <v>2014</v>
      </c>
    </row>
    <row r="518" spans="1:6" x14ac:dyDescent="0.35">
      <c r="A518" s="1" t="s">
        <v>602</v>
      </c>
      <c r="B518" s="1" t="s">
        <v>603</v>
      </c>
      <c r="C518" s="1" t="s">
        <v>178</v>
      </c>
      <c r="D518" s="1">
        <v>4</v>
      </c>
      <c r="E518" s="1">
        <v>20873</v>
      </c>
      <c r="F518" s="1">
        <v>2014</v>
      </c>
    </row>
    <row r="519" spans="1:6" x14ac:dyDescent="0.35">
      <c r="A519" s="1" t="s">
        <v>1084</v>
      </c>
      <c r="B519" s="1" t="s">
        <v>1085</v>
      </c>
      <c r="C519" s="1" t="s">
        <v>166</v>
      </c>
      <c r="D519" s="1">
        <v>4.5999999999999996</v>
      </c>
      <c r="E519" s="1">
        <v>20856</v>
      </c>
      <c r="F519" s="1">
        <v>2016</v>
      </c>
    </row>
    <row r="520" spans="1:6" x14ac:dyDescent="0.35">
      <c r="A520" s="1" t="s">
        <v>655</v>
      </c>
      <c r="B520" s="1" t="s">
        <v>656</v>
      </c>
      <c r="C520" s="1" t="s">
        <v>82</v>
      </c>
      <c r="D520" s="1">
        <v>4.0999999999999996</v>
      </c>
      <c r="E520" s="1">
        <v>20797</v>
      </c>
      <c r="F520" s="1">
        <v>2012</v>
      </c>
    </row>
    <row r="521" spans="1:6" x14ac:dyDescent="0.35">
      <c r="A521" s="1" t="s">
        <v>415</v>
      </c>
      <c r="B521" s="1" t="s">
        <v>416</v>
      </c>
      <c r="C521" s="1" t="s">
        <v>193</v>
      </c>
      <c r="D521" s="1">
        <v>3.6</v>
      </c>
      <c r="E521" s="1">
        <v>20763</v>
      </c>
      <c r="F521" s="1">
        <v>2021</v>
      </c>
    </row>
    <row r="522" spans="1:6" x14ac:dyDescent="0.35">
      <c r="A522" s="1" t="s">
        <v>712</v>
      </c>
      <c r="B522" s="1" t="s">
        <v>713</v>
      </c>
      <c r="C522" s="1" t="s">
        <v>122</v>
      </c>
      <c r="D522" s="1">
        <v>4.2</v>
      </c>
      <c r="E522" s="1">
        <v>20755</v>
      </c>
      <c r="F522" s="1">
        <v>2005</v>
      </c>
    </row>
    <row r="523" spans="1:6" x14ac:dyDescent="0.35">
      <c r="A523" s="1" t="s">
        <v>558</v>
      </c>
      <c r="B523" s="1" t="s">
        <v>559</v>
      </c>
      <c r="C523" s="1" t="s">
        <v>560</v>
      </c>
      <c r="D523" s="1">
        <v>3.9</v>
      </c>
      <c r="E523" s="1">
        <v>20749</v>
      </c>
      <c r="F523" s="1">
        <v>2011</v>
      </c>
    </row>
    <row r="524" spans="1:6" x14ac:dyDescent="0.35">
      <c r="A524" s="1" t="s">
        <v>1248</v>
      </c>
      <c r="B524" s="1" t="s">
        <v>1249</v>
      </c>
      <c r="C524" s="1" t="s">
        <v>211</v>
      </c>
      <c r="D524" s="1">
        <v>4.7</v>
      </c>
      <c r="E524" s="1">
        <v>20720</v>
      </c>
      <c r="F524" s="1">
        <v>2012</v>
      </c>
    </row>
    <row r="525" spans="1:6" x14ac:dyDescent="0.35">
      <c r="A525" s="1" t="s">
        <v>32</v>
      </c>
      <c r="B525" s="1" t="s">
        <v>33</v>
      </c>
      <c r="C525" s="1" t="s">
        <v>34</v>
      </c>
      <c r="D525" s="1">
        <v>1.2</v>
      </c>
      <c r="E525" s="1">
        <v>20687</v>
      </c>
      <c r="F525" s="1">
        <v>2021</v>
      </c>
    </row>
    <row r="526" spans="1:6" x14ac:dyDescent="0.35">
      <c r="A526" s="1" t="s">
        <v>271</v>
      </c>
      <c r="B526" s="1" t="s">
        <v>272</v>
      </c>
      <c r="C526" s="1" t="s">
        <v>146</v>
      </c>
      <c r="D526" s="1">
        <v>3</v>
      </c>
      <c r="E526" s="1">
        <v>20580</v>
      </c>
      <c r="F526" s="1">
        <v>2019</v>
      </c>
    </row>
    <row r="527" spans="1:6" x14ac:dyDescent="0.35">
      <c r="A527" s="1" t="s">
        <v>209</v>
      </c>
      <c r="B527" s="1" t="s">
        <v>210</v>
      </c>
      <c r="C527" s="1" t="s">
        <v>211</v>
      </c>
      <c r="D527" s="1">
        <v>2.7</v>
      </c>
      <c r="E527" s="1">
        <v>20548</v>
      </c>
      <c r="F527" s="1">
        <v>2015</v>
      </c>
    </row>
    <row r="528" spans="1:6" x14ac:dyDescent="0.35">
      <c r="A528" s="1" t="s">
        <v>1606</v>
      </c>
      <c r="B528" s="1" t="s">
        <v>1607</v>
      </c>
      <c r="C528" s="1" t="s">
        <v>175</v>
      </c>
      <c r="D528" s="1">
        <v>4.9000000000000004</v>
      </c>
      <c r="E528" s="1">
        <v>20483</v>
      </c>
      <c r="F528" s="1">
        <v>2021</v>
      </c>
    </row>
    <row r="529" spans="1:6" x14ac:dyDescent="0.35">
      <c r="A529" s="1" t="s">
        <v>1250</v>
      </c>
      <c r="B529" s="1" t="s">
        <v>1251</v>
      </c>
      <c r="C529" s="1" t="s">
        <v>128</v>
      </c>
      <c r="D529" s="1">
        <v>4.7</v>
      </c>
      <c r="E529" s="1">
        <v>20420</v>
      </c>
      <c r="F529" s="1">
        <v>2000</v>
      </c>
    </row>
    <row r="530" spans="1:6" x14ac:dyDescent="0.35">
      <c r="A530" s="1" t="s">
        <v>880</v>
      </c>
      <c r="B530" s="1" t="s">
        <v>881</v>
      </c>
      <c r="C530" s="1" t="s">
        <v>140</v>
      </c>
      <c r="D530" s="1">
        <v>4.4000000000000004</v>
      </c>
      <c r="E530" s="1">
        <v>20411</v>
      </c>
      <c r="F530" s="1">
        <v>2006</v>
      </c>
    </row>
    <row r="531" spans="1:6" x14ac:dyDescent="0.35">
      <c r="A531" s="1" t="s">
        <v>1086</v>
      </c>
      <c r="B531" s="1" t="s">
        <v>1087</v>
      </c>
      <c r="C531" s="1" t="s">
        <v>508</v>
      </c>
      <c r="D531" s="1">
        <v>4.5999999999999996</v>
      </c>
      <c r="E531" s="1">
        <v>20398</v>
      </c>
      <c r="F531" s="1">
        <v>2016</v>
      </c>
    </row>
    <row r="532" spans="1:6" x14ac:dyDescent="0.35">
      <c r="A532" s="1" t="s">
        <v>1412</v>
      </c>
      <c r="B532" s="1" t="s">
        <v>1413</v>
      </c>
      <c r="C532" s="1" t="s">
        <v>146</v>
      </c>
      <c r="D532" s="1">
        <v>4.8</v>
      </c>
      <c r="E532" s="1">
        <v>20256</v>
      </c>
      <c r="F532" s="1">
        <v>2012</v>
      </c>
    </row>
    <row r="533" spans="1:6" x14ac:dyDescent="0.35">
      <c r="A533" s="1" t="s">
        <v>255</v>
      </c>
      <c r="B533" s="1" t="s">
        <v>256</v>
      </c>
      <c r="C533" s="1" t="s">
        <v>155</v>
      </c>
      <c r="D533" s="1">
        <v>2.9</v>
      </c>
      <c r="E533" s="1">
        <v>20235</v>
      </c>
      <c r="F533" s="1">
        <v>2020</v>
      </c>
    </row>
    <row r="534" spans="1:6" x14ac:dyDescent="0.35">
      <c r="A534" s="1" t="s">
        <v>1968</v>
      </c>
      <c r="B534" s="1" t="s">
        <v>1969</v>
      </c>
      <c r="C534" s="1" t="s">
        <v>44</v>
      </c>
      <c r="D534" s="1">
        <v>5.0999999999999996</v>
      </c>
      <c r="E534" s="1">
        <v>20183</v>
      </c>
      <c r="F534" s="1">
        <v>1993</v>
      </c>
    </row>
    <row r="535" spans="1:6" x14ac:dyDescent="0.35">
      <c r="A535" s="1" t="s">
        <v>1608</v>
      </c>
      <c r="B535" s="1" t="s">
        <v>1609</v>
      </c>
      <c r="C535" s="1" t="s">
        <v>181</v>
      </c>
      <c r="D535" s="1">
        <v>4.9000000000000004</v>
      </c>
      <c r="E535" s="1">
        <v>20168</v>
      </c>
      <c r="F535" s="1">
        <v>2011</v>
      </c>
    </row>
    <row r="536" spans="1:6" x14ac:dyDescent="0.35">
      <c r="A536" s="1" t="s">
        <v>714</v>
      </c>
      <c r="B536" s="1" t="s">
        <v>715</v>
      </c>
      <c r="C536" s="1" t="s">
        <v>82</v>
      </c>
      <c r="D536" s="1">
        <v>4.2</v>
      </c>
      <c r="E536" s="1">
        <v>20153</v>
      </c>
      <c r="F536" s="1">
        <v>2014</v>
      </c>
    </row>
    <row r="537" spans="1:6" x14ac:dyDescent="0.35">
      <c r="A537" s="1" t="s">
        <v>782</v>
      </c>
      <c r="B537" s="1" t="s">
        <v>783</v>
      </c>
      <c r="C537" s="1" t="s">
        <v>784</v>
      </c>
      <c r="D537" s="1">
        <v>4.3</v>
      </c>
      <c r="E537" s="1">
        <v>20092</v>
      </c>
      <c r="F537" s="1">
        <v>2019</v>
      </c>
    </row>
    <row r="538" spans="1:6" x14ac:dyDescent="0.35">
      <c r="A538" s="1" t="s">
        <v>1767</v>
      </c>
      <c r="B538" s="1" t="s">
        <v>1768</v>
      </c>
      <c r="C538" s="1" t="s">
        <v>82</v>
      </c>
      <c r="D538" s="1">
        <v>5</v>
      </c>
      <c r="E538" s="1">
        <v>20034</v>
      </c>
      <c r="F538" s="1">
        <v>1990</v>
      </c>
    </row>
    <row r="539" spans="1:6" x14ac:dyDescent="0.35">
      <c r="A539" s="1" t="s">
        <v>1088</v>
      </c>
      <c r="B539" s="1" t="s">
        <v>1089</v>
      </c>
      <c r="C539" s="1" t="s">
        <v>175</v>
      </c>
      <c r="D539" s="1">
        <v>4.5999999999999996</v>
      </c>
      <c r="E539" s="1">
        <v>19971</v>
      </c>
      <c r="F539" s="1">
        <v>2009</v>
      </c>
    </row>
    <row r="540" spans="1:6" x14ac:dyDescent="0.35">
      <c r="A540" s="1" t="s">
        <v>327</v>
      </c>
      <c r="B540" s="1" t="s">
        <v>328</v>
      </c>
      <c r="C540" s="1" t="s">
        <v>152</v>
      </c>
      <c r="D540" s="1">
        <v>3.3</v>
      </c>
      <c r="E540" s="1">
        <v>19892</v>
      </c>
      <c r="F540" s="1">
        <v>1970</v>
      </c>
    </row>
    <row r="541" spans="1:6" x14ac:dyDescent="0.35">
      <c r="A541" s="1" t="s">
        <v>1252</v>
      </c>
      <c r="B541" s="1" t="s">
        <v>1253</v>
      </c>
      <c r="C541" s="1" t="s">
        <v>1254</v>
      </c>
      <c r="D541" s="1">
        <v>4.7</v>
      </c>
      <c r="E541" s="1">
        <v>19875</v>
      </c>
      <c r="F541" s="1">
        <v>2019</v>
      </c>
    </row>
    <row r="542" spans="1:6" x14ac:dyDescent="0.35">
      <c r="A542" s="1" t="s">
        <v>1970</v>
      </c>
      <c r="B542" s="1" t="s">
        <v>1971</v>
      </c>
      <c r="C542" s="1" t="s">
        <v>762</v>
      </c>
      <c r="D542" s="1">
        <v>5.0999999999999996</v>
      </c>
      <c r="E542" s="1">
        <v>19856</v>
      </c>
      <c r="F542" s="1">
        <v>1995</v>
      </c>
    </row>
    <row r="543" spans="1:6" x14ac:dyDescent="0.35">
      <c r="A543" s="1" t="s">
        <v>1414</v>
      </c>
      <c r="B543" s="1" t="s">
        <v>1415</v>
      </c>
      <c r="C543" s="1" t="s">
        <v>474</v>
      </c>
      <c r="D543" s="1">
        <v>4.8</v>
      </c>
      <c r="E543" s="1">
        <v>19765</v>
      </c>
      <c r="F543" s="1">
        <v>2000</v>
      </c>
    </row>
    <row r="544" spans="1:6" x14ac:dyDescent="0.35">
      <c r="A544" s="1" t="s">
        <v>1972</v>
      </c>
      <c r="B544" s="1" t="s">
        <v>1973</v>
      </c>
      <c r="C544" s="1" t="s">
        <v>294</v>
      </c>
      <c r="D544" s="1">
        <v>5.0999999999999996</v>
      </c>
      <c r="E544" s="1">
        <v>19659</v>
      </c>
      <c r="F544" s="1">
        <v>2014</v>
      </c>
    </row>
    <row r="545" spans="1:6" x14ac:dyDescent="0.35">
      <c r="A545" s="1" t="s">
        <v>292</v>
      </c>
      <c r="B545" s="1" t="s">
        <v>293</v>
      </c>
      <c r="C545" s="1" t="s">
        <v>294</v>
      </c>
      <c r="D545" s="1">
        <v>3.1</v>
      </c>
      <c r="E545" s="1">
        <v>19617</v>
      </c>
      <c r="F545" s="1">
        <v>2020</v>
      </c>
    </row>
    <row r="546" spans="1:6" x14ac:dyDescent="0.35">
      <c r="A546" s="1" t="s">
        <v>379</v>
      </c>
      <c r="B546" s="1" t="s">
        <v>380</v>
      </c>
      <c r="C546" s="1" t="s">
        <v>175</v>
      </c>
      <c r="D546" s="1">
        <v>3.5</v>
      </c>
      <c r="E546" s="1">
        <v>19518</v>
      </c>
      <c r="F546" s="1">
        <v>2019</v>
      </c>
    </row>
    <row r="547" spans="1:6" x14ac:dyDescent="0.35">
      <c r="A547" s="1" t="s">
        <v>1255</v>
      </c>
      <c r="B547" s="1" t="s">
        <v>1256</v>
      </c>
      <c r="C547" s="1" t="s">
        <v>82</v>
      </c>
      <c r="D547" s="1">
        <v>4.7</v>
      </c>
      <c r="E547" s="1">
        <v>19462</v>
      </c>
      <c r="F547" s="1">
        <v>2015</v>
      </c>
    </row>
    <row r="548" spans="1:6" x14ac:dyDescent="0.35">
      <c r="A548" s="1" t="s">
        <v>1416</v>
      </c>
      <c r="B548" s="1" t="s">
        <v>1417</v>
      </c>
      <c r="C548" s="1" t="s">
        <v>227</v>
      </c>
      <c r="D548" s="1">
        <v>4.8</v>
      </c>
      <c r="E548" s="1">
        <v>19460</v>
      </c>
      <c r="F548" s="1">
        <v>2001</v>
      </c>
    </row>
    <row r="549" spans="1:6" x14ac:dyDescent="0.35">
      <c r="A549" s="1" t="s">
        <v>1974</v>
      </c>
      <c r="B549" s="1" t="s">
        <v>1975</v>
      </c>
      <c r="C549" s="1" t="s">
        <v>568</v>
      </c>
      <c r="D549" s="1">
        <v>5.0999999999999996</v>
      </c>
      <c r="E549" s="1">
        <v>19398</v>
      </c>
      <c r="F549" s="1">
        <v>1997</v>
      </c>
    </row>
    <row r="550" spans="1:6" x14ac:dyDescent="0.35">
      <c r="A550" s="1" t="s">
        <v>979</v>
      </c>
      <c r="B550" s="1" t="s">
        <v>980</v>
      </c>
      <c r="C550" s="1" t="s">
        <v>682</v>
      </c>
      <c r="D550" s="1">
        <v>4.5</v>
      </c>
      <c r="E550" s="1">
        <v>19385</v>
      </c>
      <c r="F550" s="1">
        <v>2023</v>
      </c>
    </row>
    <row r="551" spans="1:6" x14ac:dyDescent="0.35">
      <c r="A551" s="1" t="s">
        <v>1976</v>
      </c>
      <c r="B551" s="1" t="s">
        <v>1977</v>
      </c>
      <c r="C551" s="1" t="s">
        <v>82</v>
      </c>
      <c r="D551" s="1">
        <v>5.0999999999999996</v>
      </c>
      <c r="E551" s="1">
        <v>19367</v>
      </c>
      <c r="F551" s="1">
        <v>2024</v>
      </c>
    </row>
    <row r="552" spans="1:6" x14ac:dyDescent="0.35">
      <c r="A552" s="1" t="s">
        <v>1090</v>
      </c>
      <c r="B552" s="1" t="s">
        <v>1091</v>
      </c>
      <c r="C552" s="1" t="s">
        <v>294</v>
      </c>
      <c r="D552" s="1">
        <v>4.5999999999999996</v>
      </c>
      <c r="E552" s="1">
        <v>19331</v>
      </c>
      <c r="F552" s="1">
        <v>2014</v>
      </c>
    </row>
    <row r="553" spans="1:6" x14ac:dyDescent="0.35">
      <c r="A553" s="1" t="s">
        <v>882</v>
      </c>
      <c r="B553" s="1" t="s">
        <v>883</v>
      </c>
      <c r="C553" s="1" t="s">
        <v>448</v>
      </c>
      <c r="D553" s="1">
        <v>4.4000000000000004</v>
      </c>
      <c r="E553" s="1">
        <v>19287</v>
      </c>
      <c r="F553" s="1">
        <v>2000</v>
      </c>
    </row>
    <row r="554" spans="1:6" x14ac:dyDescent="0.35">
      <c r="A554" s="1" t="s">
        <v>604</v>
      </c>
      <c r="B554" s="1" t="s">
        <v>605</v>
      </c>
      <c r="C554" s="1" t="s">
        <v>606</v>
      </c>
      <c r="D554" s="1">
        <v>4</v>
      </c>
      <c r="E554" s="1">
        <v>19213</v>
      </c>
      <c r="F554" s="1">
        <v>2020</v>
      </c>
    </row>
    <row r="555" spans="1:6" x14ac:dyDescent="0.35">
      <c r="A555" s="1" t="s">
        <v>1092</v>
      </c>
      <c r="B555" s="1" t="s">
        <v>1093</v>
      </c>
      <c r="C555" s="1" t="s">
        <v>76</v>
      </c>
      <c r="D555" s="1">
        <v>4.5999999999999996</v>
      </c>
      <c r="E555" s="1">
        <v>19176</v>
      </c>
      <c r="F555" s="1">
        <v>2024</v>
      </c>
    </row>
    <row r="556" spans="1:6" x14ac:dyDescent="0.35">
      <c r="A556" s="1" t="s">
        <v>1978</v>
      </c>
      <c r="B556" s="1" t="s">
        <v>1979</v>
      </c>
      <c r="C556" s="1" t="s">
        <v>116</v>
      </c>
      <c r="D556" s="1">
        <v>5.0999999999999996</v>
      </c>
      <c r="E556" s="1">
        <v>19148</v>
      </c>
      <c r="F556" s="1">
        <v>1999</v>
      </c>
    </row>
    <row r="557" spans="1:6" x14ac:dyDescent="0.35">
      <c r="A557" s="1" t="s">
        <v>417</v>
      </c>
      <c r="B557" s="1" t="s">
        <v>418</v>
      </c>
      <c r="C557" s="1" t="s">
        <v>14</v>
      </c>
      <c r="D557" s="1">
        <v>3.6</v>
      </c>
      <c r="E557" s="1">
        <v>19147</v>
      </c>
      <c r="F557" s="1">
        <v>2020</v>
      </c>
    </row>
    <row r="558" spans="1:6" x14ac:dyDescent="0.35">
      <c r="A558" s="1" t="s">
        <v>657</v>
      </c>
      <c r="B558" s="1" t="s">
        <v>658</v>
      </c>
      <c r="C558" s="1" t="s">
        <v>137</v>
      </c>
      <c r="D558" s="1">
        <v>4.0999999999999996</v>
      </c>
      <c r="E558" s="1">
        <v>19131</v>
      </c>
      <c r="F558" s="1">
        <v>2008</v>
      </c>
    </row>
    <row r="559" spans="1:6" x14ac:dyDescent="0.35">
      <c r="A559" s="1" t="s">
        <v>126</v>
      </c>
      <c r="B559" s="1" t="s">
        <v>127</v>
      </c>
      <c r="C559" s="1" t="s">
        <v>128</v>
      </c>
      <c r="D559" s="1">
        <v>2.2000000000000002</v>
      </c>
      <c r="E559" s="1">
        <v>18999</v>
      </c>
      <c r="F559" s="1">
        <v>2022</v>
      </c>
    </row>
    <row r="560" spans="1:6" x14ac:dyDescent="0.35">
      <c r="A560" s="1" t="s">
        <v>1980</v>
      </c>
      <c r="B560" s="1" t="s">
        <v>1981</v>
      </c>
      <c r="C560" s="1" t="s">
        <v>565</v>
      </c>
      <c r="D560" s="1">
        <v>5.0999999999999996</v>
      </c>
      <c r="E560" s="1">
        <v>18991</v>
      </c>
      <c r="F560" s="1">
        <v>2010</v>
      </c>
    </row>
    <row r="561" spans="1:6" x14ac:dyDescent="0.35">
      <c r="A561" s="1" t="s">
        <v>83</v>
      </c>
      <c r="B561" s="1" t="s">
        <v>84</v>
      </c>
      <c r="C561" s="1" t="s">
        <v>11</v>
      </c>
      <c r="D561" s="1">
        <v>1.7</v>
      </c>
      <c r="E561" s="1">
        <v>18975</v>
      </c>
      <c r="F561" s="1">
        <v>2006</v>
      </c>
    </row>
    <row r="562" spans="1:6" x14ac:dyDescent="0.35">
      <c r="A562" s="1" t="s">
        <v>1610</v>
      </c>
      <c r="B562" s="1" t="s">
        <v>1611</v>
      </c>
      <c r="C562" s="1" t="s">
        <v>214</v>
      </c>
      <c r="D562" s="1">
        <v>4.9000000000000004</v>
      </c>
      <c r="E562" s="1">
        <v>18930</v>
      </c>
      <c r="F562" s="1">
        <v>2004</v>
      </c>
    </row>
    <row r="563" spans="1:6" x14ac:dyDescent="0.35">
      <c r="A563" s="1" t="s">
        <v>498</v>
      </c>
      <c r="B563" s="1" t="s">
        <v>499</v>
      </c>
      <c r="C563" s="1" t="s">
        <v>11</v>
      </c>
      <c r="D563" s="1">
        <v>3.8</v>
      </c>
      <c r="E563" s="1">
        <v>18874</v>
      </c>
      <c r="F563" s="1">
        <v>2014</v>
      </c>
    </row>
    <row r="564" spans="1:6" x14ac:dyDescent="0.35">
      <c r="A564" s="1" t="s">
        <v>884</v>
      </c>
      <c r="B564" s="1" t="s">
        <v>885</v>
      </c>
      <c r="C564" s="1" t="s">
        <v>606</v>
      </c>
      <c r="D564" s="1">
        <v>4.4000000000000004</v>
      </c>
      <c r="E564" s="1">
        <v>18776</v>
      </c>
      <c r="F564" s="1">
        <v>2000</v>
      </c>
    </row>
    <row r="565" spans="1:6" x14ac:dyDescent="0.35">
      <c r="A565" s="1" t="s">
        <v>981</v>
      </c>
      <c r="B565" s="1" t="s">
        <v>982</v>
      </c>
      <c r="C565" s="1" t="s">
        <v>983</v>
      </c>
      <c r="D565" s="1">
        <v>4.5</v>
      </c>
      <c r="E565" s="1">
        <v>18677</v>
      </c>
      <c r="F565" s="1">
        <v>2020</v>
      </c>
    </row>
    <row r="566" spans="1:6" x14ac:dyDescent="0.35">
      <c r="A566" s="1" t="s">
        <v>1982</v>
      </c>
      <c r="B566" s="1" t="s">
        <v>1983</v>
      </c>
      <c r="C566" s="1" t="s">
        <v>175</v>
      </c>
      <c r="D566" s="1">
        <v>5.0999999999999996</v>
      </c>
      <c r="E566" s="1">
        <v>18648</v>
      </c>
      <c r="F566" s="1">
        <v>2003</v>
      </c>
    </row>
    <row r="567" spans="1:6" x14ac:dyDescent="0.35">
      <c r="A567" s="1" t="s">
        <v>561</v>
      </c>
      <c r="B567" s="1" t="s">
        <v>562</v>
      </c>
      <c r="C567" s="1" t="s">
        <v>44</v>
      </c>
      <c r="D567" s="1">
        <v>3.9</v>
      </c>
      <c r="E567" s="1">
        <v>18521</v>
      </c>
      <c r="F567" s="1">
        <v>2010</v>
      </c>
    </row>
    <row r="568" spans="1:6" x14ac:dyDescent="0.35">
      <c r="A568" s="1" t="s">
        <v>463</v>
      </c>
      <c r="B568" s="1" t="s">
        <v>464</v>
      </c>
      <c r="C568" s="1" t="s">
        <v>82</v>
      </c>
      <c r="D568" s="1">
        <v>3.7</v>
      </c>
      <c r="E568" s="1">
        <v>18409</v>
      </c>
      <c r="F568" s="1">
        <v>2002</v>
      </c>
    </row>
    <row r="569" spans="1:6" x14ac:dyDescent="0.35">
      <c r="A569" s="1" t="s">
        <v>1418</v>
      </c>
      <c r="B569" s="1" t="s">
        <v>1419</v>
      </c>
      <c r="C569" s="1" t="s">
        <v>1075</v>
      </c>
      <c r="D569" s="1">
        <v>4.8</v>
      </c>
      <c r="E569" s="1">
        <v>18388</v>
      </c>
      <c r="F569" s="1">
        <v>1999</v>
      </c>
    </row>
    <row r="570" spans="1:6" x14ac:dyDescent="0.35">
      <c r="A570" s="1" t="s">
        <v>353</v>
      </c>
      <c r="B570" s="1" t="s">
        <v>354</v>
      </c>
      <c r="C570" s="1" t="s">
        <v>11</v>
      </c>
      <c r="D570" s="1">
        <v>3.4</v>
      </c>
      <c r="E570" s="1">
        <v>18370</v>
      </c>
      <c r="F570" s="1">
        <v>2017</v>
      </c>
    </row>
    <row r="571" spans="1:6" x14ac:dyDescent="0.35">
      <c r="A571" s="1" t="s">
        <v>1420</v>
      </c>
      <c r="B571" s="1" t="s">
        <v>1421</v>
      </c>
      <c r="C571" s="1" t="s">
        <v>1422</v>
      </c>
      <c r="D571" s="1">
        <v>4.8</v>
      </c>
      <c r="E571" s="1">
        <v>18249</v>
      </c>
      <c r="F571" s="1">
        <v>2018</v>
      </c>
    </row>
    <row r="572" spans="1:6" x14ac:dyDescent="0.35">
      <c r="A572" s="1" t="s">
        <v>1984</v>
      </c>
      <c r="B572" s="1" t="s">
        <v>1985</v>
      </c>
      <c r="C572" s="1" t="s">
        <v>56</v>
      </c>
      <c r="D572" s="1">
        <v>5.0999999999999996</v>
      </c>
      <c r="E572" s="1">
        <v>18161</v>
      </c>
      <c r="F572" s="1">
        <v>2011</v>
      </c>
    </row>
    <row r="573" spans="1:6" x14ac:dyDescent="0.35">
      <c r="A573" s="1" t="s">
        <v>300</v>
      </c>
      <c r="B573" s="1" t="s">
        <v>301</v>
      </c>
      <c r="C573" s="1" t="s">
        <v>44</v>
      </c>
      <c r="D573" s="1">
        <v>3.2</v>
      </c>
      <c r="E573" s="1">
        <v>18148</v>
      </c>
      <c r="F573" s="1">
        <v>2007</v>
      </c>
    </row>
    <row r="574" spans="1:6" x14ac:dyDescent="0.35">
      <c r="A574" s="1" t="s">
        <v>419</v>
      </c>
      <c r="B574" s="1" t="s">
        <v>420</v>
      </c>
      <c r="C574" s="1" t="s">
        <v>116</v>
      </c>
      <c r="D574" s="1">
        <v>3.6</v>
      </c>
      <c r="E574" s="1">
        <v>18142</v>
      </c>
      <c r="F574" s="1">
        <v>2002</v>
      </c>
    </row>
    <row r="575" spans="1:6" x14ac:dyDescent="0.35">
      <c r="A575" s="1" t="s">
        <v>659</v>
      </c>
      <c r="B575" s="1" t="s">
        <v>660</v>
      </c>
      <c r="C575" s="1" t="s">
        <v>649</v>
      </c>
      <c r="D575" s="1">
        <v>4.0999999999999996</v>
      </c>
      <c r="E575" s="1">
        <v>18126</v>
      </c>
      <c r="F575" s="1">
        <v>2014</v>
      </c>
    </row>
    <row r="576" spans="1:6" x14ac:dyDescent="0.35">
      <c r="A576" s="1" t="s">
        <v>1986</v>
      </c>
      <c r="B576" s="1" t="s">
        <v>1987</v>
      </c>
      <c r="C576" s="1" t="s">
        <v>1048</v>
      </c>
      <c r="D576" s="1">
        <v>5.0999999999999996</v>
      </c>
      <c r="E576" s="1">
        <v>18086</v>
      </c>
      <c r="F576" s="1">
        <v>2020</v>
      </c>
    </row>
    <row r="577" spans="1:6" x14ac:dyDescent="0.35">
      <c r="A577" s="1" t="s">
        <v>1988</v>
      </c>
      <c r="B577" s="1" t="s">
        <v>1989</v>
      </c>
      <c r="C577" s="1" t="s">
        <v>11</v>
      </c>
      <c r="D577" s="1">
        <v>5.0999999999999996</v>
      </c>
      <c r="E577" s="1">
        <v>18057</v>
      </c>
      <c r="F577" s="1">
        <v>1993</v>
      </c>
    </row>
    <row r="578" spans="1:6" x14ac:dyDescent="0.35">
      <c r="A578" s="1" t="s">
        <v>1094</v>
      </c>
      <c r="B578" s="1" t="s">
        <v>1095</v>
      </c>
      <c r="C578" s="1" t="s">
        <v>294</v>
      </c>
      <c r="D578" s="1">
        <v>4.5999999999999996</v>
      </c>
      <c r="E578" s="1">
        <v>18020</v>
      </c>
      <c r="F578" s="1">
        <v>2011</v>
      </c>
    </row>
    <row r="579" spans="1:6" x14ac:dyDescent="0.35">
      <c r="A579" s="1" t="s">
        <v>716</v>
      </c>
      <c r="B579" s="1" t="s">
        <v>717</v>
      </c>
      <c r="C579" s="1" t="s">
        <v>448</v>
      </c>
      <c r="D579" s="1">
        <v>4.2</v>
      </c>
      <c r="E579" s="1">
        <v>18008</v>
      </c>
      <c r="F579" s="1">
        <v>2014</v>
      </c>
    </row>
    <row r="580" spans="1:6" x14ac:dyDescent="0.35">
      <c r="A580" s="1" t="s">
        <v>66</v>
      </c>
      <c r="B580" s="1" t="s">
        <v>67</v>
      </c>
      <c r="C580" s="1" t="s">
        <v>68</v>
      </c>
      <c r="D580" s="1">
        <v>1.6</v>
      </c>
      <c r="E580" s="1">
        <v>17938</v>
      </c>
      <c r="F580" s="1">
        <v>2013</v>
      </c>
    </row>
    <row r="581" spans="1:6" x14ac:dyDescent="0.35">
      <c r="A581" s="1" t="s">
        <v>1423</v>
      </c>
      <c r="B581" s="1" t="s">
        <v>1424</v>
      </c>
      <c r="C581" s="1" t="s">
        <v>93</v>
      </c>
      <c r="D581" s="1">
        <v>4.8</v>
      </c>
      <c r="E581" s="1">
        <v>17929</v>
      </c>
      <c r="F581" s="1">
        <v>2024</v>
      </c>
    </row>
    <row r="582" spans="1:6" x14ac:dyDescent="0.35">
      <c r="A582" s="1" t="s">
        <v>1096</v>
      </c>
      <c r="B582" s="1" t="s">
        <v>1097</v>
      </c>
      <c r="C582" s="1" t="s">
        <v>1098</v>
      </c>
      <c r="D582" s="1">
        <v>4.5999999999999996</v>
      </c>
      <c r="E582" s="1">
        <v>17918</v>
      </c>
      <c r="F582" s="1">
        <v>2007</v>
      </c>
    </row>
    <row r="583" spans="1:6" x14ac:dyDescent="0.35">
      <c r="A583" s="1" t="s">
        <v>1425</v>
      </c>
      <c r="B583" s="1" t="s">
        <v>1426</v>
      </c>
      <c r="C583" s="1" t="s">
        <v>158</v>
      </c>
      <c r="D583" s="1">
        <v>4.8</v>
      </c>
      <c r="E583" s="1">
        <v>17890</v>
      </c>
      <c r="F583" s="1">
        <v>1983</v>
      </c>
    </row>
    <row r="584" spans="1:6" x14ac:dyDescent="0.35">
      <c r="A584" s="1" t="s">
        <v>785</v>
      </c>
      <c r="B584" s="1" t="s">
        <v>786</v>
      </c>
      <c r="C584" s="1" t="s">
        <v>44</v>
      </c>
      <c r="D584" s="1">
        <v>4.3</v>
      </c>
      <c r="E584" s="1">
        <v>17863</v>
      </c>
      <c r="F584" s="1">
        <v>2010</v>
      </c>
    </row>
    <row r="585" spans="1:6" x14ac:dyDescent="0.35">
      <c r="A585" s="1" t="s">
        <v>1990</v>
      </c>
      <c r="B585" s="1" t="s">
        <v>1991</v>
      </c>
      <c r="C585" s="1" t="s">
        <v>843</v>
      </c>
      <c r="D585" s="1">
        <v>5.0999999999999996</v>
      </c>
      <c r="E585" s="1">
        <v>17772</v>
      </c>
      <c r="F585" s="1">
        <v>1984</v>
      </c>
    </row>
    <row r="586" spans="1:6" x14ac:dyDescent="0.35">
      <c r="A586" s="1" t="s">
        <v>1769</v>
      </c>
      <c r="B586" s="1" t="s">
        <v>1770</v>
      </c>
      <c r="C586" s="1" t="s">
        <v>56</v>
      </c>
      <c r="D586" s="1">
        <v>5</v>
      </c>
      <c r="E586" s="1">
        <v>17764</v>
      </c>
      <c r="F586" s="1">
        <v>2014</v>
      </c>
    </row>
    <row r="587" spans="1:6" x14ac:dyDescent="0.35">
      <c r="A587" s="1" t="s">
        <v>1612</v>
      </c>
      <c r="B587" s="1" t="s">
        <v>1613</v>
      </c>
      <c r="C587" s="1" t="s">
        <v>175</v>
      </c>
      <c r="D587" s="1">
        <v>4.9000000000000004</v>
      </c>
      <c r="E587" s="1">
        <v>17755</v>
      </c>
      <c r="F587" s="1">
        <v>2018</v>
      </c>
    </row>
    <row r="588" spans="1:6" x14ac:dyDescent="0.35">
      <c r="A588" s="1" t="s">
        <v>1427</v>
      </c>
      <c r="B588" s="1" t="s">
        <v>1428</v>
      </c>
      <c r="C588" s="1" t="s">
        <v>1429</v>
      </c>
      <c r="D588" s="1">
        <v>4.8</v>
      </c>
      <c r="E588" s="1">
        <v>17740</v>
      </c>
      <c r="F588" s="1">
        <v>1998</v>
      </c>
    </row>
    <row r="589" spans="1:6" x14ac:dyDescent="0.35">
      <c r="A589" s="1" t="s">
        <v>718</v>
      </c>
      <c r="B589" s="1" t="s">
        <v>719</v>
      </c>
      <c r="C589" s="1" t="s">
        <v>352</v>
      </c>
      <c r="D589" s="1">
        <v>4.2</v>
      </c>
      <c r="E589" s="1">
        <v>17724</v>
      </c>
      <c r="F589" s="1">
        <v>1999</v>
      </c>
    </row>
    <row r="590" spans="1:6" x14ac:dyDescent="0.35">
      <c r="A590" s="1" t="s">
        <v>1614</v>
      </c>
      <c r="B590" s="1" t="s">
        <v>1615</v>
      </c>
      <c r="C590" s="1" t="s">
        <v>606</v>
      </c>
      <c r="D590" s="1">
        <v>4.9000000000000004</v>
      </c>
      <c r="E590" s="1">
        <v>17670</v>
      </c>
      <c r="F590" s="1">
        <v>2008</v>
      </c>
    </row>
    <row r="591" spans="1:6" x14ac:dyDescent="0.35">
      <c r="A591" s="1" t="s">
        <v>1257</v>
      </c>
      <c r="B591" s="1" t="s">
        <v>1258</v>
      </c>
      <c r="C591" s="1" t="s">
        <v>1259</v>
      </c>
      <c r="D591" s="1">
        <v>4.7</v>
      </c>
      <c r="E591" s="1">
        <v>17665</v>
      </c>
      <c r="F591" s="1">
        <v>2020</v>
      </c>
    </row>
    <row r="592" spans="1:6" x14ac:dyDescent="0.35">
      <c r="A592" s="1" t="s">
        <v>886</v>
      </c>
      <c r="B592" s="1" t="s">
        <v>887</v>
      </c>
      <c r="C592" s="1" t="s">
        <v>101</v>
      </c>
      <c r="D592" s="1">
        <v>4.4000000000000004</v>
      </c>
      <c r="E592" s="1">
        <v>17631</v>
      </c>
      <c r="F592" s="1">
        <v>2019</v>
      </c>
    </row>
    <row r="593" spans="1:6" x14ac:dyDescent="0.35">
      <c r="A593" s="1" t="s">
        <v>787</v>
      </c>
      <c r="B593" s="1" t="s">
        <v>788</v>
      </c>
      <c r="C593" s="1" t="s">
        <v>163</v>
      </c>
      <c r="D593" s="1">
        <v>4.3</v>
      </c>
      <c r="E593" s="1">
        <v>17596</v>
      </c>
      <c r="F593" s="1">
        <v>1999</v>
      </c>
    </row>
    <row r="594" spans="1:6" x14ac:dyDescent="0.35">
      <c r="A594" s="1" t="s">
        <v>1099</v>
      </c>
      <c r="B594" s="1" t="s">
        <v>1100</v>
      </c>
      <c r="C594" s="1" t="s">
        <v>101</v>
      </c>
      <c r="D594" s="1">
        <v>4.5999999999999996</v>
      </c>
      <c r="E594" s="1">
        <v>17570</v>
      </c>
      <c r="F594" s="1">
        <v>2024</v>
      </c>
    </row>
    <row r="595" spans="1:6" x14ac:dyDescent="0.35">
      <c r="A595" s="1" t="s">
        <v>69</v>
      </c>
      <c r="B595" s="1" t="s">
        <v>70</v>
      </c>
      <c r="C595" s="1" t="s">
        <v>71</v>
      </c>
      <c r="D595" s="1">
        <v>1.6</v>
      </c>
      <c r="E595" s="1">
        <v>17559</v>
      </c>
      <c r="F595" s="1">
        <v>2009</v>
      </c>
    </row>
    <row r="596" spans="1:6" x14ac:dyDescent="0.35">
      <c r="A596" s="1" t="s">
        <v>984</v>
      </c>
      <c r="B596" s="1" t="s">
        <v>985</v>
      </c>
      <c r="C596" s="1" t="s">
        <v>243</v>
      </c>
      <c r="D596" s="1">
        <v>4.5</v>
      </c>
      <c r="E596" s="1">
        <v>17532</v>
      </c>
      <c r="F596" s="1">
        <v>2018</v>
      </c>
    </row>
    <row r="597" spans="1:6" x14ac:dyDescent="0.35">
      <c r="A597" s="1" t="s">
        <v>1430</v>
      </c>
      <c r="B597" s="1" t="s">
        <v>1431</v>
      </c>
      <c r="C597" s="1" t="s">
        <v>1243</v>
      </c>
      <c r="D597" s="1">
        <v>4.8</v>
      </c>
      <c r="E597" s="1">
        <v>17488</v>
      </c>
      <c r="F597" s="1">
        <v>2018</v>
      </c>
    </row>
    <row r="598" spans="1:6" x14ac:dyDescent="0.35">
      <c r="A598" s="1" t="s">
        <v>789</v>
      </c>
      <c r="B598" s="1" t="s">
        <v>790</v>
      </c>
      <c r="C598" s="1" t="s">
        <v>791</v>
      </c>
      <c r="D598" s="1">
        <v>4.3</v>
      </c>
      <c r="E598" s="1">
        <v>17474</v>
      </c>
      <c r="F598" s="1">
        <v>2018</v>
      </c>
    </row>
    <row r="599" spans="1:6" x14ac:dyDescent="0.35">
      <c r="A599" s="1" t="s">
        <v>1992</v>
      </c>
      <c r="B599" s="1" t="s">
        <v>1993</v>
      </c>
      <c r="C599" s="1" t="s">
        <v>1994</v>
      </c>
      <c r="D599" s="1">
        <v>5.0999999999999996</v>
      </c>
      <c r="E599" s="1">
        <v>17457</v>
      </c>
      <c r="F599" s="1">
        <v>2024</v>
      </c>
    </row>
    <row r="600" spans="1:6" x14ac:dyDescent="0.35">
      <c r="A600" s="1" t="s">
        <v>1432</v>
      </c>
      <c r="B600" s="1" t="s">
        <v>1433</v>
      </c>
      <c r="C600" s="1" t="s">
        <v>1075</v>
      </c>
      <c r="D600" s="1">
        <v>4.8</v>
      </c>
      <c r="E600" s="1">
        <v>17442</v>
      </c>
      <c r="F600" s="1">
        <v>2014</v>
      </c>
    </row>
    <row r="601" spans="1:6" x14ac:dyDescent="0.35">
      <c r="A601" s="1" t="s">
        <v>1771</v>
      </c>
      <c r="B601" s="1" t="s">
        <v>1772</v>
      </c>
      <c r="C601" s="1" t="s">
        <v>178</v>
      </c>
      <c r="D601" s="1">
        <v>5</v>
      </c>
      <c r="E601" s="1">
        <v>17382</v>
      </c>
      <c r="F601" s="1">
        <v>1997</v>
      </c>
    </row>
    <row r="602" spans="1:6" x14ac:dyDescent="0.35">
      <c r="A602" s="1" t="s">
        <v>792</v>
      </c>
      <c r="B602" s="1" t="s">
        <v>793</v>
      </c>
      <c r="C602" s="1" t="s">
        <v>65</v>
      </c>
      <c r="D602" s="1">
        <v>4.3</v>
      </c>
      <c r="E602" s="1">
        <v>17381</v>
      </c>
      <c r="F602" s="1">
        <v>2022</v>
      </c>
    </row>
    <row r="603" spans="1:6" x14ac:dyDescent="0.35">
      <c r="A603" s="1" t="s">
        <v>1434</v>
      </c>
      <c r="B603" s="1" t="s">
        <v>1435</v>
      </c>
      <c r="C603" s="1" t="s">
        <v>448</v>
      </c>
      <c r="D603" s="1">
        <v>4.8</v>
      </c>
      <c r="E603" s="1">
        <v>17348</v>
      </c>
      <c r="F603" s="1">
        <v>2022</v>
      </c>
    </row>
    <row r="604" spans="1:6" x14ac:dyDescent="0.35">
      <c r="A604" s="1" t="s">
        <v>1260</v>
      </c>
      <c r="B604" s="1" t="s">
        <v>1261</v>
      </c>
      <c r="C604" s="1" t="s">
        <v>709</v>
      </c>
      <c r="D604" s="1">
        <v>4.7</v>
      </c>
      <c r="E604" s="1">
        <v>17304</v>
      </c>
      <c r="F604" s="1">
        <v>2021</v>
      </c>
    </row>
    <row r="605" spans="1:6" x14ac:dyDescent="0.35">
      <c r="A605" s="1" t="s">
        <v>986</v>
      </c>
      <c r="B605" s="1" t="s">
        <v>987</v>
      </c>
      <c r="C605" s="1" t="s">
        <v>82</v>
      </c>
      <c r="D605" s="1">
        <v>4.5</v>
      </c>
      <c r="E605" s="1">
        <v>17302</v>
      </c>
      <c r="F605" s="1">
        <v>2016</v>
      </c>
    </row>
    <row r="606" spans="1:6" x14ac:dyDescent="0.35">
      <c r="A606" s="1" t="s">
        <v>421</v>
      </c>
      <c r="B606" s="1" t="s">
        <v>422</v>
      </c>
      <c r="C606" s="1" t="s">
        <v>208</v>
      </c>
      <c r="D606" s="1">
        <v>3.6</v>
      </c>
      <c r="E606" s="1">
        <v>17299</v>
      </c>
      <c r="F606" s="1">
        <v>2019</v>
      </c>
    </row>
    <row r="607" spans="1:6" x14ac:dyDescent="0.35">
      <c r="A607" s="1" t="s">
        <v>1101</v>
      </c>
      <c r="B607" s="1" t="s">
        <v>1102</v>
      </c>
      <c r="C607" s="1" t="s">
        <v>400</v>
      </c>
      <c r="D607" s="1">
        <v>4.5999999999999996</v>
      </c>
      <c r="E607" s="1">
        <v>17285</v>
      </c>
      <c r="F607" s="1">
        <v>2020</v>
      </c>
    </row>
    <row r="608" spans="1:6" x14ac:dyDescent="0.35">
      <c r="A608" s="1" t="s">
        <v>129</v>
      </c>
      <c r="B608" s="1" t="s">
        <v>130</v>
      </c>
      <c r="C608" s="1" t="s">
        <v>131</v>
      </c>
      <c r="D608" s="1">
        <v>2.2000000000000002</v>
      </c>
      <c r="E608" s="1">
        <v>17278</v>
      </c>
      <c r="F608" s="1">
        <v>1978</v>
      </c>
    </row>
    <row r="609" spans="1:6" x14ac:dyDescent="0.35">
      <c r="A609" s="1" t="s">
        <v>1436</v>
      </c>
      <c r="B609" s="1" t="s">
        <v>1437</v>
      </c>
      <c r="C609" s="1" t="s">
        <v>116</v>
      </c>
      <c r="D609" s="1">
        <v>4.8</v>
      </c>
      <c r="E609" s="1">
        <v>17244</v>
      </c>
      <c r="F609" s="1">
        <v>2017</v>
      </c>
    </row>
    <row r="610" spans="1:6" x14ac:dyDescent="0.35">
      <c r="A610" s="1" t="s">
        <v>381</v>
      </c>
      <c r="B610" s="1" t="s">
        <v>382</v>
      </c>
      <c r="C610" s="1" t="s">
        <v>152</v>
      </c>
      <c r="D610" s="1">
        <v>3.5</v>
      </c>
      <c r="E610" s="1">
        <v>17241</v>
      </c>
      <c r="F610" s="1">
        <v>2014</v>
      </c>
    </row>
    <row r="611" spans="1:6" x14ac:dyDescent="0.35">
      <c r="A611" s="1" t="s">
        <v>720</v>
      </c>
      <c r="B611" s="1" t="s">
        <v>721</v>
      </c>
      <c r="C611" s="1" t="s">
        <v>143</v>
      </c>
      <c r="D611" s="1">
        <v>4.2</v>
      </c>
      <c r="E611" s="1">
        <v>17210</v>
      </c>
      <c r="F611" s="1">
        <v>2015</v>
      </c>
    </row>
    <row r="612" spans="1:6" x14ac:dyDescent="0.35">
      <c r="A612" s="1" t="s">
        <v>607</v>
      </c>
      <c r="B612" s="1" t="s">
        <v>608</v>
      </c>
      <c r="C612" s="1" t="s">
        <v>82</v>
      </c>
      <c r="D612" s="1">
        <v>4</v>
      </c>
      <c r="E612" s="1">
        <v>17167</v>
      </c>
      <c r="F612" s="1">
        <v>2013</v>
      </c>
    </row>
    <row r="613" spans="1:6" x14ac:dyDescent="0.35">
      <c r="A613" s="1" t="s">
        <v>794</v>
      </c>
      <c r="B613" s="1" t="s">
        <v>795</v>
      </c>
      <c r="C613" s="1" t="s">
        <v>508</v>
      </c>
      <c r="D613" s="1">
        <v>4.3</v>
      </c>
      <c r="E613" s="1">
        <v>17161</v>
      </c>
      <c r="F613" s="1">
        <v>2016</v>
      </c>
    </row>
    <row r="614" spans="1:6" x14ac:dyDescent="0.35">
      <c r="A614" s="1" t="s">
        <v>1262</v>
      </c>
      <c r="B614" s="1" t="s">
        <v>1263</v>
      </c>
      <c r="C614" s="1" t="s">
        <v>82</v>
      </c>
      <c r="D614" s="1">
        <v>4.7</v>
      </c>
      <c r="E614" s="1">
        <v>17068</v>
      </c>
      <c r="F614" s="1">
        <v>2015</v>
      </c>
    </row>
    <row r="615" spans="1:6" x14ac:dyDescent="0.35">
      <c r="A615" s="1" t="s">
        <v>1773</v>
      </c>
      <c r="B615" s="1" t="s">
        <v>1774</v>
      </c>
      <c r="C615" s="1" t="s">
        <v>1775</v>
      </c>
      <c r="D615" s="1">
        <v>5</v>
      </c>
      <c r="E615" s="1">
        <v>17048</v>
      </c>
      <c r="F615" s="1">
        <v>2009</v>
      </c>
    </row>
    <row r="616" spans="1:6" x14ac:dyDescent="0.35">
      <c r="A616" s="1" t="s">
        <v>1616</v>
      </c>
      <c r="B616" s="1" t="s">
        <v>1617</v>
      </c>
      <c r="C616" s="1" t="s">
        <v>116</v>
      </c>
      <c r="D616" s="1">
        <v>4.9000000000000004</v>
      </c>
      <c r="E616" s="1">
        <v>17031</v>
      </c>
      <c r="F616" s="1">
        <v>2007</v>
      </c>
    </row>
    <row r="617" spans="1:6" x14ac:dyDescent="0.35">
      <c r="A617" s="1" t="s">
        <v>1103</v>
      </c>
      <c r="B617" s="1" t="s">
        <v>1104</v>
      </c>
      <c r="C617" s="1" t="s">
        <v>101</v>
      </c>
      <c r="D617" s="1">
        <v>4.5999999999999996</v>
      </c>
      <c r="E617" s="1">
        <v>17006</v>
      </c>
      <c r="F617" s="1">
        <v>2002</v>
      </c>
    </row>
    <row r="618" spans="1:6" x14ac:dyDescent="0.35">
      <c r="A618" s="1" t="s">
        <v>1105</v>
      </c>
      <c r="B618" s="1" t="s">
        <v>1106</v>
      </c>
      <c r="C618" s="1" t="s">
        <v>584</v>
      </c>
      <c r="D618" s="1">
        <v>4.5999999999999996</v>
      </c>
      <c r="E618" s="1">
        <v>16961</v>
      </c>
      <c r="F618" s="1">
        <v>2011</v>
      </c>
    </row>
    <row r="619" spans="1:6" x14ac:dyDescent="0.35">
      <c r="A619" s="1" t="s">
        <v>888</v>
      </c>
      <c r="B619" s="1" t="s">
        <v>889</v>
      </c>
      <c r="C619" s="1" t="s">
        <v>508</v>
      </c>
      <c r="D619" s="1">
        <v>4.4000000000000004</v>
      </c>
      <c r="E619" s="1">
        <v>16948</v>
      </c>
      <c r="F619" s="1">
        <v>2020</v>
      </c>
    </row>
    <row r="620" spans="1:6" x14ac:dyDescent="0.35">
      <c r="A620" s="1" t="s">
        <v>1776</v>
      </c>
      <c r="B620" s="1" t="s">
        <v>1777</v>
      </c>
      <c r="C620" s="1" t="s">
        <v>1778</v>
      </c>
      <c r="D620" s="1">
        <v>5</v>
      </c>
      <c r="E620" s="1">
        <v>16941</v>
      </c>
      <c r="F620" s="1">
        <v>2014</v>
      </c>
    </row>
    <row r="621" spans="1:6" x14ac:dyDescent="0.35">
      <c r="A621" s="1" t="s">
        <v>1995</v>
      </c>
      <c r="B621" s="1" t="s">
        <v>1996</v>
      </c>
      <c r="C621" s="1" t="s">
        <v>31</v>
      </c>
      <c r="D621" s="1">
        <v>5.0999999999999996</v>
      </c>
      <c r="E621" s="1">
        <v>16938</v>
      </c>
      <c r="F621" s="1">
        <v>2017</v>
      </c>
    </row>
    <row r="622" spans="1:6" x14ac:dyDescent="0.35">
      <c r="A622" s="1" t="s">
        <v>1618</v>
      </c>
      <c r="B622" s="1" t="s">
        <v>1619</v>
      </c>
      <c r="C622" s="1" t="s">
        <v>14</v>
      </c>
      <c r="D622" s="1">
        <v>4.9000000000000004</v>
      </c>
      <c r="E622" s="1">
        <v>16896</v>
      </c>
      <c r="F622" s="1">
        <v>2003</v>
      </c>
    </row>
    <row r="623" spans="1:6" x14ac:dyDescent="0.35">
      <c r="A623" s="1" t="s">
        <v>1997</v>
      </c>
      <c r="B623" s="1" t="s">
        <v>1998</v>
      </c>
      <c r="C623" s="1" t="s">
        <v>44</v>
      </c>
      <c r="D623" s="1">
        <v>5.0999999999999996</v>
      </c>
      <c r="E623" s="1">
        <v>16869</v>
      </c>
      <c r="F623" s="1">
        <v>2019</v>
      </c>
    </row>
    <row r="624" spans="1:6" x14ac:dyDescent="0.35">
      <c r="A624" s="1" t="s">
        <v>42</v>
      </c>
      <c r="B624" s="1" t="s">
        <v>43</v>
      </c>
      <c r="C624" s="1" t="s">
        <v>44</v>
      </c>
      <c r="D624" s="1">
        <v>1.3</v>
      </c>
      <c r="E624" s="1">
        <v>16868</v>
      </c>
      <c r="F624" s="1">
        <v>2014</v>
      </c>
    </row>
    <row r="625" spans="1:6" x14ac:dyDescent="0.35">
      <c r="A625" s="1" t="s">
        <v>796</v>
      </c>
      <c r="B625" s="1" t="s">
        <v>797</v>
      </c>
      <c r="C625" s="1" t="s">
        <v>549</v>
      </c>
      <c r="D625" s="1">
        <v>4.3</v>
      </c>
      <c r="E625" s="1">
        <v>16854</v>
      </c>
      <c r="F625" s="1">
        <v>2008</v>
      </c>
    </row>
    <row r="626" spans="1:6" x14ac:dyDescent="0.35">
      <c r="A626" s="1" t="s">
        <v>60</v>
      </c>
      <c r="B626" s="1" t="s">
        <v>61</v>
      </c>
      <c r="C626" s="1" t="s">
        <v>62</v>
      </c>
      <c r="D626" s="1">
        <v>1.5</v>
      </c>
      <c r="E626" s="1">
        <v>16829</v>
      </c>
      <c r="F626" s="1">
        <v>2006</v>
      </c>
    </row>
    <row r="627" spans="1:6" x14ac:dyDescent="0.35">
      <c r="A627" s="1" t="s">
        <v>1999</v>
      </c>
      <c r="B627" s="1" t="s">
        <v>2000</v>
      </c>
      <c r="C627" s="1" t="s">
        <v>128</v>
      </c>
      <c r="D627" s="1">
        <v>5.0999999999999996</v>
      </c>
      <c r="E627" s="1">
        <v>16811</v>
      </c>
      <c r="F627" s="1">
        <v>2001</v>
      </c>
    </row>
    <row r="628" spans="1:6" x14ac:dyDescent="0.35">
      <c r="A628" s="1" t="s">
        <v>1107</v>
      </c>
      <c r="B628" s="1" t="s">
        <v>1108</v>
      </c>
      <c r="C628" s="1" t="s">
        <v>565</v>
      </c>
      <c r="D628" s="1">
        <v>4.5999999999999996</v>
      </c>
      <c r="E628" s="1">
        <v>16725</v>
      </c>
      <c r="F628" s="1">
        <v>2016</v>
      </c>
    </row>
    <row r="629" spans="1:6" x14ac:dyDescent="0.35">
      <c r="A629" s="1" t="s">
        <v>1109</v>
      </c>
      <c r="B629" s="1" t="s">
        <v>1110</v>
      </c>
      <c r="C629" s="1" t="s">
        <v>31</v>
      </c>
      <c r="D629" s="1">
        <v>4.5999999999999996</v>
      </c>
      <c r="E629" s="1">
        <v>16708</v>
      </c>
      <c r="F629" s="1">
        <v>1993</v>
      </c>
    </row>
    <row r="630" spans="1:6" x14ac:dyDescent="0.35">
      <c r="A630" s="1" t="s">
        <v>500</v>
      </c>
      <c r="B630" s="1" t="s">
        <v>501</v>
      </c>
      <c r="C630" s="1" t="s">
        <v>149</v>
      </c>
      <c r="D630" s="1">
        <v>3.8</v>
      </c>
      <c r="E630" s="1">
        <v>16700</v>
      </c>
      <c r="F630" s="1">
        <v>1988</v>
      </c>
    </row>
    <row r="631" spans="1:6" x14ac:dyDescent="0.35">
      <c r="A631" s="1" t="s">
        <v>1620</v>
      </c>
      <c r="B631" s="1" t="s">
        <v>1621</v>
      </c>
      <c r="C631" s="1" t="s">
        <v>101</v>
      </c>
      <c r="D631" s="1">
        <v>4.9000000000000004</v>
      </c>
      <c r="E631" s="1">
        <v>16691</v>
      </c>
      <c r="F631" s="1">
        <v>1998</v>
      </c>
    </row>
    <row r="632" spans="1:6" x14ac:dyDescent="0.35">
      <c r="A632" s="1" t="s">
        <v>563</v>
      </c>
      <c r="B632" s="1" t="s">
        <v>564</v>
      </c>
      <c r="C632" s="1" t="s">
        <v>565</v>
      </c>
      <c r="D632" s="1">
        <v>3.9</v>
      </c>
      <c r="E632" s="1">
        <v>16563</v>
      </c>
      <c r="F632" s="1">
        <v>2020</v>
      </c>
    </row>
    <row r="633" spans="1:6" x14ac:dyDescent="0.35">
      <c r="A633" s="1" t="s">
        <v>1779</v>
      </c>
      <c r="B633" s="1" t="s">
        <v>1780</v>
      </c>
      <c r="C633" s="1" t="s">
        <v>568</v>
      </c>
      <c r="D633" s="1">
        <v>5</v>
      </c>
      <c r="E633" s="1">
        <v>16533</v>
      </c>
      <c r="F633" s="1">
        <v>2008</v>
      </c>
    </row>
    <row r="634" spans="1:6" x14ac:dyDescent="0.35">
      <c r="A634" s="1" t="s">
        <v>890</v>
      </c>
      <c r="B634" s="1" t="s">
        <v>891</v>
      </c>
      <c r="C634" s="1" t="s">
        <v>524</v>
      </c>
      <c r="D634" s="1">
        <v>4.4000000000000004</v>
      </c>
      <c r="E634" s="1">
        <v>16501</v>
      </c>
      <c r="F634" s="1">
        <v>2010</v>
      </c>
    </row>
    <row r="635" spans="1:6" x14ac:dyDescent="0.35">
      <c r="A635" s="1" t="s">
        <v>117</v>
      </c>
      <c r="B635" s="1" t="s">
        <v>118</v>
      </c>
      <c r="C635" s="1" t="s">
        <v>119</v>
      </c>
      <c r="D635" s="1">
        <v>2</v>
      </c>
      <c r="E635" s="1">
        <v>16400</v>
      </c>
      <c r="F635" s="1">
        <v>2024</v>
      </c>
    </row>
    <row r="636" spans="1:6" x14ac:dyDescent="0.35">
      <c r="A636" s="1" t="s">
        <v>892</v>
      </c>
      <c r="B636" s="1" t="s">
        <v>893</v>
      </c>
      <c r="C636" s="1" t="s">
        <v>14</v>
      </c>
      <c r="D636" s="1">
        <v>4.4000000000000004</v>
      </c>
      <c r="E636" s="1">
        <v>16373</v>
      </c>
      <c r="F636" s="1">
        <v>2000</v>
      </c>
    </row>
    <row r="637" spans="1:6" x14ac:dyDescent="0.35">
      <c r="A637" s="1" t="s">
        <v>661</v>
      </c>
      <c r="B637" s="1" t="s">
        <v>662</v>
      </c>
      <c r="C637" s="1" t="s">
        <v>217</v>
      </c>
      <c r="D637" s="1">
        <v>4.0999999999999996</v>
      </c>
      <c r="E637" s="1">
        <v>16358</v>
      </c>
      <c r="F637" s="1">
        <v>1997</v>
      </c>
    </row>
    <row r="638" spans="1:6" x14ac:dyDescent="0.35">
      <c r="A638" s="1" t="s">
        <v>722</v>
      </c>
      <c r="B638" s="1" t="s">
        <v>723</v>
      </c>
      <c r="C638" s="1" t="s">
        <v>249</v>
      </c>
      <c r="D638" s="1">
        <v>4.2</v>
      </c>
      <c r="E638" s="1">
        <v>16219</v>
      </c>
      <c r="F638" s="1">
        <v>2020</v>
      </c>
    </row>
    <row r="639" spans="1:6" x14ac:dyDescent="0.35">
      <c r="A639" s="1" t="s">
        <v>355</v>
      </c>
      <c r="B639" s="1" t="s">
        <v>356</v>
      </c>
      <c r="C639" s="1" t="s">
        <v>56</v>
      </c>
      <c r="D639" s="1">
        <v>3.4</v>
      </c>
      <c r="E639" s="1">
        <v>16210</v>
      </c>
      <c r="F639" s="1">
        <v>2021</v>
      </c>
    </row>
    <row r="640" spans="1:6" x14ac:dyDescent="0.35">
      <c r="A640" s="1" t="s">
        <v>2001</v>
      </c>
      <c r="B640" s="1" t="s">
        <v>2002</v>
      </c>
      <c r="C640" s="1" t="s">
        <v>2003</v>
      </c>
      <c r="D640" s="1">
        <v>5.0999999999999996</v>
      </c>
      <c r="E640" s="1">
        <v>16206</v>
      </c>
      <c r="F640" s="1">
        <v>2022</v>
      </c>
    </row>
    <row r="641" spans="1:6" x14ac:dyDescent="0.35">
      <c r="A641" s="1" t="s">
        <v>1111</v>
      </c>
      <c r="B641" s="1" t="s">
        <v>1112</v>
      </c>
      <c r="C641" s="1" t="s">
        <v>178</v>
      </c>
      <c r="D641" s="1">
        <v>4.5999999999999996</v>
      </c>
      <c r="E641" s="1">
        <v>16172</v>
      </c>
      <c r="F641" s="1">
        <v>2004</v>
      </c>
    </row>
    <row r="642" spans="1:6" x14ac:dyDescent="0.35">
      <c r="A642" s="1" t="s">
        <v>1781</v>
      </c>
      <c r="B642" s="1" t="s">
        <v>1782</v>
      </c>
      <c r="C642" s="1" t="s">
        <v>846</v>
      </c>
      <c r="D642" s="1">
        <v>5</v>
      </c>
      <c r="E642" s="1">
        <v>16170</v>
      </c>
      <c r="F642" s="1">
        <v>1999</v>
      </c>
    </row>
    <row r="643" spans="1:6" x14ac:dyDescent="0.35">
      <c r="A643" s="1" t="s">
        <v>1622</v>
      </c>
      <c r="B643" s="1" t="s">
        <v>1623</v>
      </c>
      <c r="C643" s="1" t="s">
        <v>101</v>
      </c>
      <c r="D643" s="1">
        <v>4.9000000000000004</v>
      </c>
      <c r="E643" s="1">
        <v>16091</v>
      </c>
      <c r="F643" s="1">
        <v>2013</v>
      </c>
    </row>
    <row r="644" spans="1:6" x14ac:dyDescent="0.35">
      <c r="A644" s="1" t="s">
        <v>2004</v>
      </c>
      <c r="B644" s="1" t="s">
        <v>2005</v>
      </c>
      <c r="C644" s="1" t="s">
        <v>82</v>
      </c>
      <c r="D644" s="1">
        <v>5.0999999999999996</v>
      </c>
      <c r="E644" s="1">
        <v>16050</v>
      </c>
      <c r="F644" s="1">
        <v>2015</v>
      </c>
    </row>
    <row r="645" spans="1:6" x14ac:dyDescent="0.35">
      <c r="A645" s="1" t="s">
        <v>1438</v>
      </c>
      <c r="B645" s="1" t="s">
        <v>1439</v>
      </c>
      <c r="C645" s="1" t="s">
        <v>762</v>
      </c>
      <c r="D645" s="1">
        <v>4.8</v>
      </c>
      <c r="E645" s="1">
        <v>15945</v>
      </c>
      <c r="F645" s="1">
        <v>2007</v>
      </c>
    </row>
    <row r="646" spans="1:6" x14ac:dyDescent="0.35">
      <c r="A646" s="1" t="s">
        <v>894</v>
      </c>
      <c r="B646" s="1" t="s">
        <v>895</v>
      </c>
      <c r="C646" s="1" t="s">
        <v>896</v>
      </c>
      <c r="D646" s="1">
        <v>4.4000000000000004</v>
      </c>
      <c r="E646" s="1">
        <v>15885</v>
      </c>
      <c r="F646" s="1">
        <v>2022</v>
      </c>
    </row>
    <row r="647" spans="1:6" x14ac:dyDescent="0.35">
      <c r="A647" s="1" t="s">
        <v>1783</v>
      </c>
      <c r="B647" s="1" t="s">
        <v>1784</v>
      </c>
      <c r="C647" s="1" t="s">
        <v>128</v>
      </c>
      <c r="D647" s="1">
        <v>5</v>
      </c>
      <c r="E647" s="1">
        <v>15875</v>
      </c>
      <c r="F647" s="1">
        <v>2000</v>
      </c>
    </row>
    <row r="648" spans="1:6" x14ac:dyDescent="0.35">
      <c r="A648" s="1" t="s">
        <v>1440</v>
      </c>
      <c r="B648" s="1" t="s">
        <v>1441</v>
      </c>
      <c r="C648" s="1" t="s">
        <v>82</v>
      </c>
      <c r="D648" s="1">
        <v>4.8</v>
      </c>
      <c r="E648" s="1">
        <v>15866</v>
      </c>
      <c r="F648" s="1">
        <v>2017</v>
      </c>
    </row>
    <row r="649" spans="1:6" x14ac:dyDescent="0.35">
      <c r="A649" s="1" t="s">
        <v>798</v>
      </c>
      <c r="B649" s="1" t="s">
        <v>799</v>
      </c>
      <c r="C649" s="1" t="s">
        <v>169</v>
      </c>
      <c r="D649" s="1">
        <v>4.3</v>
      </c>
      <c r="E649" s="1">
        <v>15799</v>
      </c>
      <c r="F649" s="1">
        <v>2016</v>
      </c>
    </row>
    <row r="650" spans="1:6" x14ac:dyDescent="0.35">
      <c r="A650" s="1" t="s">
        <v>233</v>
      </c>
      <c r="B650" s="1" t="s">
        <v>234</v>
      </c>
      <c r="C650" s="1" t="s">
        <v>208</v>
      </c>
      <c r="D650" s="1">
        <v>2.8</v>
      </c>
      <c r="E650" s="1">
        <v>15791</v>
      </c>
      <c r="F650" s="1">
        <v>2019</v>
      </c>
    </row>
    <row r="651" spans="1:6" x14ac:dyDescent="0.35">
      <c r="A651" s="1" t="s">
        <v>1442</v>
      </c>
      <c r="B651" s="1" t="s">
        <v>1443</v>
      </c>
      <c r="C651" s="1" t="s">
        <v>56</v>
      </c>
      <c r="D651" s="1">
        <v>4.8</v>
      </c>
      <c r="E651" s="1">
        <v>15773</v>
      </c>
      <c r="F651" s="1">
        <v>2020</v>
      </c>
    </row>
    <row r="652" spans="1:6" x14ac:dyDescent="0.35">
      <c r="A652" s="1" t="s">
        <v>2006</v>
      </c>
      <c r="B652" s="1" t="s">
        <v>2007</v>
      </c>
      <c r="C652" s="1" t="s">
        <v>146</v>
      </c>
      <c r="D652" s="1">
        <v>5.0999999999999996</v>
      </c>
      <c r="E652" s="1">
        <v>15773</v>
      </c>
      <c r="F652" s="1">
        <v>2010</v>
      </c>
    </row>
    <row r="653" spans="1:6" x14ac:dyDescent="0.35">
      <c r="A653" s="1" t="s">
        <v>502</v>
      </c>
      <c r="B653" s="1" t="s">
        <v>503</v>
      </c>
      <c r="C653" s="1" t="s">
        <v>8</v>
      </c>
      <c r="D653" s="1">
        <v>3.8</v>
      </c>
      <c r="E653" s="1">
        <v>15745</v>
      </c>
      <c r="F653" s="1">
        <v>2022</v>
      </c>
    </row>
    <row r="654" spans="1:6" x14ac:dyDescent="0.35">
      <c r="A654" s="1" t="s">
        <v>1785</v>
      </c>
      <c r="B654" s="1" t="s">
        <v>1786</v>
      </c>
      <c r="C654" s="1" t="s">
        <v>93</v>
      </c>
      <c r="D654" s="1">
        <v>5</v>
      </c>
      <c r="E654" s="1">
        <v>15715</v>
      </c>
      <c r="F654" s="1">
        <v>2015</v>
      </c>
    </row>
    <row r="655" spans="1:6" x14ac:dyDescent="0.35">
      <c r="A655" s="1" t="s">
        <v>663</v>
      </c>
      <c r="B655" s="1" t="s">
        <v>664</v>
      </c>
      <c r="C655" s="1" t="s">
        <v>166</v>
      </c>
      <c r="D655" s="1">
        <v>4.0999999999999996</v>
      </c>
      <c r="E655" s="1">
        <v>15709</v>
      </c>
      <c r="F655" s="1">
        <v>2018</v>
      </c>
    </row>
    <row r="656" spans="1:6" x14ac:dyDescent="0.35">
      <c r="A656" s="1" t="s">
        <v>1444</v>
      </c>
      <c r="B656" s="1" t="s">
        <v>1445</v>
      </c>
      <c r="C656" s="1" t="s">
        <v>1446</v>
      </c>
      <c r="D656" s="1">
        <v>4.8</v>
      </c>
      <c r="E656" s="1">
        <v>15699</v>
      </c>
      <c r="F656" s="1">
        <v>2005</v>
      </c>
    </row>
    <row r="657" spans="1:6" x14ac:dyDescent="0.35">
      <c r="A657" s="1" t="s">
        <v>2008</v>
      </c>
      <c r="B657" s="1" t="s">
        <v>2009</v>
      </c>
      <c r="C657" s="1" t="s">
        <v>11</v>
      </c>
      <c r="D657" s="1">
        <v>5.0999999999999996</v>
      </c>
      <c r="E657" s="1">
        <v>15680</v>
      </c>
      <c r="F657" s="1">
        <v>1987</v>
      </c>
    </row>
    <row r="658" spans="1:6" x14ac:dyDescent="0.35">
      <c r="A658" s="1" t="s">
        <v>566</v>
      </c>
      <c r="B658" s="1" t="s">
        <v>567</v>
      </c>
      <c r="C658" s="1" t="s">
        <v>568</v>
      </c>
      <c r="D658" s="1">
        <v>3.9</v>
      </c>
      <c r="E658" s="1">
        <v>15666</v>
      </c>
      <c r="F658" s="1">
        <v>2024</v>
      </c>
    </row>
    <row r="659" spans="1:6" x14ac:dyDescent="0.35">
      <c r="A659" s="1" t="s">
        <v>147</v>
      </c>
      <c r="B659" s="1" t="s">
        <v>148</v>
      </c>
      <c r="C659" s="1" t="s">
        <v>149</v>
      </c>
      <c r="D659" s="1">
        <v>2.2999999999999998</v>
      </c>
      <c r="E659" s="1">
        <v>15639</v>
      </c>
      <c r="F659" s="1">
        <v>2007</v>
      </c>
    </row>
    <row r="660" spans="1:6" x14ac:dyDescent="0.35">
      <c r="A660" s="1" t="s">
        <v>85</v>
      </c>
      <c r="B660" s="1" t="s">
        <v>86</v>
      </c>
      <c r="C660" s="1" t="s">
        <v>87</v>
      </c>
      <c r="D660" s="1">
        <v>1.7</v>
      </c>
      <c r="E660" s="1">
        <v>15623</v>
      </c>
      <c r="F660" s="1">
        <v>2021</v>
      </c>
    </row>
    <row r="661" spans="1:6" x14ac:dyDescent="0.35">
      <c r="A661" s="1" t="s">
        <v>1447</v>
      </c>
      <c r="B661" s="1" t="s">
        <v>1448</v>
      </c>
      <c r="C661" s="1" t="s">
        <v>1160</v>
      </c>
      <c r="D661" s="1">
        <v>4.8</v>
      </c>
      <c r="E661" s="1">
        <v>15608</v>
      </c>
      <c r="F661" s="1">
        <v>2017</v>
      </c>
    </row>
    <row r="662" spans="1:6" x14ac:dyDescent="0.35">
      <c r="A662" s="1" t="s">
        <v>1264</v>
      </c>
      <c r="B662" s="1" t="s">
        <v>1265</v>
      </c>
      <c r="C662" s="1" t="s">
        <v>172</v>
      </c>
      <c r="D662" s="1">
        <v>4.7</v>
      </c>
      <c r="E662" s="1">
        <v>15602</v>
      </c>
      <c r="F662" s="1">
        <v>2020</v>
      </c>
    </row>
    <row r="663" spans="1:6" x14ac:dyDescent="0.35">
      <c r="A663" s="1" t="s">
        <v>569</v>
      </c>
      <c r="B663" s="1" t="s">
        <v>570</v>
      </c>
      <c r="C663" s="1" t="s">
        <v>571</v>
      </c>
      <c r="D663" s="1">
        <v>3.9</v>
      </c>
      <c r="E663" s="1">
        <v>15551</v>
      </c>
      <c r="F663" s="1">
        <v>2023</v>
      </c>
    </row>
    <row r="664" spans="1:6" x14ac:dyDescent="0.35">
      <c r="A664" s="1" t="s">
        <v>2010</v>
      </c>
      <c r="B664" s="1" t="s">
        <v>2011</v>
      </c>
      <c r="C664" s="1" t="s">
        <v>669</v>
      </c>
      <c r="D664" s="1">
        <v>5.0999999999999996</v>
      </c>
      <c r="E664" s="1">
        <v>15538</v>
      </c>
      <c r="F664" s="1">
        <v>2000</v>
      </c>
    </row>
    <row r="665" spans="1:6" x14ac:dyDescent="0.35">
      <c r="A665" s="1" t="s">
        <v>88</v>
      </c>
      <c r="B665" s="1" t="s">
        <v>89</v>
      </c>
      <c r="C665" s="1" t="s">
        <v>90</v>
      </c>
      <c r="D665" s="1">
        <v>1.7</v>
      </c>
      <c r="E665" s="1">
        <v>15518</v>
      </c>
      <c r="F665" s="1">
        <v>2012</v>
      </c>
    </row>
    <row r="666" spans="1:6" x14ac:dyDescent="0.35">
      <c r="A666" s="1" t="s">
        <v>1266</v>
      </c>
      <c r="B666" s="1" t="s">
        <v>1267</v>
      </c>
      <c r="C666" s="1" t="s">
        <v>11</v>
      </c>
      <c r="D666" s="1">
        <v>4.7</v>
      </c>
      <c r="E666" s="1">
        <v>15510</v>
      </c>
      <c r="F666" s="1">
        <v>2020</v>
      </c>
    </row>
    <row r="667" spans="1:6" x14ac:dyDescent="0.35">
      <c r="A667" s="1" t="s">
        <v>357</v>
      </c>
      <c r="B667" s="1" t="s">
        <v>358</v>
      </c>
      <c r="C667" s="1" t="s">
        <v>359</v>
      </c>
      <c r="D667" s="1">
        <v>3.4</v>
      </c>
      <c r="E667" s="1">
        <v>15510</v>
      </c>
      <c r="F667" s="1">
        <v>2020</v>
      </c>
    </row>
    <row r="668" spans="1:6" x14ac:dyDescent="0.35">
      <c r="A668" s="1" t="s">
        <v>800</v>
      </c>
      <c r="B668" s="1" t="s">
        <v>801</v>
      </c>
      <c r="C668" s="1" t="s">
        <v>76</v>
      </c>
      <c r="D668" s="1">
        <v>4.3</v>
      </c>
      <c r="E668" s="1">
        <v>15469</v>
      </c>
      <c r="F668" s="1">
        <v>2009</v>
      </c>
    </row>
    <row r="669" spans="1:6" x14ac:dyDescent="0.35">
      <c r="A669" s="1" t="s">
        <v>1268</v>
      </c>
      <c r="B669" s="1" t="s">
        <v>1269</v>
      </c>
      <c r="C669" s="1" t="s">
        <v>101</v>
      </c>
      <c r="D669" s="1">
        <v>4.7</v>
      </c>
      <c r="E669" s="1">
        <v>15442</v>
      </c>
      <c r="F669" s="1">
        <v>2023</v>
      </c>
    </row>
    <row r="670" spans="1:6" x14ac:dyDescent="0.35">
      <c r="A670" s="1" t="s">
        <v>2012</v>
      </c>
      <c r="B670" s="1" t="s">
        <v>2013</v>
      </c>
      <c r="C670" s="1" t="s">
        <v>65</v>
      </c>
      <c r="D670" s="1">
        <v>5.0999999999999996</v>
      </c>
      <c r="E670" s="1">
        <v>15440</v>
      </c>
      <c r="F670" s="1">
        <v>2010</v>
      </c>
    </row>
    <row r="671" spans="1:6" x14ac:dyDescent="0.35">
      <c r="A671" s="1" t="s">
        <v>1449</v>
      </c>
      <c r="B671" s="1" t="s">
        <v>1450</v>
      </c>
      <c r="C671" s="1" t="s">
        <v>1451</v>
      </c>
      <c r="D671" s="1">
        <v>4.8</v>
      </c>
      <c r="E671" s="1">
        <v>15399</v>
      </c>
      <c r="F671" s="1">
        <v>2020</v>
      </c>
    </row>
    <row r="672" spans="1:6" x14ac:dyDescent="0.35">
      <c r="A672" s="1" t="s">
        <v>302</v>
      </c>
      <c r="B672" s="1" t="s">
        <v>303</v>
      </c>
      <c r="C672" s="1" t="s">
        <v>163</v>
      </c>
      <c r="D672" s="1">
        <v>3.2</v>
      </c>
      <c r="E672" s="1">
        <v>15389</v>
      </c>
      <c r="F672" s="1">
        <v>1990</v>
      </c>
    </row>
    <row r="673" spans="1:6" x14ac:dyDescent="0.35">
      <c r="A673" s="1" t="s">
        <v>170</v>
      </c>
      <c r="B673" s="1" t="s">
        <v>171</v>
      </c>
      <c r="C673" s="1" t="s">
        <v>172</v>
      </c>
      <c r="D673" s="1">
        <v>2.5</v>
      </c>
      <c r="E673" s="1">
        <v>15382</v>
      </c>
      <c r="F673" s="1">
        <v>2021</v>
      </c>
    </row>
    <row r="674" spans="1:6" x14ac:dyDescent="0.35">
      <c r="A674" s="1" t="s">
        <v>802</v>
      </c>
      <c r="B674" s="1" t="s">
        <v>803</v>
      </c>
      <c r="C674" s="1" t="s">
        <v>804</v>
      </c>
      <c r="D674" s="1">
        <v>4.3</v>
      </c>
      <c r="E674" s="1">
        <v>15376</v>
      </c>
      <c r="F674" s="1">
        <v>2015</v>
      </c>
    </row>
    <row r="675" spans="1:6" x14ac:dyDescent="0.35">
      <c r="A675" s="1" t="s">
        <v>173</v>
      </c>
      <c r="B675" s="1" t="s">
        <v>174</v>
      </c>
      <c r="C675" s="1" t="s">
        <v>175</v>
      </c>
      <c r="D675" s="1">
        <v>2.5</v>
      </c>
      <c r="E675" s="1">
        <v>15339</v>
      </c>
      <c r="F675" s="1">
        <v>2022</v>
      </c>
    </row>
    <row r="676" spans="1:6" x14ac:dyDescent="0.35">
      <c r="A676" s="1" t="s">
        <v>1452</v>
      </c>
      <c r="B676" s="1" t="s">
        <v>1453</v>
      </c>
      <c r="C676" s="1" t="s">
        <v>275</v>
      </c>
      <c r="D676" s="1">
        <v>4.8</v>
      </c>
      <c r="E676" s="1">
        <v>15334</v>
      </c>
      <c r="F676" s="1">
        <v>2007</v>
      </c>
    </row>
    <row r="677" spans="1:6" x14ac:dyDescent="0.35">
      <c r="A677" s="1" t="s">
        <v>1113</v>
      </c>
      <c r="B677" s="1" t="s">
        <v>1114</v>
      </c>
      <c r="C677" s="1" t="s">
        <v>1115</v>
      </c>
      <c r="D677" s="1">
        <v>4.5999999999999996</v>
      </c>
      <c r="E677" s="1">
        <v>15311</v>
      </c>
      <c r="F677" s="1">
        <v>1978</v>
      </c>
    </row>
    <row r="678" spans="1:6" x14ac:dyDescent="0.35">
      <c r="A678" s="1" t="s">
        <v>273</v>
      </c>
      <c r="B678" s="1" t="s">
        <v>274</v>
      </c>
      <c r="C678" s="1" t="s">
        <v>275</v>
      </c>
      <c r="D678" s="1">
        <v>3</v>
      </c>
      <c r="E678" s="1">
        <v>15292</v>
      </c>
      <c r="F678" s="1">
        <v>1997</v>
      </c>
    </row>
    <row r="679" spans="1:6" x14ac:dyDescent="0.35">
      <c r="A679" s="1" t="s">
        <v>2014</v>
      </c>
      <c r="B679" s="1" t="s">
        <v>2015</v>
      </c>
      <c r="C679" s="1" t="s">
        <v>116</v>
      </c>
      <c r="D679" s="1">
        <v>5.0999999999999996</v>
      </c>
      <c r="E679" s="1">
        <v>15272</v>
      </c>
      <c r="F679" s="1">
        <v>2009</v>
      </c>
    </row>
    <row r="680" spans="1:6" x14ac:dyDescent="0.35">
      <c r="A680" s="1" t="s">
        <v>2016</v>
      </c>
      <c r="B680" s="1" t="s">
        <v>2017</v>
      </c>
      <c r="C680" s="1" t="s">
        <v>577</v>
      </c>
      <c r="D680" s="1">
        <v>5.0999999999999996</v>
      </c>
      <c r="E680" s="1">
        <v>15261</v>
      </c>
      <c r="F680" s="1">
        <v>2014</v>
      </c>
    </row>
    <row r="681" spans="1:6" x14ac:dyDescent="0.35">
      <c r="A681" s="1" t="s">
        <v>1454</v>
      </c>
      <c r="B681" s="1" t="s">
        <v>1455</v>
      </c>
      <c r="C681" s="1" t="s">
        <v>128</v>
      </c>
      <c r="D681" s="1">
        <v>4.8</v>
      </c>
      <c r="E681" s="1">
        <v>15187</v>
      </c>
      <c r="F681" s="1">
        <v>2024</v>
      </c>
    </row>
    <row r="682" spans="1:6" x14ac:dyDescent="0.35">
      <c r="A682" s="1" t="s">
        <v>1456</v>
      </c>
      <c r="B682" s="1" t="s">
        <v>1457</v>
      </c>
      <c r="C682" s="1" t="s">
        <v>565</v>
      </c>
      <c r="D682" s="1">
        <v>4.8</v>
      </c>
      <c r="E682" s="1">
        <v>15180</v>
      </c>
      <c r="F682" s="1">
        <v>2016</v>
      </c>
    </row>
    <row r="683" spans="1:6" x14ac:dyDescent="0.35">
      <c r="A683" s="1" t="s">
        <v>665</v>
      </c>
      <c r="B683" s="1" t="s">
        <v>666</v>
      </c>
      <c r="C683" s="1" t="s">
        <v>128</v>
      </c>
      <c r="D683" s="1">
        <v>4.0999999999999996</v>
      </c>
      <c r="E683" s="1">
        <v>15170</v>
      </c>
      <c r="F683" s="1">
        <v>2023</v>
      </c>
    </row>
    <row r="684" spans="1:6" x14ac:dyDescent="0.35">
      <c r="A684" s="1" t="s">
        <v>2018</v>
      </c>
      <c r="B684" s="1" t="s">
        <v>2019</v>
      </c>
      <c r="C684" s="1" t="s">
        <v>400</v>
      </c>
      <c r="D684" s="1">
        <v>5.0999999999999996</v>
      </c>
      <c r="E684" s="1">
        <v>15159</v>
      </c>
      <c r="F684" s="1">
        <v>2016</v>
      </c>
    </row>
    <row r="685" spans="1:6" x14ac:dyDescent="0.35">
      <c r="A685" s="1" t="s">
        <v>1270</v>
      </c>
      <c r="B685" s="1" t="s">
        <v>1271</v>
      </c>
      <c r="C685" s="1" t="s">
        <v>1272</v>
      </c>
      <c r="D685" s="1">
        <v>4.7</v>
      </c>
      <c r="E685" s="1">
        <v>15158</v>
      </c>
      <c r="F685" s="1">
        <v>2001</v>
      </c>
    </row>
    <row r="686" spans="1:6" x14ac:dyDescent="0.35">
      <c r="A686" s="1" t="s">
        <v>423</v>
      </c>
      <c r="B686" s="1" t="s">
        <v>424</v>
      </c>
      <c r="C686" s="1" t="s">
        <v>270</v>
      </c>
      <c r="D686" s="1">
        <v>3.6</v>
      </c>
      <c r="E686" s="1">
        <v>15154</v>
      </c>
      <c r="F686" s="1">
        <v>2009</v>
      </c>
    </row>
    <row r="687" spans="1:6" x14ac:dyDescent="0.35">
      <c r="A687" s="1" t="s">
        <v>304</v>
      </c>
      <c r="B687" s="1" t="s">
        <v>305</v>
      </c>
      <c r="C687" s="1" t="s">
        <v>163</v>
      </c>
      <c r="D687" s="1">
        <v>3.2</v>
      </c>
      <c r="E687" s="1">
        <v>15151</v>
      </c>
      <c r="F687" s="1">
        <v>2008</v>
      </c>
    </row>
    <row r="688" spans="1:6" x14ac:dyDescent="0.35">
      <c r="A688" s="1" t="s">
        <v>609</v>
      </c>
      <c r="B688" s="1" t="s">
        <v>610</v>
      </c>
      <c r="C688" s="1" t="s">
        <v>508</v>
      </c>
      <c r="D688" s="1">
        <v>4</v>
      </c>
      <c r="E688" s="1">
        <v>15140</v>
      </c>
      <c r="F688" s="1">
        <v>2021</v>
      </c>
    </row>
    <row r="689" spans="1:6" x14ac:dyDescent="0.35">
      <c r="A689" s="1" t="s">
        <v>2020</v>
      </c>
      <c r="B689" s="1" t="s">
        <v>2021</v>
      </c>
      <c r="C689" s="1" t="s">
        <v>400</v>
      </c>
      <c r="D689" s="1">
        <v>5.0999999999999996</v>
      </c>
      <c r="E689" s="1">
        <v>15092</v>
      </c>
      <c r="F689" s="1">
        <v>2018</v>
      </c>
    </row>
    <row r="690" spans="1:6" x14ac:dyDescent="0.35">
      <c r="A690" s="1" t="s">
        <v>1273</v>
      </c>
      <c r="B690" s="1" t="s">
        <v>1274</v>
      </c>
      <c r="C690" s="1" t="s">
        <v>175</v>
      </c>
      <c r="D690" s="1">
        <v>4.7</v>
      </c>
      <c r="E690" s="1">
        <v>15023</v>
      </c>
      <c r="F690" s="1">
        <v>2024</v>
      </c>
    </row>
    <row r="691" spans="1:6" x14ac:dyDescent="0.35">
      <c r="A691" s="1" t="s">
        <v>2022</v>
      </c>
      <c r="B691" s="1" t="s">
        <v>2023</v>
      </c>
      <c r="C691" s="1" t="s">
        <v>31</v>
      </c>
      <c r="D691" s="1">
        <v>5.0999999999999996</v>
      </c>
      <c r="E691" s="1">
        <v>15018</v>
      </c>
      <c r="F691" s="1">
        <v>2015</v>
      </c>
    </row>
    <row r="692" spans="1:6" x14ac:dyDescent="0.35">
      <c r="A692" s="1" t="s">
        <v>988</v>
      </c>
      <c r="B692" s="1" t="s">
        <v>989</v>
      </c>
      <c r="C692" s="1" t="s">
        <v>549</v>
      </c>
      <c r="D692" s="1">
        <v>4.5</v>
      </c>
      <c r="E692" s="1">
        <v>14962</v>
      </c>
      <c r="F692" s="1">
        <v>1994</v>
      </c>
    </row>
    <row r="693" spans="1:6" x14ac:dyDescent="0.35">
      <c r="A693" s="1" t="s">
        <v>35</v>
      </c>
      <c r="B693" s="1" t="s">
        <v>36</v>
      </c>
      <c r="C693" s="1" t="s">
        <v>37</v>
      </c>
      <c r="D693" s="1">
        <v>1.2</v>
      </c>
      <c r="E693" s="1">
        <v>14938</v>
      </c>
      <c r="F693" s="1">
        <v>2004</v>
      </c>
    </row>
    <row r="694" spans="1:6" x14ac:dyDescent="0.35">
      <c r="A694" s="1" t="s">
        <v>1787</v>
      </c>
      <c r="B694" s="1" t="s">
        <v>1788</v>
      </c>
      <c r="C694" s="1" t="s">
        <v>1789</v>
      </c>
      <c r="D694" s="1">
        <v>5</v>
      </c>
      <c r="E694" s="1">
        <v>14933</v>
      </c>
      <c r="F694" s="1">
        <v>1994</v>
      </c>
    </row>
    <row r="695" spans="1:6" x14ac:dyDescent="0.35">
      <c r="A695" s="1" t="s">
        <v>1624</v>
      </c>
      <c r="B695" s="1" t="s">
        <v>1625</v>
      </c>
      <c r="C695" s="1" t="s">
        <v>441</v>
      </c>
      <c r="D695" s="1">
        <v>4.9000000000000004</v>
      </c>
      <c r="E695" s="1">
        <v>14900</v>
      </c>
      <c r="F695" s="1">
        <v>2010</v>
      </c>
    </row>
    <row r="696" spans="1:6" x14ac:dyDescent="0.35">
      <c r="A696" s="1" t="s">
        <v>504</v>
      </c>
      <c r="B696" s="1" t="s">
        <v>505</v>
      </c>
      <c r="C696" s="1" t="s">
        <v>166</v>
      </c>
      <c r="D696" s="1">
        <v>3.8</v>
      </c>
      <c r="E696" s="1">
        <v>14876</v>
      </c>
      <c r="F696" s="1">
        <v>2008</v>
      </c>
    </row>
    <row r="697" spans="1:6" x14ac:dyDescent="0.35">
      <c r="A697" s="1" t="s">
        <v>1626</v>
      </c>
      <c r="B697" s="1" t="s">
        <v>1627</v>
      </c>
      <c r="C697" s="1" t="s">
        <v>175</v>
      </c>
      <c r="D697" s="1">
        <v>4.9000000000000004</v>
      </c>
      <c r="E697" s="1">
        <v>14869</v>
      </c>
      <c r="F697" s="1">
        <v>2002</v>
      </c>
    </row>
    <row r="698" spans="1:6" x14ac:dyDescent="0.35">
      <c r="A698" s="1" t="s">
        <v>360</v>
      </c>
      <c r="B698" s="1" t="s">
        <v>361</v>
      </c>
      <c r="C698" s="1" t="s">
        <v>217</v>
      </c>
      <c r="D698" s="1">
        <v>3.4</v>
      </c>
      <c r="E698" s="1">
        <v>14836</v>
      </c>
      <c r="F698" s="1">
        <v>1988</v>
      </c>
    </row>
    <row r="699" spans="1:6" x14ac:dyDescent="0.35">
      <c r="A699" s="1" t="s">
        <v>1790</v>
      </c>
      <c r="B699" s="1" t="s">
        <v>1791</v>
      </c>
      <c r="C699" s="1" t="s">
        <v>44</v>
      </c>
      <c r="D699" s="1">
        <v>5</v>
      </c>
      <c r="E699" s="1">
        <v>14771</v>
      </c>
      <c r="F699" s="1">
        <v>2010</v>
      </c>
    </row>
    <row r="700" spans="1:6" x14ac:dyDescent="0.35">
      <c r="A700" s="1" t="s">
        <v>611</v>
      </c>
      <c r="B700" s="1" t="s">
        <v>612</v>
      </c>
      <c r="C700" s="1" t="s">
        <v>178</v>
      </c>
      <c r="D700" s="1">
        <v>4</v>
      </c>
      <c r="E700" s="1">
        <v>14748</v>
      </c>
      <c r="F700" s="1">
        <v>2017</v>
      </c>
    </row>
    <row r="701" spans="1:6" x14ac:dyDescent="0.35">
      <c r="A701" s="1" t="s">
        <v>94</v>
      </c>
      <c r="B701" s="1" t="s">
        <v>95</v>
      </c>
      <c r="C701" s="1" t="s">
        <v>11</v>
      </c>
      <c r="D701" s="1">
        <v>1.8</v>
      </c>
      <c r="E701" s="1">
        <v>14728</v>
      </c>
      <c r="F701" s="1">
        <v>1989</v>
      </c>
    </row>
    <row r="702" spans="1:6" x14ac:dyDescent="0.35">
      <c r="A702" s="1" t="s">
        <v>1275</v>
      </c>
      <c r="B702" s="1" t="s">
        <v>1276</v>
      </c>
      <c r="C702" s="1" t="s">
        <v>1277</v>
      </c>
      <c r="D702" s="1">
        <v>4.7</v>
      </c>
      <c r="E702" s="1">
        <v>14719</v>
      </c>
      <c r="F702" s="1">
        <v>2009</v>
      </c>
    </row>
    <row r="703" spans="1:6" x14ac:dyDescent="0.35">
      <c r="A703" s="1" t="s">
        <v>1458</v>
      </c>
      <c r="B703" s="1" t="s">
        <v>1459</v>
      </c>
      <c r="C703" s="1" t="s">
        <v>152</v>
      </c>
      <c r="D703" s="1">
        <v>4.8</v>
      </c>
      <c r="E703" s="1">
        <v>14707</v>
      </c>
      <c r="F703" s="1">
        <v>1993</v>
      </c>
    </row>
    <row r="704" spans="1:6" x14ac:dyDescent="0.35">
      <c r="A704" s="1" t="s">
        <v>212</v>
      </c>
      <c r="B704" s="1" t="s">
        <v>213</v>
      </c>
      <c r="C704" s="1" t="s">
        <v>214</v>
      </c>
      <c r="D704" s="1">
        <v>2.7</v>
      </c>
      <c r="E704" s="1">
        <v>14689</v>
      </c>
      <c r="F704" s="1">
        <v>2010</v>
      </c>
    </row>
    <row r="705" spans="1:6" x14ac:dyDescent="0.35">
      <c r="A705" s="1" t="s">
        <v>897</v>
      </c>
      <c r="B705" s="1" t="s">
        <v>898</v>
      </c>
      <c r="C705" s="1" t="s">
        <v>93</v>
      </c>
      <c r="D705" s="1">
        <v>4.4000000000000004</v>
      </c>
      <c r="E705" s="1">
        <v>14645</v>
      </c>
      <c r="F705" s="1">
        <v>2023</v>
      </c>
    </row>
    <row r="706" spans="1:6" x14ac:dyDescent="0.35">
      <c r="A706" s="1" t="s">
        <v>805</v>
      </c>
      <c r="B706" s="1" t="s">
        <v>806</v>
      </c>
      <c r="C706" s="1" t="s">
        <v>178</v>
      </c>
      <c r="D706" s="1">
        <v>4.3</v>
      </c>
      <c r="E706" s="1">
        <v>14644</v>
      </c>
      <c r="F706" s="1">
        <v>2004</v>
      </c>
    </row>
    <row r="707" spans="1:6" x14ac:dyDescent="0.35">
      <c r="A707" s="1" t="s">
        <v>724</v>
      </c>
      <c r="B707" s="1" t="s">
        <v>725</v>
      </c>
      <c r="C707" s="1" t="s">
        <v>639</v>
      </c>
      <c r="D707" s="1">
        <v>4.2</v>
      </c>
      <c r="E707" s="1">
        <v>14639</v>
      </c>
      <c r="F707" s="1">
        <v>2021</v>
      </c>
    </row>
    <row r="708" spans="1:6" x14ac:dyDescent="0.35">
      <c r="A708" s="1" t="s">
        <v>2024</v>
      </c>
      <c r="B708" s="1" t="s">
        <v>2025</v>
      </c>
      <c r="C708" s="1" t="s">
        <v>59</v>
      </c>
      <c r="D708" s="1">
        <v>5.0999999999999996</v>
      </c>
      <c r="E708" s="1">
        <v>14637</v>
      </c>
      <c r="F708" s="1">
        <v>1999</v>
      </c>
    </row>
    <row r="709" spans="1:6" x14ac:dyDescent="0.35">
      <c r="A709" s="1" t="s">
        <v>1278</v>
      </c>
      <c r="B709" s="1" t="s">
        <v>1279</v>
      </c>
      <c r="C709" s="1" t="s">
        <v>508</v>
      </c>
      <c r="D709" s="1">
        <v>4.7</v>
      </c>
      <c r="E709" s="1">
        <v>14622</v>
      </c>
      <c r="F709" s="1">
        <v>2017</v>
      </c>
    </row>
    <row r="710" spans="1:6" x14ac:dyDescent="0.35">
      <c r="A710" s="1" t="s">
        <v>425</v>
      </c>
      <c r="B710" s="1" t="s">
        <v>426</v>
      </c>
      <c r="C710" s="1" t="s">
        <v>427</v>
      </c>
      <c r="D710" s="1">
        <v>3.6</v>
      </c>
      <c r="E710" s="1">
        <v>14619</v>
      </c>
      <c r="F710" s="1">
        <v>2009</v>
      </c>
    </row>
    <row r="711" spans="1:6" x14ac:dyDescent="0.35">
      <c r="A711" s="1" t="s">
        <v>1628</v>
      </c>
      <c r="B711" s="1" t="s">
        <v>1629</v>
      </c>
      <c r="C711" s="1" t="s">
        <v>915</v>
      </c>
      <c r="D711" s="1">
        <v>4.9000000000000004</v>
      </c>
      <c r="E711" s="1">
        <v>14610</v>
      </c>
      <c r="F711" s="1">
        <v>2020</v>
      </c>
    </row>
    <row r="712" spans="1:6" x14ac:dyDescent="0.35">
      <c r="A712" s="1" t="s">
        <v>428</v>
      </c>
      <c r="B712" s="1" t="s">
        <v>429</v>
      </c>
      <c r="C712" s="1" t="s">
        <v>125</v>
      </c>
      <c r="D712" s="1">
        <v>3.6</v>
      </c>
      <c r="E712" s="1">
        <v>14588</v>
      </c>
      <c r="F712" s="1">
        <v>2019</v>
      </c>
    </row>
    <row r="713" spans="1:6" x14ac:dyDescent="0.35">
      <c r="A713" s="1" t="s">
        <v>2026</v>
      </c>
      <c r="B713" s="1" t="s">
        <v>2027</v>
      </c>
      <c r="C713" s="1" t="s">
        <v>169</v>
      </c>
      <c r="D713" s="1">
        <v>5.0999999999999996</v>
      </c>
      <c r="E713" s="1">
        <v>14554</v>
      </c>
      <c r="F713" s="1">
        <v>2006</v>
      </c>
    </row>
    <row r="714" spans="1:6" x14ac:dyDescent="0.35">
      <c r="A714" s="1" t="s">
        <v>807</v>
      </c>
      <c r="B714" s="1" t="s">
        <v>808</v>
      </c>
      <c r="C714" s="1" t="s">
        <v>82</v>
      </c>
      <c r="D714" s="1">
        <v>4.3</v>
      </c>
      <c r="E714" s="1">
        <v>14517</v>
      </c>
      <c r="F714" s="1">
        <v>2010</v>
      </c>
    </row>
    <row r="715" spans="1:6" x14ac:dyDescent="0.35">
      <c r="A715" s="1" t="s">
        <v>1116</v>
      </c>
      <c r="B715" s="1" t="s">
        <v>1117</v>
      </c>
      <c r="C715" s="1" t="s">
        <v>134</v>
      </c>
      <c r="D715" s="1">
        <v>4.5999999999999996</v>
      </c>
      <c r="E715" s="1">
        <v>14471</v>
      </c>
      <c r="F715" s="1">
        <v>2014</v>
      </c>
    </row>
    <row r="716" spans="1:6" x14ac:dyDescent="0.35">
      <c r="A716" s="1" t="s">
        <v>383</v>
      </c>
      <c r="B716" s="1" t="s">
        <v>384</v>
      </c>
      <c r="C716" s="1" t="s">
        <v>128</v>
      </c>
      <c r="D716" s="1">
        <v>3.5</v>
      </c>
      <c r="E716" s="1">
        <v>14462</v>
      </c>
      <c r="F716" s="1">
        <v>2023</v>
      </c>
    </row>
    <row r="717" spans="1:6" x14ac:dyDescent="0.35">
      <c r="A717" s="1" t="s">
        <v>1792</v>
      </c>
      <c r="B717" s="1" t="s">
        <v>1793</v>
      </c>
      <c r="C717" s="1" t="s">
        <v>146</v>
      </c>
      <c r="D717" s="1">
        <v>5</v>
      </c>
      <c r="E717" s="1">
        <v>14433</v>
      </c>
      <c r="F717" s="1">
        <v>2010</v>
      </c>
    </row>
    <row r="718" spans="1:6" x14ac:dyDescent="0.35">
      <c r="A718" s="1" t="s">
        <v>1280</v>
      </c>
      <c r="B718" s="1" t="s">
        <v>1281</v>
      </c>
      <c r="C718" s="1" t="s">
        <v>26</v>
      </c>
      <c r="D718" s="1">
        <v>4.7</v>
      </c>
      <c r="E718" s="1">
        <v>14293</v>
      </c>
      <c r="F718" s="1">
        <v>2003</v>
      </c>
    </row>
    <row r="719" spans="1:6" x14ac:dyDescent="0.35">
      <c r="A719" s="1" t="s">
        <v>726</v>
      </c>
      <c r="B719" s="1" t="s">
        <v>727</v>
      </c>
      <c r="C719" s="1" t="s">
        <v>82</v>
      </c>
      <c r="D719" s="1">
        <v>4.2</v>
      </c>
      <c r="E719" s="1">
        <v>14288</v>
      </c>
      <c r="F719" s="1">
        <v>2017</v>
      </c>
    </row>
    <row r="720" spans="1:6" x14ac:dyDescent="0.35">
      <c r="A720" s="1" t="s">
        <v>2028</v>
      </c>
      <c r="B720" s="1" t="s">
        <v>2029</v>
      </c>
      <c r="C720" s="1" t="s">
        <v>149</v>
      </c>
      <c r="D720" s="1">
        <v>5.0999999999999996</v>
      </c>
      <c r="E720" s="1">
        <v>14244</v>
      </c>
      <c r="F720" s="1">
        <v>2007</v>
      </c>
    </row>
    <row r="721" spans="1:6" x14ac:dyDescent="0.35">
      <c r="A721" s="1" t="s">
        <v>990</v>
      </c>
      <c r="B721" s="1" t="s">
        <v>991</v>
      </c>
      <c r="C721" s="1" t="s">
        <v>146</v>
      </c>
      <c r="D721" s="1">
        <v>4.5</v>
      </c>
      <c r="E721" s="1">
        <v>14242</v>
      </c>
      <c r="F721" s="1">
        <v>2009</v>
      </c>
    </row>
    <row r="722" spans="1:6" x14ac:dyDescent="0.35">
      <c r="A722" s="1" t="s">
        <v>1460</v>
      </c>
      <c r="B722" s="1" t="s">
        <v>1461</v>
      </c>
      <c r="C722" s="1" t="s">
        <v>175</v>
      </c>
      <c r="D722" s="1">
        <v>4.8</v>
      </c>
      <c r="E722" s="1">
        <v>14227</v>
      </c>
      <c r="F722" s="1">
        <v>2002</v>
      </c>
    </row>
    <row r="723" spans="1:6" x14ac:dyDescent="0.35">
      <c r="A723" s="1" t="s">
        <v>1630</v>
      </c>
      <c r="B723" s="1" t="s">
        <v>1631</v>
      </c>
      <c r="C723" s="1" t="s">
        <v>178</v>
      </c>
      <c r="D723" s="1">
        <v>4.9000000000000004</v>
      </c>
      <c r="E723" s="1">
        <v>14215</v>
      </c>
      <c r="F723" s="1">
        <v>2013</v>
      </c>
    </row>
    <row r="724" spans="1:6" x14ac:dyDescent="0.35">
      <c r="A724" s="1" t="s">
        <v>1794</v>
      </c>
      <c r="B724" s="1" t="s">
        <v>1795</v>
      </c>
      <c r="C724" s="1" t="s">
        <v>1796</v>
      </c>
      <c r="D724" s="1">
        <v>5</v>
      </c>
      <c r="E724" s="1">
        <v>14209</v>
      </c>
      <c r="F724" s="1">
        <v>2002</v>
      </c>
    </row>
    <row r="725" spans="1:6" x14ac:dyDescent="0.35">
      <c r="A725" s="1" t="s">
        <v>1282</v>
      </c>
      <c r="B725" s="1" t="s">
        <v>1283</v>
      </c>
      <c r="C725" s="1" t="s">
        <v>65</v>
      </c>
      <c r="D725" s="1">
        <v>4.7</v>
      </c>
      <c r="E725" s="1">
        <v>14191</v>
      </c>
      <c r="F725" s="1">
        <v>2011</v>
      </c>
    </row>
    <row r="726" spans="1:6" x14ac:dyDescent="0.35">
      <c r="A726" s="1" t="s">
        <v>132</v>
      </c>
      <c r="B726" s="1" t="s">
        <v>133</v>
      </c>
      <c r="C726" s="1" t="s">
        <v>134</v>
      </c>
      <c r="D726" s="1">
        <v>2.2000000000000002</v>
      </c>
      <c r="E726" s="1">
        <v>14178</v>
      </c>
      <c r="F726" s="1">
        <v>2020</v>
      </c>
    </row>
    <row r="727" spans="1:6" x14ac:dyDescent="0.35">
      <c r="A727" s="1" t="s">
        <v>385</v>
      </c>
      <c r="B727" s="1" t="s">
        <v>386</v>
      </c>
      <c r="C727" s="1" t="s">
        <v>172</v>
      </c>
      <c r="D727" s="1">
        <v>3.5</v>
      </c>
      <c r="E727" s="1">
        <v>14143</v>
      </c>
      <c r="F727" s="1">
        <v>2021</v>
      </c>
    </row>
    <row r="728" spans="1:6" x14ac:dyDescent="0.35">
      <c r="A728" s="1" t="s">
        <v>992</v>
      </c>
      <c r="B728" s="1" t="s">
        <v>993</v>
      </c>
      <c r="C728" s="1" t="s">
        <v>178</v>
      </c>
      <c r="D728" s="1">
        <v>4.5</v>
      </c>
      <c r="E728" s="1">
        <v>14124</v>
      </c>
      <c r="F728" s="1">
        <v>2021</v>
      </c>
    </row>
    <row r="729" spans="1:6" x14ac:dyDescent="0.35">
      <c r="A729" s="1" t="s">
        <v>613</v>
      </c>
      <c r="B729" s="1" t="s">
        <v>614</v>
      </c>
      <c r="C729" s="1" t="s">
        <v>178</v>
      </c>
      <c r="D729" s="1">
        <v>4</v>
      </c>
      <c r="E729" s="1">
        <v>14108</v>
      </c>
      <c r="F729" s="1">
        <v>2015</v>
      </c>
    </row>
    <row r="730" spans="1:6" x14ac:dyDescent="0.35">
      <c r="A730" s="1" t="s">
        <v>572</v>
      </c>
      <c r="B730" s="1" t="s">
        <v>573</v>
      </c>
      <c r="C730" s="1" t="s">
        <v>178</v>
      </c>
      <c r="D730" s="1">
        <v>3.9</v>
      </c>
      <c r="E730" s="1">
        <v>14096</v>
      </c>
      <c r="F730" s="1">
        <v>1994</v>
      </c>
    </row>
    <row r="731" spans="1:6" x14ac:dyDescent="0.35">
      <c r="A731" s="1" t="s">
        <v>899</v>
      </c>
      <c r="B731" s="1" t="s">
        <v>900</v>
      </c>
      <c r="C731" s="1" t="s">
        <v>901</v>
      </c>
      <c r="D731" s="1">
        <v>4.4000000000000004</v>
      </c>
      <c r="E731" s="1">
        <v>14073</v>
      </c>
      <c r="F731" s="1">
        <v>1995</v>
      </c>
    </row>
    <row r="732" spans="1:6" x14ac:dyDescent="0.35">
      <c r="A732" s="1" t="s">
        <v>728</v>
      </c>
      <c r="B732" s="1" t="s">
        <v>729</v>
      </c>
      <c r="C732" s="1" t="s">
        <v>508</v>
      </c>
      <c r="D732" s="1">
        <v>4.2</v>
      </c>
      <c r="E732" s="1">
        <v>14029</v>
      </c>
      <c r="F732" s="1">
        <v>2022</v>
      </c>
    </row>
    <row r="733" spans="1:6" x14ac:dyDescent="0.35">
      <c r="A733" s="1" t="s">
        <v>1632</v>
      </c>
      <c r="B733" s="1" t="s">
        <v>1633</v>
      </c>
      <c r="C733" s="1" t="s">
        <v>646</v>
      </c>
      <c r="D733" s="1">
        <v>4.9000000000000004</v>
      </c>
      <c r="E733" s="1">
        <v>14021</v>
      </c>
      <c r="F733" s="1">
        <v>2020</v>
      </c>
    </row>
    <row r="734" spans="1:6" x14ac:dyDescent="0.35">
      <c r="A734" s="1" t="s">
        <v>2030</v>
      </c>
      <c r="B734" s="1" t="s">
        <v>2031</v>
      </c>
      <c r="C734" s="1" t="s">
        <v>584</v>
      </c>
      <c r="D734" s="1">
        <v>5.0999999999999996</v>
      </c>
      <c r="E734" s="1">
        <v>13987</v>
      </c>
      <c r="F734" s="1">
        <v>2005</v>
      </c>
    </row>
    <row r="735" spans="1:6" x14ac:dyDescent="0.35">
      <c r="A735" s="1" t="s">
        <v>506</v>
      </c>
      <c r="B735" s="1" t="s">
        <v>507</v>
      </c>
      <c r="C735" s="1" t="s">
        <v>508</v>
      </c>
      <c r="D735" s="1">
        <v>3.8</v>
      </c>
      <c r="E735" s="1">
        <v>13929</v>
      </c>
      <c r="F735" s="1">
        <v>2021</v>
      </c>
    </row>
    <row r="736" spans="1:6" x14ac:dyDescent="0.35">
      <c r="A736" s="1" t="s">
        <v>994</v>
      </c>
      <c r="B736" s="1" t="s">
        <v>995</v>
      </c>
      <c r="C736" s="1" t="s">
        <v>267</v>
      </c>
      <c r="D736" s="1">
        <v>4.5</v>
      </c>
      <c r="E736" s="1">
        <v>13898</v>
      </c>
      <c r="F736" s="1">
        <v>2006</v>
      </c>
    </row>
    <row r="737" spans="1:6" x14ac:dyDescent="0.35">
      <c r="A737" s="1" t="s">
        <v>1797</v>
      </c>
      <c r="B737" s="1" t="s">
        <v>1798</v>
      </c>
      <c r="C737" s="1" t="s">
        <v>116</v>
      </c>
      <c r="D737" s="1">
        <v>5</v>
      </c>
      <c r="E737" s="1">
        <v>13897</v>
      </c>
      <c r="F737" s="1">
        <v>2001</v>
      </c>
    </row>
    <row r="738" spans="1:6" x14ac:dyDescent="0.35">
      <c r="A738" s="1" t="s">
        <v>2032</v>
      </c>
      <c r="B738" s="1" t="s">
        <v>2033</v>
      </c>
      <c r="C738" s="1" t="s">
        <v>214</v>
      </c>
      <c r="D738" s="1">
        <v>5.0999999999999996</v>
      </c>
      <c r="E738" s="1">
        <v>13878</v>
      </c>
      <c r="F738" s="1">
        <v>2002</v>
      </c>
    </row>
    <row r="739" spans="1:6" x14ac:dyDescent="0.35">
      <c r="A739" s="1" t="s">
        <v>1284</v>
      </c>
      <c r="B739" s="1" t="s">
        <v>1285</v>
      </c>
      <c r="C739" s="1" t="s">
        <v>214</v>
      </c>
      <c r="D739" s="1">
        <v>4.7</v>
      </c>
      <c r="E739" s="1">
        <v>13867</v>
      </c>
      <c r="F739" s="1">
        <v>2001</v>
      </c>
    </row>
    <row r="740" spans="1:6" x14ac:dyDescent="0.35">
      <c r="A740" s="1" t="s">
        <v>1634</v>
      </c>
      <c r="B740" s="1" t="s">
        <v>1635</v>
      </c>
      <c r="C740" s="1" t="s">
        <v>1072</v>
      </c>
      <c r="D740" s="1">
        <v>4.9000000000000004</v>
      </c>
      <c r="E740" s="1">
        <v>13836</v>
      </c>
      <c r="F740" s="1">
        <v>2017</v>
      </c>
    </row>
    <row r="741" spans="1:6" x14ac:dyDescent="0.35">
      <c r="A741" s="1" t="s">
        <v>362</v>
      </c>
      <c r="B741" s="1" t="s">
        <v>363</v>
      </c>
      <c r="C741" s="1" t="s">
        <v>175</v>
      </c>
      <c r="D741" s="1">
        <v>3.4</v>
      </c>
      <c r="E741" s="1">
        <v>13827</v>
      </c>
      <c r="F741" s="1">
        <v>2006</v>
      </c>
    </row>
    <row r="742" spans="1:6" x14ac:dyDescent="0.35">
      <c r="A742" s="1" t="s">
        <v>15</v>
      </c>
      <c r="B742" s="1" t="s">
        <v>16</v>
      </c>
      <c r="C742" s="1" t="s">
        <v>17</v>
      </c>
      <c r="D742" s="1">
        <v>1.1000000000000001</v>
      </c>
      <c r="E742" s="1">
        <v>13805</v>
      </c>
      <c r="F742" s="1">
        <v>2022</v>
      </c>
    </row>
    <row r="743" spans="1:6" x14ac:dyDescent="0.35">
      <c r="A743" s="1" t="s">
        <v>809</v>
      </c>
      <c r="B743" s="1" t="s">
        <v>810</v>
      </c>
      <c r="C743" s="1" t="s">
        <v>14</v>
      </c>
      <c r="D743" s="1">
        <v>4.3</v>
      </c>
      <c r="E743" s="1">
        <v>13758</v>
      </c>
      <c r="F743" s="1">
        <v>2016</v>
      </c>
    </row>
    <row r="744" spans="1:6" x14ac:dyDescent="0.35">
      <c r="A744" s="1" t="s">
        <v>1118</v>
      </c>
      <c r="B744" s="1" t="s">
        <v>1119</v>
      </c>
      <c r="C744" s="1" t="s">
        <v>275</v>
      </c>
      <c r="D744" s="1">
        <v>4.5999999999999996</v>
      </c>
      <c r="E744" s="1">
        <v>13742</v>
      </c>
      <c r="F744" s="1">
        <v>2020</v>
      </c>
    </row>
    <row r="745" spans="1:6" x14ac:dyDescent="0.35">
      <c r="A745" s="1" t="s">
        <v>1462</v>
      </c>
      <c r="B745" s="1" t="s">
        <v>1463</v>
      </c>
      <c r="C745" s="1" t="s">
        <v>448</v>
      </c>
      <c r="D745" s="1">
        <v>4.8</v>
      </c>
      <c r="E745" s="1">
        <v>13742</v>
      </c>
      <c r="F745" s="1">
        <v>2010</v>
      </c>
    </row>
    <row r="746" spans="1:6" x14ac:dyDescent="0.35">
      <c r="A746" s="1" t="s">
        <v>2034</v>
      </c>
      <c r="B746" s="1" t="s">
        <v>2035</v>
      </c>
      <c r="C746" s="1" t="s">
        <v>11</v>
      </c>
      <c r="D746" s="1">
        <v>5.0999999999999996</v>
      </c>
      <c r="E746" s="1">
        <v>13732</v>
      </c>
      <c r="F746" s="1">
        <v>2004</v>
      </c>
    </row>
    <row r="747" spans="1:6" x14ac:dyDescent="0.35">
      <c r="A747" s="1" t="s">
        <v>1799</v>
      </c>
      <c r="B747" s="1" t="s">
        <v>1800</v>
      </c>
      <c r="C747" s="1" t="s">
        <v>65</v>
      </c>
      <c r="D747" s="1">
        <v>5</v>
      </c>
      <c r="E747" s="1">
        <v>13651</v>
      </c>
      <c r="F747" s="1">
        <v>2010</v>
      </c>
    </row>
    <row r="748" spans="1:6" x14ac:dyDescent="0.35">
      <c r="A748" s="1" t="s">
        <v>902</v>
      </c>
      <c r="B748" s="1" t="s">
        <v>903</v>
      </c>
      <c r="C748" s="1" t="s">
        <v>606</v>
      </c>
      <c r="D748" s="1">
        <v>4.4000000000000004</v>
      </c>
      <c r="E748" s="1">
        <v>13639</v>
      </c>
      <c r="F748" s="1">
        <v>2019</v>
      </c>
    </row>
    <row r="749" spans="1:6" x14ac:dyDescent="0.35">
      <c r="A749" s="1" t="s">
        <v>996</v>
      </c>
      <c r="B749" s="1" t="s">
        <v>997</v>
      </c>
      <c r="C749" s="1" t="s">
        <v>137</v>
      </c>
      <c r="D749" s="1">
        <v>4.5</v>
      </c>
      <c r="E749" s="1">
        <v>13577</v>
      </c>
      <c r="F749" s="1">
        <v>1991</v>
      </c>
    </row>
    <row r="750" spans="1:6" x14ac:dyDescent="0.35">
      <c r="A750" s="1" t="s">
        <v>730</v>
      </c>
      <c r="B750" s="1" t="s">
        <v>731</v>
      </c>
      <c r="C750" s="1" t="s">
        <v>294</v>
      </c>
      <c r="D750" s="1">
        <v>4.2</v>
      </c>
      <c r="E750" s="1">
        <v>13489</v>
      </c>
      <c r="F750" s="1">
        <v>1998</v>
      </c>
    </row>
    <row r="751" spans="1:6" x14ac:dyDescent="0.35">
      <c r="A751" s="1" t="s">
        <v>509</v>
      </c>
      <c r="B751" s="1" t="s">
        <v>510</v>
      </c>
      <c r="C751" s="1" t="s">
        <v>93</v>
      </c>
      <c r="D751" s="1">
        <v>3.8</v>
      </c>
      <c r="E751" s="1">
        <v>13397</v>
      </c>
      <c r="F751" s="1">
        <v>2016</v>
      </c>
    </row>
    <row r="752" spans="1:6" x14ac:dyDescent="0.35">
      <c r="A752" s="1" t="s">
        <v>1464</v>
      </c>
      <c r="B752" s="1" t="s">
        <v>1465</v>
      </c>
      <c r="C752" s="1" t="s">
        <v>178</v>
      </c>
      <c r="D752" s="1">
        <v>4.8</v>
      </c>
      <c r="E752" s="1">
        <v>13382</v>
      </c>
      <c r="F752" s="1">
        <v>2022</v>
      </c>
    </row>
    <row r="753" spans="1:6" x14ac:dyDescent="0.35">
      <c r="A753" s="1" t="s">
        <v>732</v>
      </c>
      <c r="B753" s="1" t="s">
        <v>733</v>
      </c>
      <c r="C753" s="1" t="s">
        <v>76</v>
      </c>
      <c r="D753" s="1">
        <v>4.2</v>
      </c>
      <c r="E753" s="1">
        <v>13378</v>
      </c>
      <c r="F753" s="1">
        <v>2005</v>
      </c>
    </row>
    <row r="754" spans="1:6" x14ac:dyDescent="0.35">
      <c r="A754" s="1" t="s">
        <v>1286</v>
      </c>
      <c r="B754" s="1" t="s">
        <v>1287</v>
      </c>
      <c r="C754" s="1" t="s">
        <v>933</v>
      </c>
      <c r="D754" s="1">
        <v>4.7</v>
      </c>
      <c r="E754" s="1">
        <v>13343</v>
      </c>
      <c r="F754" s="1">
        <v>1993</v>
      </c>
    </row>
    <row r="755" spans="1:6" x14ac:dyDescent="0.35">
      <c r="A755" s="1" t="s">
        <v>329</v>
      </c>
      <c r="B755" s="1" t="s">
        <v>330</v>
      </c>
      <c r="C755" s="1" t="s">
        <v>11</v>
      </c>
      <c r="D755" s="1">
        <v>3.3</v>
      </c>
      <c r="E755" s="1">
        <v>13339</v>
      </c>
      <c r="F755" s="1">
        <v>2018</v>
      </c>
    </row>
    <row r="756" spans="1:6" x14ac:dyDescent="0.35">
      <c r="A756" s="1" t="s">
        <v>1636</v>
      </c>
      <c r="B756" s="1" t="s">
        <v>1637</v>
      </c>
      <c r="C756" s="1" t="s">
        <v>646</v>
      </c>
      <c r="D756" s="1">
        <v>4.9000000000000004</v>
      </c>
      <c r="E756" s="1">
        <v>13301</v>
      </c>
      <c r="F756" s="1">
        <v>2000</v>
      </c>
    </row>
    <row r="757" spans="1:6" x14ac:dyDescent="0.35">
      <c r="A757" s="1" t="s">
        <v>2036</v>
      </c>
      <c r="B757" s="1" t="s">
        <v>2037</v>
      </c>
      <c r="C757" s="1" t="s">
        <v>175</v>
      </c>
      <c r="D757" s="1">
        <v>5.0999999999999996</v>
      </c>
      <c r="E757" s="1">
        <v>13292</v>
      </c>
      <c r="F757" s="1">
        <v>2013</v>
      </c>
    </row>
    <row r="758" spans="1:6" x14ac:dyDescent="0.35">
      <c r="A758" s="1" t="s">
        <v>306</v>
      </c>
      <c r="B758" s="1" t="s">
        <v>307</v>
      </c>
      <c r="C758" s="1" t="s">
        <v>308</v>
      </c>
      <c r="D758" s="1">
        <v>3.2</v>
      </c>
      <c r="E758" s="1">
        <v>13221</v>
      </c>
      <c r="F758" s="1">
        <v>2009</v>
      </c>
    </row>
    <row r="759" spans="1:6" x14ac:dyDescent="0.35">
      <c r="A759" s="1" t="s">
        <v>904</v>
      </c>
      <c r="B759" s="1" t="s">
        <v>905</v>
      </c>
      <c r="C759" s="1" t="s">
        <v>140</v>
      </c>
      <c r="D759" s="1">
        <v>4.4000000000000004</v>
      </c>
      <c r="E759" s="1">
        <v>13152</v>
      </c>
      <c r="F759" s="1">
        <v>2004</v>
      </c>
    </row>
    <row r="760" spans="1:6" x14ac:dyDescent="0.35">
      <c r="A760" s="1" t="s">
        <v>91</v>
      </c>
      <c r="B760" s="1" t="s">
        <v>92</v>
      </c>
      <c r="C760" s="1" t="s">
        <v>93</v>
      </c>
      <c r="D760" s="1">
        <v>1.7</v>
      </c>
      <c r="E760" s="1">
        <v>13142</v>
      </c>
      <c r="F760" s="1">
        <v>2010</v>
      </c>
    </row>
    <row r="761" spans="1:6" x14ac:dyDescent="0.35">
      <c r="A761" s="1" t="s">
        <v>1466</v>
      </c>
      <c r="B761" s="1" t="s">
        <v>1467</v>
      </c>
      <c r="C761" s="1" t="s">
        <v>47</v>
      </c>
      <c r="D761" s="1">
        <v>4.8</v>
      </c>
      <c r="E761" s="1">
        <v>13140</v>
      </c>
      <c r="F761" s="1">
        <v>2013</v>
      </c>
    </row>
    <row r="762" spans="1:6" x14ac:dyDescent="0.35">
      <c r="A762" s="1" t="s">
        <v>998</v>
      </c>
      <c r="B762" s="1" t="s">
        <v>999</v>
      </c>
      <c r="C762" s="1" t="s">
        <v>208</v>
      </c>
      <c r="D762" s="1">
        <v>4.5</v>
      </c>
      <c r="E762" s="1">
        <v>13136</v>
      </c>
      <c r="F762" s="1">
        <v>1989</v>
      </c>
    </row>
    <row r="763" spans="1:6" x14ac:dyDescent="0.35">
      <c r="A763" s="1" t="s">
        <v>1120</v>
      </c>
      <c r="B763" s="1" t="s">
        <v>1121</v>
      </c>
      <c r="C763" s="1" t="s">
        <v>1039</v>
      </c>
      <c r="D763" s="1">
        <v>4.5999999999999996</v>
      </c>
      <c r="E763" s="1">
        <v>13130</v>
      </c>
      <c r="F763" s="1">
        <v>2009</v>
      </c>
    </row>
    <row r="764" spans="1:6" x14ac:dyDescent="0.35">
      <c r="A764" s="1" t="s">
        <v>387</v>
      </c>
      <c r="B764" s="1" t="s">
        <v>388</v>
      </c>
      <c r="C764" s="1" t="s">
        <v>104</v>
      </c>
      <c r="D764" s="1">
        <v>3.5</v>
      </c>
      <c r="E764" s="1">
        <v>13085</v>
      </c>
      <c r="F764" s="1">
        <v>2000</v>
      </c>
    </row>
    <row r="765" spans="1:6" x14ac:dyDescent="0.35">
      <c r="A765" s="1" t="s">
        <v>1638</v>
      </c>
      <c r="B765" s="1" t="s">
        <v>1639</v>
      </c>
      <c r="C765" s="1" t="s">
        <v>338</v>
      </c>
      <c r="D765" s="1">
        <v>4.9000000000000004</v>
      </c>
      <c r="E765" s="1">
        <v>13059</v>
      </c>
      <c r="F765" s="1">
        <v>2000</v>
      </c>
    </row>
    <row r="766" spans="1:6" x14ac:dyDescent="0.35">
      <c r="A766" s="1" t="s">
        <v>1801</v>
      </c>
      <c r="B766" s="1" t="s">
        <v>1802</v>
      </c>
      <c r="C766" s="1" t="s">
        <v>76</v>
      </c>
      <c r="D766" s="1">
        <v>5</v>
      </c>
      <c r="E766" s="1">
        <v>13053</v>
      </c>
      <c r="F766" s="1">
        <v>1990</v>
      </c>
    </row>
    <row r="767" spans="1:6" x14ac:dyDescent="0.35">
      <c r="A767" s="1" t="s">
        <v>331</v>
      </c>
      <c r="B767" s="1" t="s">
        <v>332</v>
      </c>
      <c r="C767" s="1" t="s">
        <v>11</v>
      </c>
      <c r="D767" s="1">
        <v>3.3</v>
      </c>
      <c r="E767" s="1">
        <v>13023</v>
      </c>
      <c r="F767" s="1">
        <v>2011</v>
      </c>
    </row>
    <row r="768" spans="1:6" x14ac:dyDescent="0.35">
      <c r="A768" s="1" t="s">
        <v>2038</v>
      </c>
      <c r="B768" s="1" t="s">
        <v>2039</v>
      </c>
      <c r="C768" s="1" t="s">
        <v>93</v>
      </c>
      <c r="D768" s="1">
        <v>5.0999999999999996</v>
      </c>
      <c r="E768" s="1">
        <v>12964</v>
      </c>
      <c r="F768" s="1">
        <v>2024</v>
      </c>
    </row>
    <row r="769" spans="1:6" x14ac:dyDescent="0.35">
      <c r="A769" s="1" t="s">
        <v>1803</v>
      </c>
      <c r="B769" s="1" t="s">
        <v>1804</v>
      </c>
      <c r="C769" s="1" t="s">
        <v>11</v>
      </c>
      <c r="D769" s="1">
        <v>5</v>
      </c>
      <c r="E769" s="1">
        <v>12959</v>
      </c>
      <c r="F769" s="1">
        <v>1983</v>
      </c>
    </row>
    <row r="770" spans="1:6" x14ac:dyDescent="0.35">
      <c r="A770" s="1" t="s">
        <v>389</v>
      </c>
      <c r="B770" s="1" t="s">
        <v>390</v>
      </c>
      <c r="C770" s="1" t="s">
        <v>193</v>
      </c>
      <c r="D770" s="1">
        <v>3.5</v>
      </c>
      <c r="E770" s="1">
        <v>12946</v>
      </c>
      <c r="F770" s="1">
        <v>2012</v>
      </c>
    </row>
    <row r="771" spans="1:6" x14ac:dyDescent="0.35">
      <c r="A771" s="1" t="s">
        <v>734</v>
      </c>
      <c r="B771" s="1" t="s">
        <v>735</v>
      </c>
      <c r="C771" s="1" t="s">
        <v>736</v>
      </c>
      <c r="D771" s="1">
        <v>4.2</v>
      </c>
      <c r="E771" s="1">
        <v>12894</v>
      </c>
      <c r="F771" s="1">
        <v>2020</v>
      </c>
    </row>
    <row r="772" spans="1:6" x14ac:dyDescent="0.35">
      <c r="A772" s="1" t="s">
        <v>1805</v>
      </c>
      <c r="B772" s="1" t="s">
        <v>1806</v>
      </c>
      <c r="C772" s="1" t="s">
        <v>294</v>
      </c>
      <c r="D772" s="1">
        <v>5</v>
      </c>
      <c r="E772" s="1">
        <v>12884</v>
      </c>
      <c r="F772" s="1">
        <v>1997</v>
      </c>
    </row>
    <row r="773" spans="1:6" x14ac:dyDescent="0.35">
      <c r="A773" s="1" t="s">
        <v>235</v>
      </c>
      <c r="B773" s="1" t="s">
        <v>236</v>
      </c>
      <c r="C773" s="1" t="s">
        <v>116</v>
      </c>
      <c r="D773" s="1">
        <v>2.8</v>
      </c>
      <c r="E773" s="1">
        <v>12870</v>
      </c>
      <c r="F773" s="1">
        <v>2018</v>
      </c>
    </row>
    <row r="774" spans="1:6" x14ac:dyDescent="0.35">
      <c r="A774" s="1" t="s">
        <v>430</v>
      </c>
      <c r="B774" s="1" t="s">
        <v>431</v>
      </c>
      <c r="C774" s="1" t="s">
        <v>432</v>
      </c>
      <c r="D774" s="1">
        <v>3.6</v>
      </c>
      <c r="E774" s="1">
        <v>12869</v>
      </c>
      <c r="F774" s="1">
        <v>2009</v>
      </c>
    </row>
    <row r="775" spans="1:6" x14ac:dyDescent="0.35">
      <c r="A775" s="1" t="s">
        <v>1468</v>
      </c>
      <c r="B775" s="1" t="s">
        <v>1469</v>
      </c>
      <c r="C775" s="1" t="s">
        <v>1470</v>
      </c>
      <c r="D775" s="1">
        <v>4.8</v>
      </c>
      <c r="E775" s="1">
        <v>12851</v>
      </c>
      <c r="F775" s="1">
        <v>1999</v>
      </c>
    </row>
    <row r="776" spans="1:6" x14ac:dyDescent="0.35">
      <c r="A776" s="1" t="s">
        <v>2040</v>
      </c>
      <c r="B776" s="1" t="s">
        <v>2041</v>
      </c>
      <c r="C776" s="1" t="s">
        <v>846</v>
      </c>
      <c r="D776" s="1">
        <v>5.0999999999999996</v>
      </c>
      <c r="E776" s="1">
        <v>12808</v>
      </c>
      <c r="F776" s="1">
        <v>2021</v>
      </c>
    </row>
    <row r="777" spans="1:6" x14ac:dyDescent="0.35">
      <c r="A777" s="1" t="s">
        <v>215</v>
      </c>
      <c r="B777" s="1" t="s">
        <v>216</v>
      </c>
      <c r="C777" s="1" t="s">
        <v>217</v>
      </c>
      <c r="D777" s="1">
        <v>2.7</v>
      </c>
      <c r="E777" s="1">
        <v>12767</v>
      </c>
      <c r="F777" s="1">
        <v>1964</v>
      </c>
    </row>
    <row r="778" spans="1:6" x14ac:dyDescent="0.35">
      <c r="A778" s="1" t="s">
        <v>667</v>
      </c>
      <c r="B778" s="1" t="s">
        <v>668</v>
      </c>
      <c r="C778" s="1" t="s">
        <v>669</v>
      </c>
      <c r="D778" s="1">
        <v>4.0999999999999996</v>
      </c>
      <c r="E778" s="1">
        <v>12749</v>
      </c>
      <c r="F778" s="1">
        <v>2019</v>
      </c>
    </row>
    <row r="779" spans="1:6" x14ac:dyDescent="0.35">
      <c r="A779" s="1" t="s">
        <v>1000</v>
      </c>
      <c r="B779" s="1" t="s">
        <v>1001</v>
      </c>
      <c r="C779" s="1" t="s">
        <v>65</v>
      </c>
      <c r="D779" s="1">
        <v>4.5</v>
      </c>
      <c r="E779" s="1">
        <v>12749</v>
      </c>
      <c r="F779" s="1">
        <v>2008</v>
      </c>
    </row>
    <row r="780" spans="1:6" x14ac:dyDescent="0.35">
      <c r="A780" s="1" t="s">
        <v>1122</v>
      </c>
      <c r="B780" s="1" t="s">
        <v>1123</v>
      </c>
      <c r="C780" s="1" t="s">
        <v>11</v>
      </c>
      <c r="D780" s="1">
        <v>4.5999999999999996</v>
      </c>
      <c r="E780" s="1">
        <v>12735</v>
      </c>
      <c r="F780" s="1">
        <v>2008</v>
      </c>
    </row>
    <row r="781" spans="1:6" x14ac:dyDescent="0.35">
      <c r="A781" s="1" t="s">
        <v>670</v>
      </c>
      <c r="B781" s="1" t="s">
        <v>671</v>
      </c>
      <c r="C781" s="1" t="s">
        <v>166</v>
      </c>
      <c r="D781" s="1">
        <v>4.0999999999999996</v>
      </c>
      <c r="E781" s="1">
        <v>12725</v>
      </c>
      <c r="F781" s="1">
        <v>1999</v>
      </c>
    </row>
    <row r="782" spans="1:6" x14ac:dyDescent="0.35">
      <c r="A782" s="1" t="s">
        <v>1640</v>
      </c>
      <c r="B782" s="1" t="s">
        <v>1641</v>
      </c>
      <c r="C782" s="1" t="s">
        <v>1642</v>
      </c>
      <c r="D782" s="1">
        <v>4.9000000000000004</v>
      </c>
      <c r="E782" s="1">
        <v>12710</v>
      </c>
      <c r="F782" s="1">
        <v>2007</v>
      </c>
    </row>
    <row r="783" spans="1:6" x14ac:dyDescent="0.35">
      <c r="A783" s="1" t="s">
        <v>391</v>
      </c>
      <c r="B783" s="1" t="s">
        <v>392</v>
      </c>
      <c r="C783" s="1" t="s">
        <v>227</v>
      </c>
      <c r="D783" s="1">
        <v>3.5</v>
      </c>
      <c r="E783" s="1">
        <v>12688</v>
      </c>
      <c r="F783" s="1">
        <v>1987</v>
      </c>
    </row>
    <row r="784" spans="1:6" x14ac:dyDescent="0.35">
      <c r="A784" s="1" t="s">
        <v>1124</v>
      </c>
      <c r="B784" s="1" t="s">
        <v>1125</v>
      </c>
      <c r="C784" s="1" t="s">
        <v>93</v>
      </c>
      <c r="D784" s="1">
        <v>4.5999999999999996</v>
      </c>
      <c r="E784" s="1">
        <v>12654</v>
      </c>
      <c r="F784" s="1">
        <v>2024</v>
      </c>
    </row>
    <row r="785" spans="1:6" x14ac:dyDescent="0.35">
      <c r="A785" s="1" t="s">
        <v>574</v>
      </c>
      <c r="B785" s="2">
        <v>40858</v>
      </c>
      <c r="C785" s="1" t="s">
        <v>175</v>
      </c>
      <c r="D785" s="1">
        <v>3.9</v>
      </c>
      <c r="E785" s="1">
        <v>12653</v>
      </c>
      <c r="F785" s="1">
        <v>2011</v>
      </c>
    </row>
    <row r="786" spans="1:6" x14ac:dyDescent="0.35">
      <c r="A786" s="1" t="s">
        <v>2042</v>
      </c>
      <c r="B786" s="1" t="s">
        <v>2043</v>
      </c>
      <c r="C786" s="1" t="s">
        <v>951</v>
      </c>
      <c r="D786" s="1">
        <v>5.0999999999999996</v>
      </c>
      <c r="E786" s="1">
        <v>12651</v>
      </c>
      <c r="F786" s="1">
        <v>2015</v>
      </c>
    </row>
    <row r="787" spans="1:6" x14ac:dyDescent="0.35">
      <c r="A787" s="1" t="s">
        <v>309</v>
      </c>
      <c r="B787" s="1" t="s">
        <v>310</v>
      </c>
      <c r="C787" s="1" t="s">
        <v>217</v>
      </c>
      <c r="D787" s="1">
        <v>3.2</v>
      </c>
      <c r="E787" s="1">
        <v>12633</v>
      </c>
      <c r="F787" s="1">
        <v>1994</v>
      </c>
    </row>
    <row r="788" spans="1:6" x14ac:dyDescent="0.35">
      <c r="A788" s="1" t="s">
        <v>393</v>
      </c>
      <c r="B788" s="1" t="s">
        <v>394</v>
      </c>
      <c r="C788" s="1" t="s">
        <v>395</v>
      </c>
      <c r="D788" s="1">
        <v>3.5</v>
      </c>
      <c r="E788" s="1">
        <v>12616</v>
      </c>
      <c r="F788" s="1">
        <v>2017</v>
      </c>
    </row>
    <row r="789" spans="1:6" x14ac:dyDescent="0.35">
      <c r="A789" s="1" t="s">
        <v>135</v>
      </c>
      <c r="B789" s="1" t="s">
        <v>136</v>
      </c>
      <c r="C789" s="1" t="s">
        <v>137</v>
      </c>
      <c r="D789" s="1">
        <v>2.2000000000000002</v>
      </c>
      <c r="E789" s="1">
        <v>12606</v>
      </c>
      <c r="F789" s="1">
        <v>1988</v>
      </c>
    </row>
    <row r="790" spans="1:6" x14ac:dyDescent="0.35">
      <c r="A790" s="1" t="s">
        <v>1807</v>
      </c>
      <c r="B790" s="1" t="s">
        <v>1808</v>
      </c>
      <c r="C790" s="1" t="s">
        <v>128</v>
      </c>
      <c r="D790" s="1">
        <v>5</v>
      </c>
      <c r="E790" s="1">
        <v>12596</v>
      </c>
      <c r="F790" s="1">
        <v>2010</v>
      </c>
    </row>
    <row r="791" spans="1:6" x14ac:dyDescent="0.35">
      <c r="A791" s="1" t="s">
        <v>1809</v>
      </c>
      <c r="B791" s="1" t="s">
        <v>1810</v>
      </c>
      <c r="C791" s="1" t="s">
        <v>294</v>
      </c>
      <c r="D791" s="1">
        <v>5</v>
      </c>
      <c r="E791" s="1">
        <v>12582</v>
      </c>
      <c r="F791" s="1">
        <v>2017</v>
      </c>
    </row>
    <row r="792" spans="1:6" x14ac:dyDescent="0.35">
      <c r="A792" s="1" t="s">
        <v>1471</v>
      </c>
      <c r="B792" s="1" t="s">
        <v>1472</v>
      </c>
      <c r="C792" s="1" t="s">
        <v>122</v>
      </c>
      <c r="D792" s="1">
        <v>4.8</v>
      </c>
      <c r="E792" s="1">
        <v>12573</v>
      </c>
      <c r="F792" s="1">
        <v>2012</v>
      </c>
    </row>
    <row r="793" spans="1:6" x14ac:dyDescent="0.35">
      <c r="A793" s="1" t="s">
        <v>511</v>
      </c>
      <c r="B793" s="1" t="s">
        <v>512</v>
      </c>
      <c r="C793" s="1" t="s">
        <v>56</v>
      </c>
      <c r="D793" s="1">
        <v>3.8</v>
      </c>
      <c r="E793" s="1">
        <v>12566</v>
      </c>
      <c r="F793" s="1">
        <v>2020</v>
      </c>
    </row>
    <row r="794" spans="1:6" x14ac:dyDescent="0.35">
      <c r="A794" s="1" t="s">
        <v>396</v>
      </c>
      <c r="B794" s="1" t="s">
        <v>397</v>
      </c>
      <c r="C794" s="1" t="s">
        <v>116</v>
      </c>
      <c r="D794" s="1">
        <v>3.5</v>
      </c>
      <c r="E794" s="1">
        <v>12561</v>
      </c>
      <c r="F794" s="1">
        <v>2006</v>
      </c>
    </row>
    <row r="795" spans="1:6" x14ac:dyDescent="0.35">
      <c r="A795" s="1" t="s">
        <v>1126</v>
      </c>
      <c r="B795" s="1" t="s">
        <v>1127</v>
      </c>
      <c r="C795" s="1" t="s">
        <v>76</v>
      </c>
      <c r="D795" s="1">
        <v>4.5999999999999996</v>
      </c>
      <c r="E795" s="1">
        <v>12545</v>
      </c>
      <c r="F795" s="1">
        <v>2017</v>
      </c>
    </row>
    <row r="796" spans="1:6" x14ac:dyDescent="0.35">
      <c r="A796" s="1" t="s">
        <v>276</v>
      </c>
      <c r="B796" s="1" t="s">
        <v>277</v>
      </c>
      <c r="C796" s="1" t="s">
        <v>178</v>
      </c>
      <c r="D796" s="1">
        <v>3</v>
      </c>
      <c r="E796" s="1">
        <v>12537</v>
      </c>
      <c r="F796" s="1">
        <v>1998</v>
      </c>
    </row>
    <row r="797" spans="1:6" x14ac:dyDescent="0.35">
      <c r="A797" s="1" t="s">
        <v>1643</v>
      </c>
      <c r="B797" s="1" t="s">
        <v>1644</v>
      </c>
      <c r="C797" s="1" t="s">
        <v>1072</v>
      </c>
      <c r="D797" s="1">
        <v>4.9000000000000004</v>
      </c>
      <c r="E797" s="1">
        <v>12525</v>
      </c>
      <c r="F797" s="1">
        <v>2008</v>
      </c>
    </row>
    <row r="798" spans="1:6" x14ac:dyDescent="0.35">
      <c r="A798" s="1" t="s">
        <v>1645</v>
      </c>
      <c r="B798" s="1" t="s">
        <v>1646</v>
      </c>
      <c r="C798" s="1" t="s">
        <v>14</v>
      </c>
      <c r="D798" s="1">
        <v>4.9000000000000004</v>
      </c>
      <c r="E798" s="1">
        <v>12517</v>
      </c>
      <c r="F798" s="1">
        <v>2013</v>
      </c>
    </row>
    <row r="799" spans="1:6" x14ac:dyDescent="0.35">
      <c r="A799" s="1" t="s">
        <v>575</v>
      </c>
      <c r="B799" s="1" t="s">
        <v>576</v>
      </c>
      <c r="C799" s="1" t="s">
        <v>577</v>
      </c>
      <c r="D799" s="1">
        <v>3.9</v>
      </c>
      <c r="E799" s="1">
        <v>12499</v>
      </c>
      <c r="F799" s="1">
        <v>2018</v>
      </c>
    </row>
    <row r="800" spans="1:6" x14ac:dyDescent="0.35">
      <c r="A800" s="1" t="s">
        <v>1811</v>
      </c>
      <c r="B800" s="1" t="s">
        <v>1812</v>
      </c>
      <c r="C800" s="1" t="s">
        <v>682</v>
      </c>
      <c r="D800" s="1">
        <v>5</v>
      </c>
      <c r="E800" s="1">
        <v>12499</v>
      </c>
      <c r="F800" s="1">
        <v>2014</v>
      </c>
    </row>
    <row r="801" spans="1:6" x14ac:dyDescent="0.35">
      <c r="A801" s="1" t="s">
        <v>906</v>
      </c>
      <c r="B801" s="1" t="s">
        <v>907</v>
      </c>
      <c r="C801" s="1" t="s">
        <v>116</v>
      </c>
      <c r="D801" s="1">
        <v>4.4000000000000004</v>
      </c>
      <c r="E801" s="1">
        <v>12499</v>
      </c>
      <c r="F801" s="1">
        <v>2014</v>
      </c>
    </row>
    <row r="802" spans="1:6" x14ac:dyDescent="0.35">
      <c r="A802" s="1" t="s">
        <v>1473</v>
      </c>
      <c r="B802" s="1" t="s">
        <v>1474</v>
      </c>
      <c r="C802" s="1" t="s">
        <v>11</v>
      </c>
      <c r="D802" s="1">
        <v>4.8</v>
      </c>
      <c r="E802" s="1">
        <v>12496</v>
      </c>
      <c r="F802" s="1">
        <v>2009</v>
      </c>
    </row>
    <row r="803" spans="1:6" x14ac:dyDescent="0.35">
      <c r="A803" s="1" t="s">
        <v>1647</v>
      </c>
      <c r="B803" s="1" t="s">
        <v>1648</v>
      </c>
      <c r="C803" s="1" t="s">
        <v>846</v>
      </c>
      <c r="D803" s="1">
        <v>4.9000000000000004</v>
      </c>
      <c r="E803" s="1">
        <v>12479</v>
      </c>
      <c r="F803" s="1">
        <v>2023</v>
      </c>
    </row>
    <row r="804" spans="1:6" x14ac:dyDescent="0.35">
      <c r="A804" s="1" t="s">
        <v>1128</v>
      </c>
      <c r="B804" s="1" t="s">
        <v>1129</v>
      </c>
      <c r="C804" s="1" t="s">
        <v>859</v>
      </c>
      <c r="D804" s="1">
        <v>4.5999999999999996</v>
      </c>
      <c r="E804" s="1">
        <v>12471</v>
      </c>
      <c r="F804" s="1">
        <v>2023</v>
      </c>
    </row>
    <row r="805" spans="1:6" x14ac:dyDescent="0.35">
      <c r="A805" s="1" t="s">
        <v>1288</v>
      </c>
      <c r="B805" s="1" t="s">
        <v>1289</v>
      </c>
      <c r="C805" s="1" t="s">
        <v>294</v>
      </c>
      <c r="D805" s="1">
        <v>4.7</v>
      </c>
      <c r="E805" s="1">
        <v>12465</v>
      </c>
      <c r="F805" s="1">
        <v>2011</v>
      </c>
    </row>
    <row r="806" spans="1:6" x14ac:dyDescent="0.35">
      <c r="A806" s="1" t="s">
        <v>1290</v>
      </c>
      <c r="B806" s="1" t="s">
        <v>1291</v>
      </c>
      <c r="C806" s="1" t="s">
        <v>208</v>
      </c>
      <c r="D806" s="1">
        <v>4.7</v>
      </c>
      <c r="E806" s="1">
        <v>12438</v>
      </c>
      <c r="F806" s="1">
        <v>2022</v>
      </c>
    </row>
    <row r="807" spans="1:6" x14ac:dyDescent="0.35">
      <c r="A807" s="1" t="s">
        <v>1292</v>
      </c>
      <c r="B807" s="1" t="s">
        <v>1293</v>
      </c>
      <c r="C807" s="1" t="s">
        <v>175</v>
      </c>
      <c r="D807" s="1">
        <v>4.7</v>
      </c>
      <c r="E807" s="1">
        <v>12436</v>
      </c>
      <c r="F807" s="1">
        <v>2005</v>
      </c>
    </row>
    <row r="808" spans="1:6" x14ac:dyDescent="0.35">
      <c r="A808" s="1" t="s">
        <v>615</v>
      </c>
      <c r="B808" s="1" t="s">
        <v>616</v>
      </c>
      <c r="C808" s="1" t="s">
        <v>565</v>
      </c>
      <c r="D808" s="1">
        <v>4</v>
      </c>
      <c r="E808" s="1">
        <v>12380</v>
      </c>
      <c r="F808" s="1">
        <v>2022</v>
      </c>
    </row>
    <row r="809" spans="1:6" x14ac:dyDescent="0.35">
      <c r="A809" s="1" t="s">
        <v>2044</v>
      </c>
      <c r="B809" s="1" t="s">
        <v>2045</v>
      </c>
      <c r="C809" s="1" t="s">
        <v>11</v>
      </c>
      <c r="D809" s="1">
        <v>5.0999999999999996</v>
      </c>
      <c r="E809" s="1">
        <v>12359</v>
      </c>
      <c r="F809" s="1">
        <v>2018</v>
      </c>
    </row>
    <row r="810" spans="1:6" x14ac:dyDescent="0.35">
      <c r="A810" s="1" t="s">
        <v>1649</v>
      </c>
      <c r="B810" s="1" t="s">
        <v>1650</v>
      </c>
      <c r="C810" s="1" t="s">
        <v>56</v>
      </c>
      <c r="D810" s="1">
        <v>4.9000000000000004</v>
      </c>
      <c r="E810" s="1">
        <v>12353</v>
      </c>
      <c r="F810" s="1">
        <v>2016</v>
      </c>
    </row>
    <row r="811" spans="1:6" x14ac:dyDescent="0.35">
      <c r="A811" s="1" t="s">
        <v>1294</v>
      </c>
      <c r="B811" s="1" t="s">
        <v>1295</v>
      </c>
      <c r="C811" s="1" t="s">
        <v>178</v>
      </c>
      <c r="D811" s="1">
        <v>4.7</v>
      </c>
      <c r="E811" s="1">
        <v>12298</v>
      </c>
      <c r="F811" s="1">
        <v>1987</v>
      </c>
    </row>
    <row r="812" spans="1:6" x14ac:dyDescent="0.35">
      <c r="A812" s="1" t="s">
        <v>311</v>
      </c>
      <c r="B812" s="1" t="s">
        <v>312</v>
      </c>
      <c r="C812" s="1" t="s">
        <v>76</v>
      </c>
      <c r="D812" s="1">
        <v>3.2</v>
      </c>
      <c r="E812" s="1">
        <v>12288</v>
      </c>
      <c r="F812" s="1">
        <v>2023</v>
      </c>
    </row>
    <row r="813" spans="1:6" x14ac:dyDescent="0.35">
      <c r="A813" s="1" t="s">
        <v>1130</v>
      </c>
      <c r="B813" s="1" t="s">
        <v>1131</v>
      </c>
      <c r="C813" s="1" t="s">
        <v>146</v>
      </c>
      <c r="D813" s="1">
        <v>4.5999999999999996</v>
      </c>
      <c r="E813" s="1">
        <v>12278</v>
      </c>
      <c r="F813" s="1">
        <v>2007</v>
      </c>
    </row>
    <row r="814" spans="1:6" x14ac:dyDescent="0.35">
      <c r="A814" s="1" t="s">
        <v>1002</v>
      </c>
      <c r="B814" s="1" t="s">
        <v>1003</v>
      </c>
      <c r="C814" s="1" t="s">
        <v>1004</v>
      </c>
      <c r="D814" s="1">
        <v>4.5</v>
      </c>
      <c r="E814" s="1">
        <v>12266</v>
      </c>
      <c r="F814" s="1">
        <v>2017</v>
      </c>
    </row>
    <row r="815" spans="1:6" x14ac:dyDescent="0.35">
      <c r="A815" s="1" t="s">
        <v>1651</v>
      </c>
      <c r="B815" s="1" t="s">
        <v>1652</v>
      </c>
      <c r="C815" s="1" t="s">
        <v>128</v>
      </c>
      <c r="D815" s="1">
        <v>4.9000000000000004</v>
      </c>
      <c r="E815" s="1">
        <v>12237</v>
      </c>
      <c r="F815" s="1">
        <v>2003</v>
      </c>
    </row>
    <row r="816" spans="1:6" x14ac:dyDescent="0.35">
      <c r="A816" s="1" t="s">
        <v>1813</v>
      </c>
      <c r="B816" s="1" t="s">
        <v>1814</v>
      </c>
      <c r="C816" s="1" t="s">
        <v>565</v>
      </c>
      <c r="D816" s="1">
        <v>5</v>
      </c>
      <c r="E816" s="1">
        <v>12235</v>
      </c>
      <c r="F816" s="1">
        <v>2023</v>
      </c>
    </row>
    <row r="817" spans="1:6" x14ac:dyDescent="0.35">
      <c r="A817" s="1" t="s">
        <v>1475</v>
      </c>
      <c r="B817" s="1" t="s">
        <v>1476</v>
      </c>
      <c r="C817" s="1" t="s">
        <v>116</v>
      </c>
      <c r="D817" s="1">
        <v>4.8</v>
      </c>
      <c r="E817" s="1">
        <v>12235</v>
      </c>
      <c r="F817" s="1">
        <v>2009</v>
      </c>
    </row>
    <row r="818" spans="1:6" x14ac:dyDescent="0.35">
      <c r="A818" s="1" t="s">
        <v>2046</v>
      </c>
      <c r="B818" s="1" t="s">
        <v>2047</v>
      </c>
      <c r="C818" s="1" t="s">
        <v>146</v>
      </c>
      <c r="D818" s="1">
        <v>5.0999999999999996</v>
      </c>
      <c r="E818" s="1">
        <v>12223</v>
      </c>
      <c r="F818" s="1">
        <v>2013</v>
      </c>
    </row>
    <row r="819" spans="1:6" x14ac:dyDescent="0.35">
      <c r="A819" s="1" t="s">
        <v>465</v>
      </c>
      <c r="B819" s="1" t="s">
        <v>466</v>
      </c>
      <c r="C819" s="1" t="s">
        <v>467</v>
      </c>
      <c r="D819" s="1">
        <v>3.7</v>
      </c>
      <c r="E819" s="1">
        <v>12218</v>
      </c>
      <c r="F819" s="1">
        <v>2008</v>
      </c>
    </row>
    <row r="820" spans="1:6" x14ac:dyDescent="0.35">
      <c r="A820" s="1" t="s">
        <v>908</v>
      </c>
      <c r="B820" s="1" t="s">
        <v>909</v>
      </c>
      <c r="C820" s="1" t="s">
        <v>175</v>
      </c>
      <c r="D820" s="1">
        <v>4.4000000000000004</v>
      </c>
      <c r="E820" s="1">
        <v>12212</v>
      </c>
      <c r="F820" s="1">
        <v>2005</v>
      </c>
    </row>
    <row r="821" spans="1:6" x14ac:dyDescent="0.35">
      <c r="A821" s="1" t="s">
        <v>218</v>
      </c>
      <c r="B821" s="1" t="s">
        <v>219</v>
      </c>
      <c r="C821" s="1" t="s">
        <v>68</v>
      </c>
      <c r="D821" s="1">
        <v>2.7</v>
      </c>
      <c r="E821" s="1">
        <v>12207</v>
      </c>
      <c r="F821" s="1">
        <v>2008</v>
      </c>
    </row>
    <row r="822" spans="1:6" x14ac:dyDescent="0.35">
      <c r="A822" s="1" t="s">
        <v>1477</v>
      </c>
      <c r="B822" s="1" t="s">
        <v>1478</v>
      </c>
      <c r="C822" s="1" t="s">
        <v>128</v>
      </c>
      <c r="D822" s="1">
        <v>4.8</v>
      </c>
      <c r="E822" s="1">
        <v>12205</v>
      </c>
      <c r="F822" s="1">
        <v>2012</v>
      </c>
    </row>
    <row r="823" spans="1:6" x14ac:dyDescent="0.35">
      <c r="A823" s="1" t="s">
        <v>1132</v>
      </c>
      <c r="B823" s="1" t="s">
        <v>1133</v>
      </c>
      <c r="C823" s="1" t="s">
        <v>270</v>
      </c>
      <c r="D823" s="1">
        <v>4.5999999999999996</v>
      </c>
      <c r="E823" s="1">
        <v>12193</v>
      </c>
      <c r="F823" s="1">
        <v>1994</v>
      </c>
    </row>
    <row r="824" spans="1:6" x14ac:dyDescent="0.35">
      <c r="A824" s="1" t="s">
        <v>513</v>
      </c>
      <c r="B824" s="1" t="s">
        <v>514</v>
      </c>
      <c r="C824" s="1" t="s">
        <v>294</v>
      </c>
      <c r="D824" s="1">
        <v>3.8</v>
      </c>
      <c r="E824" s="1">
        <v>12159</v>
      </c>
      <c r="F824" s="1">
        <v>2022</v>
      </c>
    </row>
    <row r="825" spans="1:6" x14ac:dyDescent="0.35">
      <c r="A825" s="1" t="s">
        <v>333</v>
      </c>
      <c r="B825" s="1" t="s">
        <v>334</v>
      </c>
      <c r="C825" s="1" t="s">
        <v>335</v>
      </c>
      <c r="D825" s="1">
        <v>3.3</v>
      </c>
      <c r="E825" s="1">
        <v>12139</v>
      </c>
      <c r="F825" s="1">
        <v>2021</v>
      </c>
    </row>
    <row r="826" spans="1:6" x14ac:dyDescent="0.35">
      <c r="A826" s="1" t="s">
        <v>811</v>
      </c>
      <c r="B826" s="1" t="s">
        <v>812</v>
      </c>
      <c r="C826" s="1" t="s">
        <v>149</v>
      </c>
      <c r="D826" s="1">
        <v>4.3</v>
      </c>
      <c r="E826" s="1">
        <v>12138</v>
      </c>
      <c r="F826" s="1">
        <v>2007</v>
      </c>
    </row>
    <row r="827" spans="1:6" x14ac:dyDescent="0.35">
      <c r="A827" s="1" t="s">
        <v>45</v>
      </c>
      <c r="B827" s="1" t="s">
        <v>46</v>
      </c>
      <c r="C827" s="1" t="s">
        <v>47</v>
      </c>
      <c r="D827" s="1">
        <v>1.3</v>
      </c>
      <c r="E827" s="1">
        <v>12128</v>
      </c>
      <c r="F827" s="1">
        <v>2012</v>
      </c>
    </row>
    <row r="828" spans="1:6" x14ac:dyDescent="0.35">
      <c r="A828" s="1" t="s">
        <v>672</v>
      </c>
      <c r="B828" s="1" t="s">
        <v>673</v>
      </c>
      <c r="C828" s="1" t="s">
        <v>294</v>
      </c>
      <c r="D828" s="1">
        <v>4.0999999999999996</v>
      </c>
      <c r="E828" s="1">
        <v>12126</v>
      </c>
      <c r="F828" s="1">
        <v>2015</v>
      </c>
    </row>
    <row r="829" spans="1:6" x14ac:dyDescent="0.35">
      <c r="A829" s="1" t="s">
        <v>1479</v>
      </c>
      <c r="B829" s="1" t="s">
        <v>1480</v>
      </c>
      <c r="C829" s="1" t="s">
        <v>270</v>
      </c>
      <c r="D829" s="1">
        <v>4.8</v>
      </c>
      <c r="E829" s="1">
        <v>12111</v>
      </c>
      <c r="F829" s="1">
        <v>2011</v>
      </c>
    </row>
    <row r="830" spans="1:6" x14ac:dyDescent="0.35">
      <c r="A830" s="1" t="s">
        <v>515</v>
      </c>
      <c r="B830" s="1" t="s">
        <v>516</v>
      </c>
      <c r="C830" s="1" t="s">
        <v>31</v>
      </c>
      <c r="D830" s="1">
        <v>3.8</v>
      </c>
      <c r="E830" s="1">
        <v>12096</v>
      </c>
      <c r="F830" s="1">
        <v>2013</v>
      </c>
    </row>
    <row r="831" spans="1:6" x14ac:dyDescent="0.35">
      <c r="A831" s="1" t="s">
        <v>1653</v>
      </c>
      <c r="B831" s="1">
        <v>2067</v>
      </c>
      <c r="C831" s="1" t="s">
        <v>1654</v>
      </c>
      <c r="D831" s="1">
        <v>4.9000000000000004</v>
      </c>
      <c r="E831" s="1">
        <v>12090</v>
      </c>
      <c r="F831" s="1">
        <v>2020</v>
      </c>
    </row>
    <row r="832" spans="1:6" x14ac:dyDescent="0.35">
      <c r="A832" s="1" t="s">
        <v>617</v>
      </c>
      <c r="B832" s="1" t="s">
        <v>618</v>
      </c>
      <c r="C832" s="1" t="s">
        <v>568</v>
      </c>
      <c r="D832" s="1">
        <v>4</v>
      </c>
      <c r="E832" s="1">
        <v>12082</v>
      </c>
      <c r="F832" s="1">
        <v>2020</v>
      </c>
    </row>
    <row r="833" spans="1:6" x14ac:dyDescent="0.35">
      <c r="A833" s="1" t="s">
        <v>313</v>
      </c>
      <c r="B833" s="1" t="s">
        <v>314</v>
      </c>
      <c r="C833" s="1" t="s">
        <v>178</v>
      </c>
      <c r="D833" s="1">
        <v>3.2</v>
      </c>
      <c r="E833" s="1">
        <v>12070</v>
      </c>
      <c r="F833" s="1">
        <v>2010</v>
      </c>
    </row>
    <row r="834" spans="1:6" x14ac:dyDescent="0.35">
      <c r="A834" s="1" t="s">
        <v>1005</v>
      </c>
      <c r="B834" s="1" t="s">
        <v>1006</v>
      </c>
      <c r="C834" s="1" t="s">
        <v>140</v>
      </c>
      <c r="D834" s="1">
        <v>4.5</v>
      </c>
      <c r="E834" s="1">
        <v>12066</v>
      </c>
      <c r="F834" s="1">
        <v>2022</v>
      </c>
    </row>
    <row r="835" spans="1:6" x14ac:dyDescent="0.35">
      <c r="A835" s="1" t="s">
        <v>2048</v>
      </c>
      <c r="B835" s="1" t="s">
        <v>2049</v>
      </c>
      <c r="C835" s="1" t="s">
        <v>846</v>
      </c>
      <c r="D835" s="1">
        <v>5.0999999999999996</v>
      </c>
      <c r="E835" s="1">
        <v>12066</v>
      </c>
      <c r="F835" s="1">
        <v>2018</v>
      </c>
    </row>
    <row r="836" spans="1:6" x14ac:dyDescent="0.35">
      <c r="A836" s="1" t="s">
        <v>2050</v>
      </c>
      <c r="B836" s="1" t="s">
        <v>2051</v>
      </c>
      <c r="C836" s="1" t="s">
        <v>565</v>
      </c>
      <c r="D836" s="1">
        <v>5.0999999999999996</v>
      </c>
      <c r="E836" s="1">
        <v>12061</v>
      </c>
      <c r="F836" s="1">
        <v>2021</v>
      </c>
    </row>
    <row r="837" spans="1:6" x14ac:dyDescent="0.35">
      <c r="A837" s="1" t="s">
        <v>619</v>
      </c>
      <c r="B837" s="1" t="s">
        <v>620</v>
      </c>
      <c r="C837" s="1" t="s">
        <v>294</v>
      </c>
      <c r="D837" s="1">
        <v>4</v>
      </c>
      <c r="E837" s="1">
        <v>12059</v>
      </c>
      <c r="F837" s="1">
        <v>2019</v>
      </c>
    </row>
    <row r="838" spans="1:6" x14ac:dyDescent="0.35">
      <c r="A838" s="1" t="s">
        <v>1134</v>
      </c>
      <c r="B838" s="1" t="s">
        <v>1135</v>
      </c>
      <c r="C838" s="1" t="s">
        <v>270</v>
      </c>
      <c r="D838" s="1">
        <v>4.5999999999999996</v>
      </c>
      <c r="E838" s="1">
        <v>12050</v>
      </c>
      <c r="F838" s="1">
        <v>1986</v>
      </c>
    </row>
    <row r="839" spans="1:6" x14ac:dyDescent="0.35">
      <c r="A839" s="1" t="s">
        <v>18</v>
      </c>
      <c r="B839" s="1" t="s">
        <v>19</v>
      </c>
      <c r="C839" s="1" t="s">
        <v>20</v>
      </c>
      <c r="D839" s="1">
        <v>1.1000000000000001</v>
      </c>
      <c r="E839" s="1">
        <v>12019</v>
      </c>
      <c r="F839" s="1">
        <v>2023</v>
      </c>
    </row>
    <row r="840" spans="1:6" x14ac:dyDescent="0.35">
      <c r="A840" s="1" t="s">
        <v>1815</v>
      </c>
      <c r="B840" s="1" t="s">
        <v>1816</v>
      </c>
      <c r="C840" s="1" t="s">
        <v>178</v>
      </c>
      <c r="D840" s="1">
        <v>5</v>
      </c>
      <c r="E840" s="1">
        <v>12014</v>
      </c>
      <c r="F840" s="1">
        <v>2019</v>
      </c>
    </row>
    <row r="841" spans="1:6" x14ac:dyDescent="0.35">
      <c r="A841" s="1" t="s">
        <v>2052</v>
      </c>
      <c r="B841" s="1" t="s">
        <v>2053</v>
      </c>
      <c r="C841" s="1" t="s">
        <v>915</v>
      </c>
      <c r="D841" s="1">
        <v>5.0999999999999996</v>
      </c>
      <c r="E841" s="1">
        <v>12010</v>
      </c>
      <c r="F841" s="1">
        <v>2016</v>
      </c>
    </row>
    <row r="842" spans="1:6" x14ac:dyDescent="0.35">
      <c r="A842" s="1" t="s">
        <v>1007</v>
      </c>
      <c r="B842" s="1" t="s">
        <v>1008</v>
      </c>
      <c r="C842" s="1" t="s">
        <v>1009</v>
      </c>
      <c r="D842" s="1">
        <v>4.5</v>
      </c>
      <c r="E842" s="1">
        <v>11963</v>
      </c>
      <c r="F842" s="1">
        <v>2006</v>
      </c>
    </row>
    <row r="843" spans="1:6" x14ac:dyDescent="0.35">
      <c r="A843" s="1" t="s">
        <v>1481</v>
      </c>
      <c r="B843" s="1" t="s">
        <v>1482</v>
      </c>
      <c r="C843" s="1" t="s">
        <v>56</v>
      </c>
      <c r="D843" s="1">
        <v>4.8</v>
      </c>
      <c r="E843" s="1">
        <v>11945</v>
      </c>
      <c r="F843" s="1">
        <v>2018</v>
      </c>
    </row>
    <row r="844" spans="1:6" x14ac:dyDescent="0.35">
      <c r="A844" s="1" t="s">
        <v>433</v>
      </c>
      <c r="B844" s="1" t="s">
        <v>434</v>
      </c>
      <c r="C844" s="1" t="s">
        <v>181</v>
      </c>
      <c r="D844" s="1">
        <v>3.6</v>
      </c>
      <c r="E844" s="1">
        <v>11928</v>
      </c>
      <c r="F844" s="1">
        <v>2017</v>
      </c>
    </row>
    <row r="845" spans="1:6" x14ac:dyDescent="0.35">
      <c r="A845" s="1" t="s">
        <v>1483</v>
      </c>
      <c r="B845" s="1" t="s">
        <v>1484</v>
      </c>
      <c r="C845" s="1" t="s">
        <v>951</v>
      </c>
      <c r="D845" s="1">
        <v>4.8</v>
      </c>
      <c r="E845" s="1">
        <v>11904</v>
      </c>
      <c r="F845" s="1">
        <v>2020</v>
      </c>
    </row>
    <row r="846" spans="1:6" x14ac:dyDescent="0.35">
      <c r="A846" s="1" t="s">
        <v>1485</v>
      </c>
      <c r="B846" s="1" t="s">
        <v>1486</v>
      </c>
      <c r="C846" s="1" t="s">
        <v>93</v>
      </c>
      <c r="D846" s="1">
        <v>4.8</v>
      </c>
      <c r="E846" s="1">
        <v>11898</v>
      </c>
      <c r="F846" s="1">
        <v>2020</v>
      </c>
    </row>
    <row r="847" spans="1:6" x14ac:dyDescent="0.35">
      <c r="A847" s="1" t="s">
        <v>1817</v>
      </c>
      <c r="B847" s="1" t="s">
        <v>1818</v>
      </c>
      <c r="C847" s="1" t="s">
        <v>82</v>
      </c>
      <c r="D847" s="1">
        <v>5</v>
      </c>
      <c r="E847" s="1">
        <v>11884</v>
      </c>
      <c r="F847" s="1">
        <v>2011</v>
      </c>
    </row>
    <row r="848" spans="1:6" x14ac:dyDescent="0.35">
      <c r="A848" s="1" t="s">
        <v>1136</v>
      </c>
      <c r="B848" s="1" t="s">
        <v>1137</v>
      </c>
      <c r="C848" s="1" t="s">
        <v>1039</v>
      </c>
      <c r="D848" s="1">
        <v>4.5999999999999996</v>
      </c>
      <c r="E848" s="1">
        <v>11867</v>
      </c>
      <c r="F848" s="1">
        <v>2008</v>
      </c>
    </row>
    <row r="849" spans="1:6" x14ac:dyDescent="0.35">
      <c r="A849" s="1" t="s">
        <v>1487</v>
      </c>
      <c r="B849" s="1" t="s">
        <v>1488</v>
      </c>
      <c r="C849" s="1" t="s">
        <v>56</v>
      </c>
      <c r="D849" s="1">
        <v>4.8</v>
      </c>
      <c r="E849" s="1">
        <v>11849</v>
      </c>
      <c r="F849" s="1">
        <v>2019</v>
      </c>
    </row>
    <row r="850" spans="1:6" x14ac:dyDescent="0.35">
      <c r="A850" s="1" t="s">
        <v>1296</v>
      </c>
      <c r="B850" s="1" t="s">
        <v>1297</v>
      </c>
      <c r="C850" s="1" t="s">
        <v>128</v>
      </c>
      <c r="D850" s="1">
        <v>4.7</v>
      </c>
      <c r="E850" s="1">
        <v>11841</v>
      </c>
      <c r="F850" s="1">
        <v>2023</v>
      </c>
    </row>
    <row r="851" spans="1:6" x14ac:dyDescent="0.35">
      <c r="A851" s="1" t="s">
        <v>674</v>
      </c>
      <c r="B851" s="1" t="s">
        <v>675</v>
      </c>
      <c r="C851" s="1" t="s">
        <v>669</v>
      </c>
      <c r="D851" s="1">
        <v>4.0999999999999996</v>
      </c>
      <c r="E851" s="1">
        <v>11817</v>
      </c>
      <c r="F851" s="1">
        <v>2020</v>
      </c>
    </row>
    <row r="852" spans="1:6" x14ac:dyDescent="0.35">
      <c r="A852" s="1" t="s">
        <v>1298</v>
      </c>
      <c r="B852" s="1" t="s">
        <v>1299</v>
      </c>
      <c r="C852" s="1" t="s">
        <v>128</v>
      </c>
      <c r="D852" s="1">
        <v>4.7</v>
      </c>
      <c r="E852" s="1">
        <v>11815</v>
      </c>
      <c r="F852" s="1">
        <v>2000</v>
      </c>
    </row>
    <row r="853" spans="1:6" x14ac:dyDescent="0.35">
      <c r="A853" s="1" t="s">
        <v>435</v>
      </c>
      <c r="B853" s="1" t="s">
        <v>436</v>
      </c>
      <c r="C853" s="1" t="s">
        <v>93</v>
      </c>
      <c r="D853" s="1">
        <v>3.6</v>
      </c>
      <c r="E853" s="1">
        <v>11755</v>
      </c>
      <c r="F853" s="1">
        <v>2017</v>
      </c>
    </row>
    <row r="854" spans="1:6" x14ac:dyDescent="0.35">
      <c r="A854" s="1" t="s">
        <v>1010</v>
      </c>
      <c r="B854" s="1" t="s">
        <v>1011</v>
      </c>
      <c r="C854" s="1" t="s">
        <v>568</v>
      </c>
      <c r="D854" s="1">
        <v>4.5</v>
      </c>
      <c r="E854" s="1">
        <v>11714</v>
      </c>
      <c r="F854" s="1">
        <v>2014</v>
      </c>
    </row>
    <row r="855" spans="1:6" x14ac:dyDescent="0.35">
      <c r="A855" s="1" t="s">
        <v>220</v>
      </c>
      <c r="B855" s="1" t="s">
        <v>221</v>
      </c>
      <c r="C855" s="1" t="s">
        <v>222</v>
      </c>
      <c r="D855" s="1">
        <v>2.7</v>
      </c>
      <c r="E855" s="1">
        <v>11689</v>
      </c>
      <c r="F855" s="1">
        <v>2007</v>
      </c>
    </row>
    <row r="856" spans="1:6" x14ac:dyDescent="0.35">
      <c r="A856" s="1" t="s">
        <v>1819</v>
      </c>
      <c r="B856" s="1" t="s">
        <v>1820</v>
      </c>
      <c r="C856" s="1" t="s">
        <v>116</v>
      </c>
      <c r="D856" s="1">
        <v>5</v>
      </c>
      <c r="E856" s="1">
        <v>11679</v>
      </c>
      <c r="F856" s="1">
        <v>1996</v>
      </c>
    </row>
    <row r="857" spans="1:6" x14ac:dyDescent="0.35">
      <c r="A857" s="1" t="s">
        <v>621</v>
      </c>
      <c r="B857" s="1" t="s">
        <v>622</v>
      </c>
      <c r="C857" s="1" t="s">
        <v>211</v>
      </c>
      <c r="D857" s="1">
        <v>4</v>
      </c>
      <c r="E857" s="1">
        <v>11678</v>
      </c>
      <c r="F857" s="1">
        <v>2000</v>
      </c>
    </row>
    <row r="858" spans="1:6" x14ac:dyDescent="0.35">
      <c r="A858" s="1" t="s">
        <v>468</v>
      </c>
      <c r="B858" s="1" t="s">
        <v>469</v>
      </c>
      <c r="C858" s="1" t="s">
        <v>11</v>
      </c>
      <c r="D858" s="1">
        <v>3.7</v>
      </c>
      <c r="E858" s="1">
        <v>11668</v>
      </c>
      <c r="F858" s="1">
        <v>2008</v>
      </c>
    </row>
    <row r="859" spans="1:6" x14ac:dyDescent="0.35">
      <c r="A859" s="1" t="s">
        <v>2054</v>
      </c>
      <c r="B859" s="1" t="s">
        <v>2055</v>
      </c>
      <c r="C859" s="1" t="s">
        <v>11</v>
      </c>
      <c r="D859" s="1">
        <v>5.0999999999999996</v>
      </c>
      <c r="E859" s="1">
        <v>11665</v>
      </c>
      <c r="F859" s="1">
        <v>2010</v>
      </c>
    </row>
    <row r="860" spans="1:6" x14ac:dyDescent="0.35">
      <c r="A860" s="1" t="s">
        <v>1012</v>
      </c>
      <c r="B860" s="1" t="s">
        <v>1013</v>
      </c>
      <c r="C860" s="1" t="s">
        <v>82</v>
      </c>
      <c r="D860" s="1">
        <v>4.5</v>
      </c>
      <c r="E860" s="1">
        <v>11661</v>
      </c>
      <c r="F860" s="1">
        <v>2013</v>
      </c>
    </row>
    <row r="861" spans="1:6" x14ac:dyDescent="0.35">
      <c r="A861" s="1" t="s">
        <v>2056</v>
      </c>
      <c r="B861" s="1" t="s">
        <v>2057</v>
      </c>
      <c r="C861" s="1" t="s">
        <v>646</v>
      </c>
      <c r="D861" s="1">
        <v>5.0999999999999996</v>
      </c>
      <c r="E861" s="1">
        <v>11653</v>
      </c>
      <c r="F861" s="1">
        <v>2015</v>
      </c>
    </row>
    <row r="862" spans="1:6" x14ac:dyDescent="0.35">
      <c r="A862" s="1" t="s">
        <v>676</v>
      </c>
      <c r="B862" s="1" t="s">
        <v>677</v>
      </c>
      <c r="C862" s="1" t="s">
        <v>474</v>
      </c>
      <c r="D862" s="1">
        <v>4.0999999999999996</v>
      </c>
      <c r="E862" s="1">
        <v>11649</v>
      </c>
      <c r="F862" s="1">
        <v>1999</v>
      </c>
    </row>
    <row r="863" spans="1:6" x14ac:dyDescent="0.35">
      <c r="A863" s="1" t="s">
        <v>2058</v>
      </c>
      <c r="B863" s="1" t="s">
        <v>2059</v>
      </c>
      <c r="C863" s="1" t="s">
        <v>759</v>
      </c>
      <c r="D863" s="1">
        <v>5.0999999999999996</v>
      </c>
      <c r="E863" s="1">
        <v>11639</v>
      </c>
      <c r="F863" s="1">
        <v>2023</v>
      </c>
    </row>
    <row r="864" spans="1:6" x14ac:dyDescent="0.35">
      <c r="A864" s="1" t="s">
        <v>678</v>
      </c>
      <c r="B864" s="1" t="s">
        <v>679</v>
      </c>
      <c r="C864" s="1" t="s">
        <v>584</v>
      </c>
      <c r="D864" s="1">
        <v>4.0999999999999996</v>
      </c>
      <c r="E864" s="1">
        <v>11634</v>
      </c>
      <c r="F864" s="1">
        <v>2021</v>
      </c>
    </row>
    <row r="865" spans="1:6" x14ac:dyDescent="0.35">
      <c r="A865" s="1" t="s">
        <v>1655</v>
      </c>
      <c r="B865" s="1" t="s">
        <v>1656</v>
      </c>
      <c r="C865" s="1" t="s">
        <v>294</v>
      </c>
      <c r="D865" s="1">
        <v>4.9000000000000004</v>
      </c>
      <c r="E865" s="1">
        <v>11630</v>
      </c>
      <c r="F865" s="1">
        <v>2019</v>
      </c>
    </row>
    <row r="866" spans="1:6" x14ac:dyDescent="0.35">
      <c r="A866" s="1" t="s">
        <v>517</v>
      </c>
      <c r="B866" s="1" t="s">
        <v>518</v>
      </c>
      <c r="C866" s="1" t="s">
        <v>519</v>
      </c>
      <c r="D866" s="1">
        <v>3.8</v>
      </c>
      <c r="E866" s="1">
        <v>11617</v>
      </c>
      <c r="F866" s="1">
        <v>2006</v>
      </c>
    </row>
    <row r="867" spans="1:6" x14ac:dyDescent="0.35">
      <c r="A867" s="1" t="s">
        <v>1489</v>
      </c>
      <c r="B867" s="1" t="s">
        <v>1490</v>
      </c>
      <c r="C867" s="1" t="s">
        <v>584</v>
      </c>
      <c r="D867" s="1">
        <v>4.8</v>
      </c>
      <c r="E867" s="1">
        <v>11601</v>
      </c>
      <c r="F867" s="1">
        <v>2015</v>
      </c>
    </row>
    <row r="868" spans="1:6" x14ac:dyDescent="0.35">
      <c r="A868" s="1" t="s">
        <v>470</v>
      </c>
      <c r="B868" s="1" t="s">
        <v>471</v>
      </c>
      <c r="C868" s="1" t="s">
        <v>178</v>
      </c>
      <c r="D868" s="1">
        <v>3.7</v>
      </c>
      <c r="E868" s="1">
        <v>11575</v>
      </c>
      <c r="F868" s="1">
        <v>2007</v>
      </c>
    </row>
    <row r="869" spans="1:6" x14ac:dyDescent="0.35">
      <c r="A869" s="1" t="s">
        <v>1657</v>
      </c>
      <c r="B869" s="1" t="s">
        <v>1658</v>
      </c>
      <c r="C869" s="1" t="s">
        <v>1659</v>
      </c>
      <c r="D869" s="1">
        <v>4.9000000000000004</v>
      </c>
      <c r="E869" s="1">
        <v>11564</v>
      </c>
      <c r="F869" s="1">
        <v>2018</v>
      </c>
    </row>
    <row r="870" spans="1:6" x14ac:dyDescent="0.35">
      <c r="A870" s="1" t="s">
        <v>1660</v>
      </c>
      <c r="B870" s="1" t="s">
        <v>1661</v>
      </c>
      <c r="C870" s="1" t="s">
        <v>1662</v>
      </c>
      <c r="D870" s="1">
        <v>4.9000000000000004</v>
      </c>
      <c r="E870" s="1">
        <v>11544</v>
      </c>
      <c r="F870" s="1">
        <v>2018</v>
      </c>
    </row>
    <row r="871" spans="1:6" x14ac:dyDescent="0.35">
      <c r="A871" s="1" t="s">
        <v>1821</v>
      </c>
      <c r="B871" s="1" t="s">
        <v>1822</v>
      </c>
      <c r="C871" s="1" t="s">
        <v>47</v>
      </c>
      <c r="D871" s="1">
        <v>5</v>
      </c>
      <c r="E871" s="1">
        <v>11526</v>
      </c>
      <c r="F871" s="1">
        <v>2003</v>
      </c>
    </row>
    <row r="872" spans="1:6" x14ac:dyDescent="0.35">
      <c r="A872" s="1" t="s">
        <v>1823</v>
      </c>
      <c r="B872" s="1" t="s">
        <v>1824</v>
      </c>
      <c r="C872" s="1" t="s">
        <v>1039</v>
      </c>
      <c r="D872" s="1">
        <v>5</v>
      </c>
      <c r="E872" s="1">
        <v>11511</v>
      </c>
      <c r="F872" s="1">
        <v>2012</v>
      </c>
    </row>
    <row r="873" spans="1:6" x14ac:dyDescent="0.35">
      <c r="A873" s="1" t="s">
        <v>578</v>
      </c>
      <c r="B873" s="1" t="s">
        <v>579</v>
      </c>
      <c r="C873" s="1" t="s">
        <v>455</v>
      </c>
      <c r="D873" s="1">
        <v>3.9</v>
      </c>
      <c r="E873" s="1">
        <v>11508</v>
      </c>
      <c r="F873" s="1">
        <v>1999</v>
      </c>
    </row>
    <row r="874" spans="1:6" x14ac:dyDescent="0.35">
      <c r="A874" s="1" t="s">
        <v>1491</v>
      </c>
      <c r="B874" s="1" t="s">
        <v>1492</v>
      </c>
      <c r="C874" s="1" t="s">
        <v>584</v>
      </c>
      <c r="D874" s="1">
        <v>4.8</v>
      </c>
      <c r="E874" s="1">
        <v>11487</v>
      </c>
      <c r="F874" s="1">
        <v>2000</v>
      </c>
    </row>
    <row r="875" spans="1:6" x14ac:dyDescent="0.35">
      <c r="A875" s="1" t="s">
        <v>1493</v>
      </c>
      <c r="B875" s="1" t="s">
        <v>1494</v>
      </c>
      <c r="C875" s="1" t="s">
        <v>535</v>
      </c>
      <c r="D875" s="1">
        <v>4.8</v>
      </c>
      <c r="E875" s="1">
        <v>11454</v>
      </c>
      <c r="F875" s="1">
        <v>1982</v>
      </c>
    </row>
    <row r="876" spans="1:6" x14ac:dyDescent="0.35">
      <c r="A876" s="1" t="s">
        <v>1495</v>
      </c>
      <c r="B876" s="1" t="s">
        <v>1496</v>
      </c>
      <c r="C876" s="1" t="s">
        <v>577</v>
      </c>
      <c r="D876" s="1">
        <v>4.8</v>
      </c>
      <c r="E876" s="1">
        <v>11449</v>
      </c>
      <c r="F876" s="1">
        <v>2019</v>
      </c>
    </row>
    <row r="877" spans="1:6" x14ac:dyDescent="0.35">
      <c r="A877" s="1" t="s">
        <v>1825</v>
      </c>
      <c r="B877" s="1" t="s">
        <v>1826</v>
      </c>
      <c r="C877" s="1" t="s">
        <v>709</v>
      </c>
      <c r="D877" s="1">
        <v>5</v>
      </c>
      <c r="E877" s="1">
        <v>11416</v>
      </c>
      <c r="F877" s="1">
        <v>2017</v>
      </c>
    </row>
    <row r="878" spans="1:6" x14ac:dyDescent="0.35">
      <c r="A878" s="1" t="s">
        <v>472</v>
      </c>
      <c r="B878" s="1" t="s">
        <v>473</v>
      </c>
      <c r="C878" s="1" t="s">
        <v>474</v>
      </c>
      <c r="D878" s="1">
        <v>3.7</v>
      </c>
      <c r="E878" s="1">
        <v>11416</v>
      </c>
      <c r="F878" s="1">
        <v>2016</v>
      </c>
    </row>
    <row r="879" spans="1:6" x14ac:dyDescent="0.35">
      <c r="A879" s="1" t="s">
        <v>1138</v>
      </c>
      <c r="B879" s="1" t="s">
        <v>1139</v>
      </c>
      <c r="C879" s="1" t="s">
        <v>62</v>
      </c>
      <c r="D879" s="1">
        <v>4.5999999999999996</v>
      </c>
      <c r="E879" s="1">
        <v>11373</v>
      </c>
      <c r="F879" s="1">
        <v>1991</v>
      </c>
    </row>
    <row r="880" spans="1:6" x14ac:dyDescent="0.35">
      <c r="A880" s="1" t="s">
        <v>176</v>
      </c>
      <c r="B880" s="1" t="s">
        <v>177</v>
      </c>
      <c r="C880" s="1" t="s">
        <v>178</v>
      </c>
      <c r="D880" s="1">
        <v>2.5</v>
      </c>
      <c r="E880" s="1">
        <v>11371</v>
      </c>
      <c r="F880" s="1">
        <v>2009</v>
      </c>
    </row>
    <row r="881" spans="1:6" x14ac:dyDescent="0.35">
      <c r="A881" s="1" t="s">
        <v>1827</v>
      </c>
      <c r="B881" s="1" t="s">
        <v>1828</v>
      </c>
      <c r="C881" s="1" t="s">
        <v>584</v>
      </c>
      <c r="D881" s="1">
        <v>5</v>
      </c>
      <c r="E881" s="1">
        <v>11370</v>
      </c>
      <c r="F881" s="1">
        <v>2007</v>
      </c>
    </row>
    <row r="882" spans="1:6" x14ac:dyDescent="0.35">
      <c r="A882" s="1" t="s">
        <v>1300</v>
      </c>
      <c r="B882" s="1" t="s">
        <v>1301</v>
      </c>
      <c r="C882" s="1" t="s">
        <v>116</v>
      </c>
      <c r="D882" s="1">
        <v>4.7</v>
      </c>
      <c r="E882" s="1">
        <v>11368</v>
      </c>
      <c r="F882" s="1">
        <v>2002</v>
      </c>
    </row>
    <row r="883" spans="1:6" x14ac:dyDescent="0.35">
      <c r="A883" s="1" t="s">
        <v>1497</v>
      </c>
      <c r="B883" s="1" t="s">
        <v>1498</v>
      </c>
      <c r="C883" s="1" t="s">
        <v>76</v>
      </c>
      <c r="D883" s="1">
        <v>4.8</v>
      </c>
      <c r="E883" s="1">
        <v>11365</v>
      </c>
      <c r="F883" s="1">
        <v>1988</v>
      </c>
    </row>
    <row r="884" spans="1:6" x14ac:dyDescent="0.35">
      <c r="A884" s="1" t="s">
        <v>1302</v>
      </c>
      <c r="B884" s="1" t="s">
        <v>1303</v>
      </c>
      <c r="C884" s="1" t="s">
        <v>565</v>
      </c>
      <c r="D884" s="1">
        <v>4.7</v>
      </c>
      <c r="E884" s="1">
        <v>11364</v>
      </c>
      <c r="F884" s="1">
        <v>2019</v>
      </c>
    </row>
    <row r="885" spans="1:6" x14ac:dyDescent="0.35">
      <c r="A885" s="1" t="s">
        <v>813</v>
      </c>
      <c r="B885" s="1" t="s">
        <v>814</v>
      </c>
      <c r="C885" s="1" t="s">
        <v>217</v>
      </c>
      <c r="D885" s="1">
        <v>4.3</v>
      </c>
      <c r="E885" s="1">
        <v>11363</v>
      </c>
      <c r="F885" s="1">
        <v>2017</v>
      </c>
    </row>
    <row r="886" spans="1:6" x14ac:dyDescent="0.35">
      <c r="A886" s="1" t="s">
        <v>910</v>
      </c>
      <c r="B886" s="1" t="s">
        <v>911</v>
      </c>
      <c r="C886" s="1" t="s">
        <v>912</v>
      </c>
      <c r="D886" s="1">
        <v>4.4000000000000004</v>
      </c>
      <c r="E886" s="1">
        <v>11349</v>
      </c>
      <c r="F886" s="1">
        <v>2015</v>
      </c>
    </row>
    <row r="887" spans="1:6" x14ac:dyDescent="0.35">
      <c r="A887" s="1" t="s">
        <v>815</v>
      </c>
      <c r="B887" s="1" t="s">
        <v>816</v>
      </c>
      <c r="C887" s="1" t="s">
        <v>243</v>
      </c>
      <c r="D887" s="1">
        <v>4.3</v>
      </c>
      <c r="E887" s="1">
        <v>11309</v>
      </c>
      <c r="F887" s="1">
        <v>2014</v>
      </c>
    </row>
    <row r="888" spans="1:6" x14ac:dyDescent="0.35">
      <c r="A888" s="1" t="s">
        <v>1499</v>
      </c>
      <c r="B888" s="1" t="s">
        <v>1500</v>
      </c>
      <c r="C888" s="1" t="s">
        <v>1501</v>
      </c>
      <c r="D888" s="1">
        <v>4.8</v>
      </c>
      <c r="E888" s="1">
        <v>11300</v>
      </c>
      <c r="F888" s="1">
        <v>1987</v>
      </c>
    </row>
    <row r="889" spans="1:6" x14ac:dyDescent="0.35">
      <c r="A889" s="1" t="s">
        <v>1502</v>
      </c>
      <c r="B889" s="1" t="s">
        <v>1503</v>
      </c>
      <c r="C889" s="1" t="s">
        <v>474</v>
      </c>
      <c r="D889" s="1">
        <v>4.8</v>
      </c>
      <c r="E889" s="1">
        <v>11297</v>
      </c>
      <c r="F889" s="1">
        <v>2015</v>
      </c>
    </row>
    <row r="890" spans="1:6" x14ac:dyDescent="0.35">
      <c r="A890" s="1" t="s">
        <v>737</v>
      </c>
      <c r="B890" s="1" t="s">
        <v>738</v>
      </c>
      <c r="C890" s="1" t="s">
        <v>98</v>
      </c>
      <c r="D890" s="1">
        <v>4.2</v>
      </c>
      <c r="E890" s="1">
        <v>11289</v>
      </c>
      <c r="F890" s="1">
        <v>2004</v>
      </c>
    </row>
    <row r="891" spans="1:6" x14ac:dyDescent="0.35">
      <c r="A891" s="1" t="s">
        <v>580</v>
      </c>
      <c r="B891" s="1" t="s">
        <v>581</v>
      </c>
      <c r="C891" s="1" t="s">
        <v>116</v>
      </c>
      <c r="D891" s="1">
        <v>3.9</v>
      </c>
      <c r="E891" s="1">
        <v>11282</v>
      </c>
      <c r="F891" s="1">
        <v>2020</v>
      </c>
    </row>
    <row r="892" spans="1:6" x14ac:dyDescent="0.35">
      <c r="A892" s="1" t="s">
        <v>1829</v>
      </c>
      <c r="B892" s="1" t="s">
        <v>1830</v>
      </c>
      <c r="C892" s="1" t="s">
        <v>14</v>
      </c>
      <c r="D892" s="1">
        <v>5</v>
      </c>
      <c r="E892" s="1">
        <v>11281</v>
      </c>
      <c r="F892" s="1">
        <v>2021</v>
      </c>
    </row>
    <row r="893" spans="1:6" x14ac:dyDescent="0.35">
      <c r="A893" s="1" t="s">
        <v>1831</v>
      </c>
      <c r="B893" s="1" t="s">
        <v>1832</v>
      </c>
      <c r="C893" s="1" t="s">
        <v>400</v>
      </c>
      <c r="D893" s="1">
        <v>5</v>
      </c>
      <c r="E893" s="1">
        <v>11279</v>
      </c>
      <c r="F893" s="1">
        <v>2005</v>
      </c>
    </row>
    <row r="894" spans="1:6" x14ac:dyDescent="0.35">
      <c r="A894" s="1" t="s">
        <v>1014</v>
      </c>
      <c r="B894" s="1" t="s">
        <v>1015</v>
      </c>
      <c r="C894" s="1" t="s">
        <v>65</v>
      </c>
      <c r="D894" s="1">
        <v>4.5</v>
      </c>
      <c r="E894" s="1">
        <v>11255</v>
      </c>
      <c r="F894" s="1">
        <v>2006</v>
      </c>
    </row>
    <row r="895" spans="1:6" x14ac:dyDescent="0.35">
      <c r="A895" s="1" t="s">
        <v>913</v>
      </c>
      <c r="B895" s="1" t="s">
        <v>914</v>
      </c>
      <c r="C895" s="1" t="s">
        <v>915</v>
      </c>
      <c r="D895" s="1">
        <v>4.4000000000000004</v>
      </c>
      <c r="E895" s="1">
        <v>11206</v>
      </c>
      <c r="F895" s="1">
        <v>2019</v>
      </c>
    </row>
    <row r="896" spans="1:6" x14ac:dyDescent="0.35">
      <c r="A896" s="1" t="s">
        <v>817</v>
      </c>
      <c r="B896" s="1" t="s">
        <v>818</v>
      </c>
      <c r="C896" s="1" t="s">
        <v>211</v>
      </c>
      <c r="D896" s="1">
        <v>4.3</v>
      </c>
      <c r="E896" s="1">
        <v>11182</v>
      </c>
      <c r="F896" s="1">
        <v>2021</v>
      </c>
    </row>
    <row r="897" spans="1:6" x14ac:dyDescent="0.35">
      <c r="A897" s="1" t="s">
        <v>21</v>
      </c>
      <c r="B897" s="1" t="s">
        <v>22</v>
      </c>
      <c r="C897" s="1" t="s">
        <v>23</v>
      </c>
      <c r="D897" s="1">
        <v>1.1000000000000001</v>
      </c>
      <c r="E897" s="1">
        <v>11177</v>
      </c>
      <c r="F897" s="1">
        <v>2022</v>
      </c>
    </row>
    <row r="898" spans="1:6" x14ac:dyDescent="0.35">
      <c r="A898" s="1" t="s">
        <v>1833</v>
      </c>
      <c r="B898" s="1" t="s">
        <v>1834</v>
      </c>
      <c r="C898" s="1" t="s">
        <v>101</v>
      </c>
      <c r="D898" s="1">
        <v>5</v>
      </c>
      <c r="E898" s="1">
        <v>11176</v>
      </c>
      <c r="F898" s="1">
        <v>2011</v>
      </c>
    </row>
    <row r="899" spans="1:6" x14ac:dyDescent="0.35">
      <c r="A899" s="1" t="s">
        <v>1304</v>
      </c>
      <c r="B899" s="1" t="s">
        <v>1305</v>
      </c>
      <c r="C899" s="1" t="s">
        <v>736</v>
      </c>
      <c r="D899" s="1">
        <v>4.7</v>
      </c>
      <c r="E899" s="1">
        <v>11142</v>
      </c>
      <c r="F899" s="1">
        <v>2002</v>
      </c>
    </row>
    <row r="900" spans="1:6" x14ac:dyDescent="0.35">
      <c r="A900" s="1" t="s">
        <v>1140</v>
      </c>
      <c r="B900" s="1" t="s">
        <v>1141</v>
      </c>
      <c r="C900" s="1" t="s">
        <v>146</v>
      </c>
      <c r="D900" s="1">
        <v>4.5999999999999996</v>
      </c>
      <c r="E900" s="1">
        <v>11123</v>
      </c>
      <c r="F900" s="1">
        <v>2018</v>
      </c>
    </row>
    <row r="901" spans="1:6" x14ac:dyDescent="0.35">
      <c r="A901" s="1" t="s">
        <v>1663</v>
      </c>
      <c r="B901" s="1" t="s">
        <v>1664</v>
      </c>
      <c r="C901" s="1" t="s">
        <v>181</v>
      </c>
      <c r="D901" s="1">
        <v>4.9000000000000004</v>
      </c>
      <c r="E901" s="1">
        <v>11121</v>
      </c>
      <c r="F901" s="1">
        <v>2016</v>
      </c>
    </row>
    <row r="902" spans="1:6" x14ac:dyDescent="0.35">
      <c r="A902" s="1" t="s">
        <v>1835</v>
      </c>
      <c r="B902" s="1" t="s">
        <v>1836</v>
      </c>
      <c r="C902" s="1" t="s">
        <v>169</v>
      </c>
      <c r="D902" s="1">
        <v>5</v>
      </c>
      <c r="E902" s="1">
        <v>11113</v>
      </c>
      <c r="F902" s="1">
        <v>2013</v>
      </c>
    </row>
    <row r="903" spans="1:6" x14ac:dyDescent="0.35">
      <c r="A903" s="1" t="s">
        <v>739</v>
      </c>
      <c r="B903" s="1" t="s">
        <v>740</v>
      </c>
      <c r="C903" s="1" t="s">
        <v>146</v>
      </c>
      <c r="D903" s="1">
        <v>4.2</v>
      </c>
      <c r="E903" s="1">
        <v>11108</v>
      </c>
      <c r="F903" s="1">
        <v>2015</v>
      </c>
    </row>
    <row r="904" spans="1:6" x14ac:dyDescent="0.35">
      <c r="A904" s="1" t="s">
        <v>1837</v>
      </c>
      <c r="B904" s="1" t="s">
        <v>1838</v>
      </c>
      <c r="C904" s="1" t="s">
        <v>169</v>
      </c>
      <c r="D904" s="1">
        <v>5</v>
      </c>
      <c r="E904" s="1">
        <v>11097</v>
      </c>
      <c r="F904" s="1">
        <v>2017</v>
      </c>
    </row>
    <row r="905" spans="1:6" x14ac:dyDescent="0.35">
      <c r="A905" s="1" t="s">
        <v>1504</v>
      </c>
      <c r="B905" s="1" t="s">
        <v>1505</v>
      </c>
      <c r="C905" s="1" t="s">
        <v>467</v>
      </c>
      <c r="D905" s="1">
        <v>4.8</v>
      </c>
      <c r="E905" s="1">
        <v>11052</v>
      </c>
      <c r="F905" s="1">
        <v>2012</v>
      </c>
    </row>
    <row r="906" spans="1:6" x14ac:dyDescent="0.35">
      <c r="A906" s="1" t="s">
        <v>2060</v>
      </c>
      <c r="B906" s="1" t="s">
        <v>2061</v>
      </c>
      <c r="C906" s="1" t="s">
        <v>649</v>
      </c>
      <c r="D906" s="1">
        <v>5.0999999999999996</v>
      </c>
      <c r="E906" s="1">
        <v>11052</v>
      </c>
      <c r="F906" s="1">
        <v>1981</v>
      </c>
    </row>
    <row r="907" spans="1:6" x14ac:dyDescent="0.35">
      <c r="A907" s="1" t="s">
        <v>1506</v>
      </c>
      <c r="B907" s="1" t="s">
        <v>1507</v>
      </c>
      <c r="C907" s="1" t="s">
        <v>14</v>
      </c>
      <c r="D907" s="1">
        <v>4.8</v>
      </c>
      <c r="E907" s="1">
        <v>11045</v>
      </c>
      <c r="F907" s="1">
        <v>2012</v>
      </c>
    </row>
    <row r="908" spans="1:6" x14ac:dyDescent="0.35">
      <c r="A908" s="1" t="s">
        <v>2062</v>
      </c>
      <c r="B908" s="1" t="s">
        <v>2063</v>
      </c>
      <c r="C908" s="1" t="s">
        <v>214</v>
      </c>
      <c r="D908" s="1">
        <v>5.0999999999999996</v>
      </c>
      <c r="E908" s="1">
        <v>11034</v>
      </c>
      <c r="F908" s="1">
        <v>2000</v>
      </c>
    </row>
    <row r="909" spans="1:6" x14ac:dyDescent="0.35">
      <c r="A909" s="1" t="s">
        <v>1142</v>
      </c>
      <c r="B909" s="1" t="s">
        <v>1143</v>
      </c>
      <c r="C909" s="1" t="s">
        <v>76</v>
      </c>
      <c r="D909" s="1">
        <v>4.5999999999999996</v>
      </c>
      <c r="E909" s="1">
        <v>11021</v>
      </c>
      <c r="F909" s="1">
        <v>2005</v>
      </c>
    </row>
    <row r="910" spans="1:6" x14ac:dyDescent="0.35">
      <c r="A910" s="1" t="s">
        <v>1839</v>
      </c>
      <c r="B910" s="1" t="s">
        <v>1840</v>
      </c>
      <c r="C910" s="1" t="s">
        <v>56</v>
      </c>
      <c r="D910" s="1">
        <v>5</v>
      </c>
      <c r="E910" s="1">
        <v>11010</v>
      </c>
      <c r="F910" s="1">
        <v>2018</v>
      </c>
    </row>
    <row r="911" spans="1:6" x14ac:dyDescent="0.35">
      <c r="A911" s="1" t="s">
        <v>916</v>
      </c>
      <c r="B911" s="1" t="s">
        <v>917</v>
      </c>
      <c r="C911" s="1" t="s">
        <v>149</v>
      </c>
      <c r="D911" s="1">
        <v>4.4000000000000004</v>
      </c>
      <c r="E911" s="1">
        <v>11010</v>
      </c>
      <c r="F911" s="1">
        <v>2004</v>
      </c>
    </row>
    <row r="912" spans="1:6" x14ac:dyDescent="0.35">
      <c r="A912" s="1" t="s">
        <v>2064</v>
      </c>
      <c r="B912" s="1" t="s">
        <v>2065</v>
      </c>
      <c r="C912" s="1" t="s">
        <v>175</v>
      </c>
      <c r="D912" s="1">
        <v>5.0999999999999996</v>
      </c>
      <c r="E912" s="1">
        <v>10977</v>
      </c>
      <c r="F912" s="1">
        <v>2005</v>
      </c>
    </row>
    <row r="913" spans="1:6" x14ac:dyDescent="0.35">
      <c r="A913" s="1" t="s">
        <v>2066</v>
      </c>
      <c r="B913" s="1" t="s">
        <v>2067</v>
      </c>
      <c r="C913" s="1" t="s">
        <v>128</v>
      </c>
      <c r="D913" s="1">
        <v>5.0999999999999996</v>
      </c>
      <c r="E913" s="1">
        <v>10969</v>
      </c>
      <c r="F913" s="1">
        <v>2008</v>
      </c>
    </row>
    <row r="914" spans="1:6" x14ac:dyDescent="0.35">
      <c r="A914" s="1" t="s">
        <v>1306</v>
      </c>
      <c r="B914" s="1" t="s">
        <v>1307</v>
      </c>
      <c r="C914" s="1" t="s">
        <v>565</v>
      </c>
      <c r="D914" s="1">
        <v>4.7</v>
      </c>
      <c r="E914" s="1">
        <v>10960</v>
      </c>
      <c r="F914" s="1">
        <v>2022</v>
      </c>
    </row>
    <row r="915" spans="1:6" x14ac:dyDescent="0.35">
      <c r="A915" s="1" t="s">
        <v>1665</v>
      </c>
      <c r="B915" s="1" t="s">
        <v>1666</v>
      </c>
      <c r="C915" s="1" t="s">
        <v>843</v>
      </c>
      <c r="D915" s="1">
        <v>4.9000000000000004</v>
      </c>
      <c r="E915" s="1">
        <v>10955</v>
      </c>
      <c r="F915" s="1">
        <v>2010</v>
      </c>
    </row>
    <row r="916" spans="1:6" x14ac:dyDescent="0.35">
      <c r="A916" s="1" t="s">
        <v>1144</v>
      </c>
      <c r="B916" s="1" t="s">
        <v>1145</v>
      </c>
      <c r="C916" s="1" t="s">
        <v>82</v>
      </c>
      <c r="D916" s="1">
        <v>4.5999999999999996</v>
      </c>
      <c r="E916" s="1">
        <v>10942</v>
      </c>
      <c r="F916" s="1">
        <v>2022</v>
      </c>
    </row>
    <row r="917" spans="1:6" x14ac:dyDescent="0.35">
      <c r="A917" s="1" t="s">
        <v>1308</v>
      </c>
      <c r="B917" s="1" t="s">
        <v>1309</v>
      </c>
      <c r="C917" s="1" t="s">
        <v>270</v>
      </c>
      <c r="D917" s="1">
        <v>4.7</v>
      </c>
      <c r="E917" s="1">
        <v>10942</v>
      </c>
      <c r="F917" s="1">
        <v>1997</v>
      </c>
    </row>
    <row r="918" spans="1:6" x14ac:dyDescent="0.35">
      <c r="A918" s="1" t="s">
        <v>437</v>
      </c>
      <c r="B918" s="1" t="s">
        <v>438</v>
      </c>
      <c r="C918" s="1" t="s">
        <v>227</v>
      </c>
      <c r="D918" s="1">
        <v>3.6</v>
      </c>
      <c r="E918" s="1">
        <v>10937</v>
      </c>
      <c r="F918" s="1">
        <v>2024</v>
      </c>
    </row>
    <row r="919" spans="1:6" x14ac:dyDescent="0.35">
      <c r="A919" s="1" t="s">
        <v>1310</v>
      </c>
      <c r="B919" s="1" t="s">
        <v>1311</v>
      </c>
      <c r="C919" s="1" t="s">
        <v>762</v>
      </c>
      <c r="D919" s="1">
        <v>4.7</v>
      </c>
      <c r="E919" s="1">
        <v>10923</v>
      </c>
      <c r="F919" s="1">
        <v>1997</v>
      </c>
    </row>
    <row r="920" spans="1:6" x14ac:dyDescent="0.35">
      <c r="A920" s="1" t="s">
        <v>819</v>
      </c>
      <c r="B920" s="1" t="s">
        <v>820</v>
      </c>
      <c r="C920" s="1" t="s">
        <v>56</v>
      </c>
      <c r="D920" s="1">
        <v>4.3</v>
      </c>
      <c r="E920" s="1">
        <v>10914</v>
      </c>
      <c r="F920" s="1">
        <v>2021</v>
      </c>
    </row>
    <row r="921" spans="1:6" x14ac:dyDescent="0.35">
      <c r="A921" s="1" t="s">
        <v>623</v>
      </c>
      <c r="B921" s="1" t="s">
        <v>624</v>
      </c>
      <c r="C921" s="1" t="s">
        <v>125</v>
      </c>
      <c r="D921" s="1">
        <v>4</v>
      </c>
      <c r="E921" s="1">
        <v>10894</v>
      </c>
      <c r="F921" s="1">
        <v>2021</v>
      </c>
    </row>
    <row r="922" spans="1:6" x14ac:dyDescent="0.35">
      <c r="A922" s="1" t="s">
        <v>582</v>
      </c>
      <c r="B922" s="1" t="s">
        <v>583</v>
      </c>
      <c r="C922" s="1" t="s">
        <v>584</v>
      </c>
      <c r="D922" s="1">
        <v>3.9</v>
      </c>
      <c r="E922" s="1">
        <v>10882</v>
      </c>
      <c r="F922" s="1">
        <v>2016</v>
      </c>
    </row>
    <row r="923" spans="1:6" x14ac:dyDescent="0.35">
      <c r="A923" s="1" t="s">
        <v>2068</v>
      </c>
      <c r="B923" s="1" t="s">
        <v>2069</v>
      </c>
      <c r="C923" s="1" t="s">
        <v>217</v>
      </c>
      <c r="D923" s="1">
        <v>5.0999999999999996</v>
      </c>
      <c r="E923" s="1">
        <v>10876</v>
      </c>
      <c r="F923" s="1">
        <v>2023</v>
      </c>
    </row>
    <row r="924" spans="1:6" x14ac:dyDescent="0.35">
      <c r="A924" s="1" t="s">
        <v>741</v>
      </c>
      <c r="B924" s="1" t="s">
        <v>742</v>
      </c>
      <c r="C924" s="1" t="s">
        <v>181</v>
      </c>
      <c r="D924" s="1">
        <v>4.2</v>
      </c>
      <c r="E924" s="1">
        <v>10869</v>
      </c>
      <c r="F924" s="1">
        <v>2012</v>
      </c>
    </row>
    <row r="925" spans="1:6" x14ac:dyDescent="0.35">
      <c r="A925" s="1" t="s">
        <v>1016</v>
      </c>
      <c r="B925" s="1" t="s">
        <v>1017</v>
      </c>
      <c r="C925" s="1" t="s">
        <v>349</v>
      </c>
      <c r="D925" s="1">
        <v>4.5</v>
      </c>
      <c r="E925" s="1">
        <v>10852</v>
      </c>
      <c r="F925" s="1">
        <v>2008</v>
      </c>
    </row>
    <row r="926" spans="1:6" x14ac:dyDescent="0.35">
      <c r="A926" s="1" t="s">
        <v>2070</v>
      </c>
      <c r="B926" s="1" t="s">
        <v>2071</v>
      </c>
      <c r="C926" s="1" t="s">
        <v>82</v>
      </c>
      <c r="D926" s="1">
        <v>5.0999999999999996</v>
      </c>
      <c r="E926" s="1">
        <v>10850</v>
      </c>
      <c r="F926" s="1">
        <v>2011</v>
      </c>
    </row>
    <row r="927" spans="1:6" x14ac:dyDescent="0.35">
      <c r="A927" s="1" t="s">
        <v>2072</v>
      </c>
      <c r="B927" s="1" t="s">
        <v>2073</v>
      </c>
      <c r="C927" s="1" t="s">
        <v>8</v>
      </c>
      <c r="D927" s="1">
        <v>5.0999999999999996</v>
      </c>
      <c r="E927" s="1">
        <v>10816</v>
      </c>
      <c r="F927" s="1">
        <v>2020</v>
      </c>
    </row>
    <row r="928" spans="1:6" x14ac:dyDescent="0.35">
      <c r="A928" s="1" t="s">
        <v>1312</v>
      </c>
      <c r="B928" s="1" t="s">
        <v>1313</v>
      </c>
      <c r="C928" s="1" t="s">
        <v>56</v>
      </c>
      <c r="D928" s="1">
        <v>4.7</v>
      </c>
      <c r="E928" s="1">
        <v>10813</v>
      </c>
      <c r="F928" s="1">
        <v>2012</v>
      </c>
    </row>
    <row r="929" spans="1:6" x14ac:dyDescent="0.35">
      <c r="A929" s="1" t="s">
        <v>1314</v>
      </c>
      <c r="B929" s="1" t="s">
        <v>1315</v>
      </c>
      <c r="C929" s="1" t="s">
        <v>646</v>
      </c>
      <c r="D929" s="1">
        <v>4.7</v>
      </c>
      <c r="E929" s="1">
        <v>10802</v>
      </c>
      <c r="F929" s="1">
        <v>2009</v>
      </c>
    </row>
    <row r="930" spans="1:6" x14ac:dyDescent="0.35">
      <c r="A930" s="1" t="s">
        <v>1316</v>
      </c>
      <c r="B930" s="1" t="s">
        <v>1317</v>
      </c>
      <c r="C930" s="1" t="s">
        <v>208</v>
      </c>
      <c r="D930" s="1">
        <v>4.7</v>
      </c>
      <c r="E930" s="1">
        <v>10789</v>
      </c>
      <c r="F930" s="1">
        <v>2020</v>
      </c>
    </row>
    <row r="931" spans="1:6" x14ac:dyDescent="0.35">
      <c r="A931" s="1" t="s">
        <v>2074</v>
      </c>
      <c r="B931" s="1" t="s">
        <v>2075</v>
      </c>
      <c r="C931" s="1" t="s">
        <v>1900</v>
      </c>
      <c r="D931" s="1">
        <v>5.0999999999999996</v>
      </c>
      <c r="E931" s="1">
        <v>10769</v>
      </c>
      <c r="F931" s="1">
        <v>1980</v>
      </c>
    </row>
    <row r="932" spans="1:6" x14ac:dyDescent="0.35">
      <c r="A932" s="1" t="s">
        <v>1508</v>
      </c>
      <c r="B932" s="1" t="s">
        <v>1509</v>
      </c>
      <c r="C932" s="1" t="s">
        <v>214</v>
      </c>
      <c r="D932" s="1">
        <v>4.8</v>
      </c>
      <c r="E932" s="1">
        <v>10755</v>
      </c>
      <c r="F932" s="1">
        <v>1997</v>
      </c>
    </row>
    <row r="933" spans="1:6" x14ac:dyDescent="0.35">
      <c r="A933" s="1" t="s">
        <v>2076</v>
      </c>
      <c r="B933" s="1" t="s">
        <v>2077</v>
      </c>
      <c r="C933" s="1" t="s">
        <v>146</v>
      </c>
      <c r="D933" s="1">
        <v>5.0999999999999996</v>
      </c>
      <c r="E933" s="1">
        <v>10754</v>
      </c>
      <c r="F933" s="1">
        <v>1994</v>
      </c>
    </row>
    <row r="934" spans="1:6" x14ac:dyDescent="0.35">
      <c r="A934" s="1" t="s">
        <v>821</v>
      </c>
      <c r="B934" s="1" t="s">
        <v>822</v>
      </c>
      <c r="C934" s="1" t="s">
        <v>376</v>
      </c>
      <c r="D934" s="1">
        <v>4.3</v>
      </c>
      <c r="E934" s="1">
        <v>10733</v>
      </c>
      <c r="F934" s="1">
        <v>2000</v>
      </c>
    </row>
    <row r="935" spans="1:6" x14ac:dyDescent="0.35">
      <c r="A935" s="1" t="s">
        <v>237</v>
      </c>
      <c r="B935" s="1" t="s">
        <v>238</v>
      </c>
      <c r="C935" s="1" t="s">
        <v>208</v>
      </c>
      <c r="D935" s="1">
        <v>2.8</v>
      </c>
      <c r="E935" s="1">
        <v>10728</v>
      </c>
      <c r="F935" s="1">
        <v>2022</v>
      </c>
    </row>
    <row r="936" spans="1:6" x14ac:dyDescent="0.35">
      <c r="A936" s="1" t="s">
        <v>1018</v>
      </c>
      <c r="B936" s="1" t="s">
        <v>1019</v>
      </c>
      <c r="C936" s="1" t="s">
        <v>1020</v>
      </c>
      <c r="D936" s="1">
        <v>4.5</v>
      </c>
      <c r="E936" s="1">
        <v>10713</v>
      </c>
      <c r="F936" s="1">
        <v>2007</v>
      </c>
    </row>
    <row r="937" spans="1:6" x14ac:dyDescent="0.35">
      <c r="A937" s="1" t="s">
        <v>1510</v>
      </c>
      <c r="B937" s="1" t="s">
        <v>1511</v>
      </c>
      <c r="C937" s="1" t="s">
        <v>804</v>
      </c>
      <c r="D937" s="1">
        <v>4.8</v>
      </c>
      <c r="E937" s="1">
        <v>10710</v>
      </c>
      <c r="F937" s="1">
        <v>2010</v>
      </c>
    </row>
    <row r="938" spans="1:6" x14ac:dyDescent="0.35">
      <c r="A938" s="1" t="s">
        <v>1146</v>
      </c>
      <c r="B938" s="1" t="s">
        <v>1147</v>
      </c>
      <c r="C938" s="1" t="s">
        <v>178</v>
      </c>
      <c r="D938" s="1">
        <v>4.5999999999999996</v>
      </c>
      <c r="E938" s="1">
        <v>10686</v>
      </c>
      <c r="F938" s="1">
        <v>1986</v>
      </c>
    </row>
    <row r="939" spans="1:6" x14ac:dyDescent="0.35">
      <c r="A939" s="1" t="s">
        <v>257</v>
      </c>
      <c r="B939" s="1" t="s">
        <v>258</v>
      </c>
      <c r="C939" s="1" t="s">
        <v>143</v>
      </c>
      <c r="D939" s="1">
        <v>2.9</v>
      </c>
      <c r="E939" s="1">
        <v>10685</v>
      </c>
      <c r="F939" s="1">
        <v>2020</v>
      </c>
    </row>
    <row r="940" spans="1:6" x14ac:dyDescent="0.35">
      <c r="A940" s="1" t="s">
        <v>315</v>
      </c>
      <c r="B940" s="1" t="s">
        <v>316</v>
      </c>
      <c r="C940" s="1" t="s">
        <v>11</v>
      </c>
      <c r="D940" s="1">
        <v>3.2</v>
      </c>
      <c r="E940" s="1">
        <v>10677</v>
      </c>
      <c r="F940" s="1">
        <v>2017</v>
      </c>
    </row>
    <row r="941" spans="1:6" x14ac:dyDescent="0.35">
      <c r="A941" s="1" t="s">
        <v>38</v>
      </c>
      <c r="B941" s="1" t="s">
        <v>39</v>
      </c>
      <c r="C941" s="1" t="s">
        <v>20</v>
      </c>
      <c r="D941" s="1">
        <v>1.2</v>
      </c>
      <c r="E941" s="1">
        <v>10674</v>
      </c>
      <c r="F941" s="1">
        <v>2023</v>
      </c>
    </row>
    <row r="942" spans="1:6" x14ac:dyDescent="0.35">
      <c r="A942" s="1" t="s">
        <v>1148</v>
      </c>
      <c r="B942" s="1" t="s">
        <v>1149</v>
      </c>
      <c r="C942" s="1" t="s">
        <v>208</v>
      </c>
      <c r="D942" s="1">
        <v>4.5999999999999996</v>
      </c>
      <c r="E942" s="1">
        <v>10673</v>
      </c>
      <c r="F942" s="1">
        <v>2018</v>
      </c>
    </row>
    <row r="943" spans="1:6" x14ac:dyDescent="0.35">
      <c r="A943" s="1" t="s">
        <v>743</v>
      </c>
      <c r="B943" s="1" t="s">
        <v>744</v>
      </c>
      <c r="C943" s="1" t="s">
        <v>270</v>
      </c>
      <c r="D943" s="1">
        <v>4.2</v>
      </c>
      <c r="E943" s="1">
        <v>10673</v>
      </c>
      <c r="F943" s="1">
        <v>1984</v>
      </c>
    </row>
    <row r="944" spans="1:6" x14ac:dyDescent="0.35">
      <c r="A944" s="1" t="s">
        <v>1667</v>
      </c>
      <c r="B944" s="1" t="s">
        <v>1668</v>
      </c>
      <c r="C944" s="1" t="s">
        <v>31</v>
      </c>
      <c r="D944" s="1">
        <v>4.9000000000000004</v>
      </c>
      <c r="E944" s="1">
        <v>10665</v>
      </c>
      <c r="F944" s="1">
        <v>2005</v>
      </c>
    </row>
    <row r="945" spans="1:6" x14ac:dyDescent="0.35">
      <c r="A945" s="1" t="s">
        <v>520</v>
      </c>
      <c r="B945" s="1" t="s">
        <v>521</v>
      </c>
      <c r="C945" s="1" t="s">
        <v>122</v>
      </c>
      <c r="D945" s="1">
        <v>3.8</v>
      </c>
      <c r="E945" s="1">
        <v>10644</v>
      </c>
      <c r="F945" s="1">
        <v>2019</v>
      </c>
    </row>
    <row r="946" spans="1:6" x14ac:dyDescent="0.35">
      <c r="A946" s="1" t="s">
        <v>2078</v>
      </c>
      <c r="B946" s="1" t="s">
        <v>2079</v>
      </c>
      <c r="C946" s="1" t="s">
        <v>26</v>
      </c>
      <c r="D946" s="1">
        <v>5.0999999999999996</v>
      </c>
      <c r="E946" s="1">
        <v>10639</v>
      </c>
      <c r="F946" s="1">
        <v>2023</v>
      </c>
    </row>
    <row r="947" spans="1:6" x14ac:dyDescent="0.35">
      <c r="A947" s="1" t="s">
        <v>1669</v>
      </c>
      <c r="B947" s="1" t="s">
        <v>1670</v>
      </c>
      <c r="C947" s="1" t="s">
        <v>1671</v>
      </c>
      <c r="D947" s="1">
        <v>4.9000000000000004</v>
      </c>
      <c r="E947" s="1">
        <v>10637</v>
      </c>
      <c r="F947" s="1">
        <v>2005</v>
      </c>
    </row>
    <row r="948" spans="1:6" x14ac:dyDescent="0.35">
      <c r="A948" s="1" t="s">
        <v>823</v>
      </c>
      <c r="B948" s="1" t="s">
        <v>824</v>
      </c>
      <c r="C948" s="1" t="s">
        <v>166</v>
      </c>
      <c r="D948" s="1">
        <v>4.3</v>
      </c>
      <c r="E948" s="1">
        <v>10617</v>
      </c>
      <c r="F948" s="1">
        <v>2015</v>
      </c>
    </row>
    <row r="949" spans="1:6" x14ac:dyDescent="0.35">
      <c r="A949" s="1" t="s">
        <v>398</v>
      </c>
      <c r="B949" s="1" t="s">
        <v>399</v>
      </c>
      <c r="C949" s="1" t="s">
        <v>400</v>
      </c>
      <c r="D949" s="1">
        <v>3.5</v>
      </c>
      <c r="E949" s="1">
        <v>10590</v>
      </c>
      <c r="F949" s="1">
        <v>2019</v>
      </c>
    </row>
    <row r="950" spans="1:6" x14ac:dyDescent="0.35">
      <c r="A950" s="1" t="s">
        <v>239</v>
      </c>
      <c r="B950" s="1" t="s">
        <v>240</v>
      </c>
      <c r="C950" s="1" t="s">
        <v>11</v>
      </c>
      <c r="D950" s="1">
        <v>2.8</v>
      </c>
      <c r="E950" s="1">
        <v>10574</v>
      </c>
      <c r="F950" s="1">
        <v>1994</v>
      </c>
    </row>
    <row r="951" spans="1:6" x14ac:dyDescent="0.35">
      <c r="A951" s="1" t="s">
        <v>259</v>
      </c>
      <c r="B951" s="1" t="s">
        <v>260</v>
      </c>
      <c r="C951" s="1" t="s">
        <v>261</v>
      </c>
      <c r="D951" s="1">
        <v>2.9</v>
      </c>
      <c r="E951" s="1">
        <v>10570</v>
      </c>
      <c r="F951" s="1">
        <v>1991</v>
      </c>
    </row>
    <row r="952" spans="1:6" x14ac:dyDescent="0.35">
      <c r="A952" s="1" t="s">
        <v>1841</v>
      </c>
      <c r="B952" s="1" t="s">
        <v>1842</v>
      </c>
      <c r="C952" s="1" t="s">
        <v>1020</v>
      </c>
      <c r="D952" s="1">
        <v>5</v>
      </c>
      <c r="E952" s="1">
        <v>10539</v>
      </c>
      <c r="F952" s="1">
        <v>2008</v>
      </c>
    </row>
    <row r="953" spans="1:6" x14ac:dyDescent="0.35">
      <c r="A953" s="1" t="s">
        <v>110</v>
      </c>
      <c r="B953" s="1" t="s">
        <v>111</v>
      </c>
      <c r="C953" s="1" t="s">
        <v>98</v>
      </c>
      <c r="D953" s="1">
        <v>1.9</v>
      </c>
      <c r="E953" s="1">
        <v>10499</v>
      </c>
      <c r="F953" s="1">
        <v>1961</v>
      </c>
    </row>
    <row r="954" spans="1:6" x14ac:dyDescent="0.35">
      <c r="A954" s="1" t="s">
        <v>745</v>
      </c>
      <c r="B954" s="1" t="s">
        <v>746</v>
      </c>
      <c r="C954" s="1" t="s">
        <v>747</v>
      </c>
      <c r="D954" s="1">
        <v>4.2</v>
      </c>
      <c r="E954" s="1">
        <v>10487</v>
      </c>
      <c r="F954" s="1">
        <v>2020</v>
      </c>
    </row>
    <row r="955" spans="1:6" x14ac:dyDescent="0.35">
      <c r="A955" s="1" t="s">
        <v>1150</v>
      </c>
      <c r="B955" s="1" t="s">
        <v>1151</v>
      </c>
      <c r="C955" s="1" t="s">
        <v>101</v>
      </c>
      <c r="D955" s="1">
        <v>4.5999999999999996</v>
      </c>
      <c r="E955" s="1">
        <v>10475</v>
      </c>
      <c r="F955" s="1">
        <v>1991</v>
      </c>
    </row>
    <row r="956" spans="1:6" x14ac:dyDescent="0.35">
      <c r="A956" s="1" t="s">
        <v>1843</v>
      </c>
      <c r="B956" s="1" t="s">
        <v>1844</v>
      </c>
      <c r="C956" s="1" t="s">
        <v>31</v>
      </c>
      <c r="D956" s="1">
        <v>5</v>
      </c>
      <c r="E956" s="1">
        <v>10469</v>
      </c>
      <c r="F956" s="1">
        <v>2013</v>
      </c>
    </row>
    <row r="957" spans="1:6" x14ac:dyDescent="0.35">
      <c r="A957" s="1" t="s">
        <v>1152</v>
      </c>
      <c r="B957" s="1" t="s">
        <v>1153</v>
      </c>
      <c r="C957" s="1" t="s">
        <v>395</v>
      </c>
      <c r="D957" s="1">
        <v>4.5999999999999996</v>
      </c>
      <c r="E957" s="1">
        <v>10445</v>
      </c>
      <c r="F957" s="1">
        <v>2018</v>
      </c>
    </row>
    <row r="958" spans="1:6" x14ac:dyDescent="0.35">
      <c r="A958" s="1" t="s">
        <v>1154</v>
      </c>
      <c r="B958" s="1" t="s">
        <v>1155</v>
      </c>
      <c r="C958" s="1" t="s">
        <v>577</v>
      </c>
      <c r="D958" s="1">
        <v>4.5999999999999996</v>
      </c>
      <c r="E958" s="1">
        <v>10442</v>
      </c>
      <c r="F958" s="1">
        <v>2021</v>
      </c>
    </row>
    <row r="959" spans="1:6" x14ac:dyDescent="0.35">
      <c r="A959" s="1" t="s">
        <v>199</v>
      </c>
      <c r="B959" s="1" t="s">
        <v>200</v>
      </c>
      <c r="C959" s="1" t="s">
        <v>143</v>
      </c>
      <c r="D959" s="1">
        <v>2.6</v>
      </c>
      <c r="E959" s="1">
        <v>10442</v>
      </c>
      <c r="F959" s="1">
        <v>1995</v>
      </c>
    </row>
    <row r="960" spans="1:6" x14ac:dyDescent="0.35">
      <c r="A960" s="1" t="s">
        <v>625</v>
      </c>
      <c r="B960" s="1" t="s">
        <v>626</v>
      </c>
      <c r="C960" s="1" t="s">
        <v>462</v>
      </c>
      <c r="D960" s="1">
        <v>4</v>
      </c>
      <c r="E960" s="1">
        <v>10435</v>
      </c>
      <c r="F960" s="1">
        <v>2019</v>
      </c>
    </row>
    <row r="961" spans="1:6" x14ac:dyDescent="0.35">
      <c r="A961" s="1" t="s">
        <v>1318</v>
      </c>
      <c r="B961" s="1" t="s">
        <v>1319</v>
      </c>
      <c r="C961" s="1" t="s">
        <v>128</v>
      </c>
      <c r="D961" s="1">
        <v>4.7</v>
      </c>
      <c r="E961" s="1">
        <v>10423</v>
      </c>
      <c r="F961" s="1">
        <v>2010</v>
      </c>
    </row>
    <row r="962" spans="1:6" x14ac:dyDescent="0.35">
      <c r="A962" s="1" t="s">
        <v>918</v>
      </c>
      <c r="B962" s="1" t="s">
        <v>919</v>
      </c>
      <c r="C962" s="1" t="s">
        <v>155</v>
      </c>
      <c r="D962" s="1">
        <v>4.4000000000000004</v>
      </c>
      <c r="E962" s="1">
        <v>10415</v>
      </c>
      <c r="F962" s="1">
        <v>2006</v>
      </c>
    </row>
    <row r="963" spans="1:6" x14ac:dyDescent="0.35">
      <c r="A963" s="1" t="s">
        <v>1512</v>
      </c>
      <c r="B963" s="1" t="s">
        <v>1513</v>
      </c>
      <c r="C963" s="1" t="s">
        <v>1514</v>
      </c>
      <c r="D963" s="1">
        <v>4.8</v>
      </c>
      <c r="E963" s="1">
        <v>10405</v>
      </c>
      <c r="F963" s="1">
        <v>2019</v>
      </c>
    </row>
    <row r="964" spans="1:6" x14ac:dyDescent="0.35">
      <c r="A964" s="1" t="s">
        <v>439</v>
      </c>
      <c r="B964" s="1" t="s">
        <v>440</v>
      </c>
      <c r="C964" s="1" t="s">
        <v>441</v>
      </c>
      <c r="D964" s="1">
        <v>3.6</v>
      </c>
      <c r="E964" s="1">
        <v>10390</v>
      </c>
      <c r="F964" s="1">
        <v>2021</v>
      </c>
    </row>
    <row r="965" spans="1:6" x14ac:dyDescent="0.35">
      <c r="A965" s="1" t="s">
        <v>241</v>
      </c>
      <c r="B965" s="1" t="s">
        <v>242</v>
      </c>
      <c r="C965" s="1" t="s">
        <v>243</v>
      </c>
      <c r="D965" s="1">
        <v>2.8</v>
      </c>
      <c r="E965" s="1">
        <v>10389</v>
      </c>
      <c r="F965" s="1">
        <v>2023</v>
      </c>
    </row>
    <row r="966" spans="1:6" x14ac:dyDescent="0.35">
      <c r="A966" s="1" t="s">
        <v>40</v>
      </c>
      <c r="B966" s="1" t="s">
        <v>41</v>
      </c>
      <c r="C966" s="1" t="s">
        <v>11</v>
      </c>
      <c r="D966" s="1">
        <v>1.2</v>
      </c>
      <c r="E966" s="1">
        <v>10378</v>
      </c>
      <c r="F966" s="1">
        <v>2018</v>
      </c>
    </row>
    <row r="967" spans="1:6" x14ac:dyDescent="0.35">
      <c r="A967" s="1" t="s">
        <v>2080</v>
      </c>
      <c r="B967" s="1" t="s">
        <v>2081</v>
      </c>
      <c r="C967" s="1" t="s">
        <v>467</v>
      </c>
      <c r="D967" s="1">
        <v>5.0999999999999996</v>
      </c>
      <c r="E967" s="1">
        <v>10359</v>
      </c>
      <c r="F967" s="1">
        <v>2022</v>
      </c>
    </row>
    <row r="968" spans="1:6" x14ac:dyDescent="0.35">
      <c r="A968" s="1" t="s">
        <v>522</v>
      </c>
      <c r="B968" s="1" t="s">
        <v>523</v>
      </c>
      <c r="C968" s="1" t="s">
        <v>524</v>
      </c>
      <c r="D968" s="1">
        <v>3.8</v>
      </c>
      <c r="E968" s="1">
        <v>10355</v>
      </c>
      <c r="F968" s="1">
        <v>1993</v>
      </c>
    </row>
    <row r="969" spans="1:6" x14ac:dyDescent="0.35">
      <c r="A969" s="1" t="s">
        <v>2082</v>
      </c>
      <c r="B969" s="1" t="s">
        <v>2083</v>
      </c>
      <c r="C969" s="1" t="s">
        <v>270</v>
      </c>
      <c r="D969" s="1">
        <v>5.0999999999999996</v>
      </c>
      <c r="E969" s="1">
        <v>10334</v>
      </c>
      <c r="F969" s="1">
        <v>2007</v>
      </c>
    </row>
    <row r="970" spans="1:6" x14ac:dyDescent="0.35">
      <c r="A970" s="1" t="s">
        <v>627</v>
      </c>
      <c r="B970" s="1" t="s">
        <v>628</v>
      </c>
      <c r="C970" s="1" t="s">
        <v>14</v>
      </c>
      <c r="D970" s="1">
        <v>4</v>
      </c>
      <c r="E970" s="1">
        <v>10323</v>
      </c>
      <c r="F970" s="1">
        <v>2021</v>
      </c>
    </row>
    <row r="971" spans="1:6" x14ac:dyDescent="0.35">
      <c r="A971" s="1" t="s">
        <v>2084</v>
      </c>
      <c r="B971" s="1" t="s">
        <v>2085</v>
      </c>
      <c r="C971" s="1" t="s">
        <v>1446</v>
      </c>
      <c r="D971" s="1">
        <v>5.0999999999999996</v>
      </c>
      <c r="E971" s="1">
        <v>10321</v>
      </c>
      <c r="F971" s="1">
        <v>1988</v>
      </c>
    </row>
    <row r="972" spans="1:6" x14ac:dyDescent="0.35">
      <c r="A972" s="1" t="s">
        <v>364</v>
      </c>
      <c r="B972" s="1" t="s">
        <v>365</v>
      </c>
      <c r="C972" s="1" t="s">
        <v>65</v>
      </c>
      <c r="D972" s="1">
        <v>3.4</v>
      </c>
      <c r="E972" s="1">
        <v>10288</v>
      </c>
      <c r="F972" s="1">
        <v>2016</v>
      </c>
    </row>
    <row r="973" spans="1:6" x14ac:dyDescent="0.35">
      <c r="A973" s="1" t="s">
        <v>1515</v>
      </c>
      <c r="B973" s="1" t="s">
        <v>1516</v>
      </c>
      <c r="C973" s="1" t="s">
        <v>933</v>
      </c>
      <c r="D973" s="1">
        <v>4.8</v>
      </c>
      <c r="E973" s="1">
        <v>10241</v>
      </c>
      <c r="F973" s="1">
        <v>2002</v>
      </c>
    </row>
    <row r="974" spans="1:6" x14ac:dyDescent="0.35">
      <c r="A974" s="1" t="s">
        <v>585</v>
      </c>
      <c r="B974" s="1" t="s">
        <v>586</v>
      </c>
      <c r="C974" s="1" t="s">
        <v>584</v>
      </c>
      <c r="D974" s="1">
        <v>3.9</v>
      </c>
      <c r="E974" s="1">
        <v>10232</v>
      </c>
      <c r="F974" s="1">
        <v>2008</v>
      </c>
    </row>
    <row r="975" spans="1:6" x14ac:dyDescent="0.35">
      <c r="A975" s="1" t="s">
        <v>2086</v>
      </c>
      <c r="B975" s="1" t="s">
        <v>2087</v>
      </c>
      <c r="C975" s="1" t="s">
        <v>146</v>
      </c>
      <c r="D975" s="1">
        <v>5.0999999999999996</v>
      </c>
      <c r="E975" s="1">
        <v>10231</v>
      </c>
      <c r="F975" s="1">
        <v>2002</v>
      </c>
    </row>
    <row r="976" spans="1:6" x14ac:dyDescent="0.35">
      <c r="A976" s="1" t="s">
        <v>2088</v>
      </c>
      <c r="B976" s="1" t="s">
        <v>2089</v>
      </c>
      <c r="C976" s="1" t="s">
        <v>2090</v>
      </c>
      <c r="D976" s="1">
        <v>5.0999999999999996</v>
      </c>
      <c r="E976" s="1">
        <v>10227</v>
      </c>
      <c r="F976" s="1">
        <v>2024</v>
      </c>
    </row>
    <row r="977" spans="1:6" x14ac:dyDescent="0.35">
      <c r="A977" s="1" t="s">
        <v>1517</v>
      </c>
      <c r="B977" s="1" t="s">
        <v>1518</v>
      </c>
      <c r="C977" s="1" t="s">
        <v>175</v>
      </c>
      <c r="D977" s="1">
        <v>4.8</v>
      </c>
      <c r="E977" s="1">
        <v>10219</v>
      </c>
      <c r="F977" s="1">
        <v>2019</v>
      </c>
    </row>
    <row r="978" spans="1:6" x14ac:dyDescent="0.35">
      <c r="A978" s="1" t="s">
        <v>12</v>
      </c>
      <c r="B978" s="1" t="s">
        <v>13</v>
      </c>
      <c r="C978" s="1" t="s">
        <v>14</v>
      </c>
      <c r="D978" s="1">
        <v>1</v>
      </c>
      <c r="E978" s="1">
        <v>10215</v>
      </c>
      <c r="F978" s="1">
        <v>2020</v>
      </c>
    </row>
    <row r="979" spans="1:6" x14ac:dyDescent="0.35">
      <c r="A979" s="1" t="s">
        <v>223</v>
      </c>
      <c r="B979" s="1" t="s">
        <v>224</v>
      </c>
      <c r="C979" s="1" t="s">
        <v>76</v>
      </c>
      <c r="D979" s="1">
        <v>2.7</v>
      </c>
      <c r="E979" s="1">
        <v>10209</v>
      </c>
      <c r="F979" s="1">
        <v>2011</v>
      </c>
    </row>
    <row r="980" spans="1:6" x14ac:dyDescent="0.35">
      <c r="A980" s="1" t="s">
        <v>1672</v>
      </c>
      <c r="B980" s="1" t="s">
        <v>1673</v>
      </c>
      <c r="C980" s="1" t="s">
        <v>211</v>
      </c>
      <c r="D980" s="1">
        <v>4.9000000000000004</v>
      </c>
      <c r="E980" s="1">
        <v>10203</v>
      </c>
      <c r="F980" s="1">
        <v>2013</v>
      </c>
    </row>
    <row r="981" spans="1:6" x14ac:dyDescent="0.35">
      <c r="A981" s="1" t="s">
        <v>2091</v>
      </c>
      <c r="B981" s="1" t="s">
        <v>2092</v>
      </c>
      <c r="C981" s="1" t="s">
        <v>2093</v>
      </c>
      <c r="D981" s="1">
        <v>5.0999999999999996</v>
      </c>
      <c r="E981" s="1">
        <v>10183</v>
      </c>
      <c r="F981" s="1">
        <v>2013</v>
      </c>
    </row>
    <row r="982" spans="1:6" x14ac:dyDescent="0.35">
      <c r="A982" s="1" t="s">
        <v>920</v>
      </c>
      <c r="B982" s="1" t="s">
        <v>921</v>
      </c>
      <c r="C982" s="1" t="s">
        <v>448</v>
      </c>
      <c r="D982" s="1">
        <v>4.4000000000000004</v>
      </c>
      <c r="E982" s="1">
        <v>10182</v>
      </c>
      <c r="F982" s="1">
        <v>1995</v>
      </c>
    </row>
    <row r="983" spans="1:6" x14ac:dyDescent="0.35">
      <c r="A983" s="1" t="s">
        <v>1845</v>
      </c>
      <c r="B983" s="1" t="s">
        <v>1846</v>
      </c>
      <c r="C983" s="1" t="s">
        <v>116</v>
      </c>
      <c r="D983" s="1">
        <v>5</v>
      </c>
      <c r="E983" s="1">
        <v>10175</v>
      </c>
      <c r="F983" s="1">
        <v>2023</v>
      </c>
    </row>
    <row r="984" spans="1:6" x14ac:dyDescent="0.35">
      <c r="A984" s="1" t="s">
        <v>825</v>
      </c>
      <c r="B984" s="1" t="s">
        <v>826</v>
      </c>
      <c r="C984" s="1" t="s">
        <v>143</v>
      </c>
      <c r="D984" s="1">
        <v>4.3</v>
      </c>
      <c r="E984" s="1">
        <v>10175</v>
      </c>
      <c r="F984" s="1">
        <v>2018</v>
      </c>
    </row>
    <row r="985" spans="1:6" x14ac:dyDescent="0.35">
      <c r="A985" s="1" t="s">
        <v>2094</v>
      </c>
      <c r="B985" s="1" t="s">
        <v>2095</v>
      </c>
      <c r="C985" s="1" t="s">
        <v>846</v>
      </c>
      <c r="D985" s="1">
        <v>5.0999999999999996</v>
      </c>
      <c r="E985" s="1">
        <v>10168</v>
      </c>
      <c r="F985" s="1">
        <v>2023</v>
      </c>
    </row>
    <row r="986" spans="1:6" x14ac:dyDescent="0.35">
      <c r="A986" s="1" t="s">
        <v>2096</v>
      </c>
      <c r="B986" s="1" t="s">
        <v>2097</v>
      </c>
      <c r="C986" s="1" t="s">
        <v>294</v>
      </c>
      <c r="D986" s="1">
        <v>5.0999999999999996</v>
      </c>
      <c r="E986" s="1">
        <v>10165</v>
      </c>
      <c r="F986" s="1">
        <v>2022</v>
      </c>
    </row>
    <row r="987" spans="1:6" x14ac:dyDescent="0.35">
      <c r="A987" s="1" t="s">
        <v>525</v>
      </c>
      <c r="B987" s="1" t="s">
        <v>526</v>
      </c>
      <c r="C987" s="1" t="s">
        <v>474</v>
      </c>
      <c r="D987" s="1">
        <v>3.8</v>
      </c>
      <c r="E987" s="1">
        <v>10164</v>
      </c>
      <c r="F987" s="1">
        <v>1982</v>
      </c>
    </row>
    <row r="988" spans="1:6" x14ac:dyDescent="0.35">
      <c r="A988" s="1" t="s">
        <v>629</v>
      </c>
      <c r="B988" s="1" t="s">
        <v>630</v>
      </c>
      <c r="C988" s="1" t="s">
        <v>227</v>
      </c>
      <c r="D988" s="1">
        <v>4</v>
      </c>
      <c r="E988" s="1">
        <v>10161</v>
      </c>
      <c r="F988" s="1">
        <v>2008</v>
      </c>
    </row>
    <row r="989" spans="1:6" x14ac:dyDescent="0.35">
      <c r="A989" s="1" t="s">
        <v>2098</v>
      </c>
      <c r="B989" s="1" t="s">
        <v>2099</v>
      </c>
      <c r="C989" s="1" t="s">
        <v>181</v>
      </c>
      <c r="D989" s="1">
        <v>5.0999999999999996</v>
      </c>
      <c r="E989" s="1">
        <v>10142</v>
      </c>
      <c r="F989" s="1">
        <v>2014</v>
      </c>
    </row>
    <row r="990" spans="1:6" x14ac:dyDescent="0.35">
      <c r="A990" s="1" t="s">
        <v>1519</v>
      </c>
      <c r="B990" s="1" t="s">
        <v>1520</v>
      </c>
      <c r="C990" s="1" t="s">
        <v>270</v>
      </c>
      <c r="D990" s="1">
        <v>4.8</v>
      </c>
      <c r="E990" s="1">
        <v>10133</v>
      </c>
      <c r="F990" s="1">
        <v>1990</v>
      </c>
    </row>
    <row r="991" spans="1:6" x14ac:dyDescent="0.35">
      <c r="A991" s="1" t="s">
        <v>179</v>
      </c>
      <c r="B991" s="1" t="s">
        <v>180</v>
      </c>
      <c r="C991" s="1" t="s">
        <v>181</v>
      </c>
      <c r="D991" s="1">
        <v>2.5</v>
      </c>
      <c r="E991" s="1">
        <v>10132</v>
      </c>
      <c r="F991" s="1">
        <v>2020</v>
      </c>
    </row>
    <row r="992" spans="1:6" x14ac:dyDescent="0.35">
      <c r="A992" s="1" t="s">
        <v>96</v>
      </c>
      <c r="B992" s="1" t="s">
        <v>97</v>
      </c>
      <c r="C992" s="1" t="s">
        <v>98</v>
      </c>
      <c r="D992" s="1">
        <v>1.8</v>
      </c>
      <c r="E992" s="1">
        <v>10108</v>
      </c>
      <c r="F992" s="1">
        <v>1965</v>
      </c>
    </row>
    <row r="993" spans="1:6" x14ac:dyDescent="0.35">
      <c r="A993" s="1" t="s">
        <v>182</v>
      </c>
      <c r="B993" s="1" t="s">
        <v>183</v>
      </c>
      <c r="C993" s="1" t="s">
        <v>184</v>
      </c>
      <c r="D993" s="1">
        <v>2.5</v>
      </c>
      <c r="E993" s="1">
        <v>10099</v>
      </c>
      <c r="F993" s="1">
        <v>1997</v>
      </c>
    </row>
    <row r="994" spans="1:6" x14ac:dyDescent="0.35">
      <c r="A994" s="1" t="s">
        <v>1156</v>
      </c>
      <c r="B994" s="1" t="s">
        <v>1157</v>
      </c>
      <c r="C994" s="1" t="s">
        <v>524</v>
      </c>
      <c r="D994" s="1">
        <v>4.5999999999999996</v>
      </c>
      <c r="E994" s="1">
        <v>10089</v>
      </c>
      <c r="F994" s="1">
        <v>1994</v>
      </c>
    </row>
    <row r="995" spans="1:6" x14ac:dyDescent="0.35">
      <c r="A995" s="1" t="s">
        <v>475</v>
      </c>
      <c r="B995" s="1" t="s">
        <v>476</v>
      </c>
      <c r="C995" s="1" t="s">
        <v>477</v>
      </c>
      <c r="D995" s="1">
        <v>3.7</v>
      </c>
      <c r="E995" s="1">
        <v>10065</v>
      </c>
      <c r="F995" s="1">
        <v>1997</v>
      </c>
    </row>
    <row r="996" spans="1:6" x14ac:dyDescent="0.35">
      <c r="A996" s="1" t="s">
        <v>278</v>
      </c>
      <c r="B996" s="1" t="s">
        <v>279</v>
      </c>
      <c r="C996" s="1" t="s">
        <v>178</v>
      </c>
      <c r="D996" s="1">
        <v>3</v>
      </c>
      <c r="E996" s="1">
        <v>10063</v>
      </c>
      <c r="F996" s="1">
        <v>2005</v>
      </c>
    </row>
    <row r="997" spans="1:6" x14ac:dyDescent="0.35">
      <c r="A997" s="1" t="s">
        <v>748</v>
      </c>
      <c r="B997" s="1" t="s">
        <v>749</v>
      </c>
      <c r="C997" s="1" t="s">
        <v>571</v>
      </c>
      <c r="D997" s="1">
        <v>4.2</v>
      </c>
      <c r="E997" s="1">
        <v>10034</v>
      </c>
      <c r="F997" s="1">
        <v>2020</v>
      </c>
    </row>
    <row r="998" spans="1:6" x14ac:dyDescent="0.35">
      <c r="A998" s="1" t="s">
        <v>280</v>
      </c>
      <c r="B998" s="1" t="s">
        <v>281</v>
      </c>
      <c r="C998" s="1" t="s">
        <v>93</v>
      </c>
      <c r="D998" s="1">
        <v>3</v>
      </c>
      <c r="E998" s="1">
        <v>10030</v>
      </c>
      <c r="F998" s="1">
        <v>2007</v>
      </c>
    </row>
    <row r="999" spans="1:6" x14ac:dyDescent="0.35">
      <c r="A999" s="1" t="s">
        <v>48</v>
      </c>
      <c r="B999" s="1" t="s">
        <v>49</v>
      </c>
      <c r="C999" s="1" t="s">
        <v>50</v>
      </c>
      <c r="D999" s="1">
        <v>1.3</v>
      </c>
      <c r="E999" s="1">
        <v>10020</v>
      </c>
      <c r="F999" s="1">
        <v>2009</v>
      </c>
    </row>
    <row r="1000" spans="1:6" x14ac:dyDescent="0.35">
      <c r="A1000" s="1" t="s">
        <v>1021</v>
      </c>
      <c r="B1000" s="1" t="s">
        <v>1022</v>
      </c>
      <c r="C1000" s="1" t="s">
        <v>125</v>
      </c>
      <c r="D1000" s="1">
        <v>4.5</v>
      </c>
      <c r="E1000" s="1">
        <v>10015</v>
      </c>
      <c r="F1000" s="1">
        <v>2014</v>
      </c>
    </row>
    <row r="1001" spans="1:6" x14ac:dyDescent="0.35">
      <c r="A1001" s="1" t="s">
        <v>1158</v>
      </c>
      <c r="B1001" s="1" t="s">
        <v>1159</v>
      </c>
      <c r="C1001" s="1" t="s">
        <v>1160</v>
      </c>
      <c r="D1001" s="1">
        <v>4.5999999999999996</v>
      </c>
      <c r="E1001" s="1">
        <v>10007</v>
      </c>
      <c r="F1001" s="1">
        <v>2016</v>
      </c>
    </row>
  </sheetData>
  <autoFilter ref="A1:F1001" xr:uid="{6E77D2F9-37B4-4713-BDF3-539E6C087312}"/>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8B04F-BEE6-4523-99F6-72EDEFBFA1DE}">
  <dimension ref="B3:C14"/>
  <sheetViews>
    <sheetView workbookViewId="0">
      <selection activeCell="C13" sqref="C13"/>
    </sheetView>
  </sheetViews>
  <sheetFormatPr defaultRowHeight="14.5" x14ac:dyDescent="0.35"/>
  <cols>
    <col min="2" max="2" width="11.7265625" style="6" customWidth="1"/>
    <col min="3" max="3" width="80.81640625" bestFit="1" customWidth="1"/>
  </cols>
  <sheetData>
    <row r="3" spans="2:3" x14ac:dyDescent="0.35">
      <c r="B3" s="7" t="s">
        <v>2371</v>
      </c>
      <c r="C3" s="7" t="s">
        <v>2372</v>
      </c>
    </row>
    <row r="4" spans="2:3" x14ac:dyDescent="0.35">
      <c r="B4" s="81">
        <v>1</v>
      </c>
      <c r="C4" s="82" t="s">
        <v>2378</v>
      </c>
    </row>
    <row r="5" spans="2:3" x14ac:dyDescent="0.35">
      <c r="B5" s="81">
        <v>2</v>
      </c>
      <c r="C5" s="82" t="s">
        <v>2383</v>
      </c>
    </row>
    <row r="6" spans="2:3" x14ac:dyDescent="0.35">
      <c r="B6" s="81">
        <v>3</v>
      </c>
      <c r="C6" s="82" t="s">
        <v>2382</v>
      </c>
    </row>
    <row r="7" spans="2:3" x14ac:dyDescent="0.35">
      <c r="B7" s="81">
        <v>3.1</v>
      </c>
      <c r="C7" s="82" t="s">
        <v>2379</v>
      </c>
    </row>
    <row r="8" spans="2:3" x14ac:dyDescent="0.35">
      <c r="B8" s="81">
        <v>4</v>
      </c>
      <c r="C8" s="82" t="s">
        <v>2381</v>
      </c>
    </row>
    <row r="9" spans="2:3" x14ac:dyDescent="0.35">
      <c r="B9" s="81">
        <v>5</v>
      </c>
      <c r="C9" s="82" t="s">
        <v>2380</v>
      </c>
    </row>
    <row r="10" spans="2:3" x14ac:dyDescent="0.35">
      <c r="B10" s="81">
        <v>6</v>
      </c>
      <c r="C10" s="82" t="s">
        <v>2377</v>
      </c>
    </row>
    <row r="11" spans="2:3" x14ac:dyDescent="0.35">
      <c r="B11" s="81">
        <v>7</v>
      </c>
      <c r="C11" s="82" t="s">
        <v>2375</v>
      </c>
    </row>
    <row r="12" spans="2:3" x14ac:dyDescent="0.35">
      <c r="B12" s="81">
        <v>7.1</v>
      </c>
      <c r="C12" s="82" t="s">
        <v>2384</v>
      </c>
    </row>
    <row r="13" spans="2:3" x14ac:dyDescent="0.35">
      <c r="B13" s="81">
        <v>8</v>
      </c>
      <c r="C13" s="82" t="s">
        <v>2373</v>
      </c>
    </row>
    <row r="14" spans="2:3" x14ac:dyDescent="0.35">
      <c r="B14" s="81">
        <v>9</v>
      </c>
      <c r="C14" s="82" t="s">
        <v>2374</v>
      </c>
    </row>
  </sheetData>
  <hyperlinks>
    <hyperlink ref="B4" location="'Chapter - 1'!A1" display="'Chapter - 1'!A1" xr:uid="{7E69307E-2530-48BE-9687-91034ABE29EF}"/>
    <hyperlink ref="B5" location="'Chapter - 2'!A1" display="'Chapter - 2'!A1" xr:uid="{C70667C8-3CAA-48DF-AD4B-D949ED6AD478}"/>
    <hyperlink ref="B6" location="'Chapter - 3'!A1" display="'Chapter - 3'!A1" xr:uid="{0870D683-58B9-49C4-B85E-ABBD98945FBE}"/>
    <hyperlink ref="B7" location="'Chapter-3 Stocks'!A1" display="'Chapter-3 Stocks'!A1" xr:uid="{C3ADB084-47A6-4F14-8450-717E3A498F36}"/>
    <hyperlink ref="B8" location="'Chapter - 4'!A1" display="'Chapter - 4'!A1" xr:uid="{79118F17-016D-4CED-88EC-EBC38DCD8A39}"/>
    <hyperlink ref="B9" location="'Chapter - 5'!A1" display="'Chapter - 5'!A1" xr:uid="{CC65B0BD-D374-4BC3-8C42-625306B8C26E}"/>
    <hyperlink ref="B10" location="'Chapter-6'!A1" display="'Chapter-6'!A1" xr:uid="{A08E7C86-D4E2-4C04-9BBF-FDA918CBAFB0}"/>
    <hyperlink ref="B11" location="'Chapter -7'!A1" display="'Chapter -7'!A1" xr:uid="{AA2FE43D-48BF-45BD-9BB9-846F8ADA36BE}"/>
    <hyperlink ref="B13" location="'Chapter -8'!A1" display="'Chapter -8'!A1" xr:uid="{39071872-1931-42B2-A2B6-D74C12A52C97}"/>
    <hyperlink ref="B14" location="'Chapter-9'!A1" display="'Chapter-9'!A1" xr:uid="{5895A469-1E1B-4158-A7D4-A0E251F1224E}"/>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C2B42-4D97-4135-AA2D-4EF1FA9F27DF}">
  <sheetPr codeName="Sheet2"/>
  <dimension ref="A1:R1001"/>
  <sheetViews>
    <sheetView workbookViewId="0">
      <selection activeCell="I14" sqref="I14"/>
    </sheetView>
  </sheetViews>
  <sheetFormatPr defaultRowHeight="14.5" x14ac:dyDescent="0.35"/>
  <cols>
    <col min="1" max="1" width="15.7265625" customWidth="1"/>
    <col min="2" max="2" width="57.7265625" bestFit="1" customWidth="1"/>
    <col min="3" max="3" width="35.54296875" bestFit="1" customWidth="1"/>
    <col min="4" max="4" width="13.7265625" bestFit="1" customWidth="1"/>
    <col min="5" max="5" width="10.1796875" bestFit="1" customWidth="1"/>
    <col min="6" max="6" width="11.453125" bestFit="1" customWidth="1"/>
    <col min="7" max="7" width="11.453125" customWidth="1"/>
    <col min="8" max="8" width="10.54296875" customWidth="1"/>
    <col min="9" max="9" width="30.81640625" customWidth="1"/>
  </cols>
  <sheetData>
    <row r="1" spans="1:18" x14ac:dyDescent="0.35">
      <c r="A1" s="3" t="s">
        <v>0</v>
      </c>
      <c r="B1" s="3" t="s">
        <v>1</v>
      </c>
      <c r="C1" s="3" t="s">
        <v>2</v>
      </c>
      <c r="D1" s="3" t="s">
        <v>3</v>
      </c>
      <c r="E1" s="3" t="s">
        <v>4</v>
      </c>
      <c r="F1" s="3" t="s">
        <v>5</v>
      </c>
      <c r="J1" s="90"/>
      <c r="K1" s="90"/>
      <c r="L1" s="90"/>
      <c r="M1" s="90"/>
      <c r="N1" s="90"/>
      <c r="O1" s="90"/>
      <c r="P1" s="90"/>
      <c r="Q1" s="90"/>
      <c r="R1" s="90"/>
    </row>
    <row r="2" spans="1:18" ht="15.5" x14ac:dyDescent="0.35">
      <c r="A2" s="4" t="s">
        <v>680</v>
      </c>
      <c r="B2" s="4" t="s">
        <v>681</v>
      </c>
      <c r="C2" s="4" t="s">
        <v>682</v>
      </c>
      <c r="D2" s="4">
        <v>4.2</v>
      </c>
      <c r="E2" s="4">
        <v>341094</v>
      </c>
      <c r="F2" s="4">
        <v>2015</v>
      </c>
      <c r="G2" s="4"/>
      <c r="H2" s="91" t="s">
        <v>2209</v>
      </c>
      <c r="I2" s="91"/>
      <c r="J2" s="91"/>
    </row>
    <row r="3" spans="1:18" x14ac:dyDescent="0.35">
      <c r="A3" s="4" t="s">
        <v>1320</v>
      </c>
      <c r="B3" s="4" t="s">
        <v>1321</v>
      </c>
      <c r="C3" s="4" t="s">
        <v>1322</v>
      </c>
      <c r="D3" s="4">
        <v>4.8</v>
      </c>
      <c r="E3" s="4">
        <v>304888</v>
      </c>
      <c r="F3" s="4">
        <v>2009</v>
      </c>
      <c r="G3" s="4"/>
      <c r="H3" s="14" t="s">
        <v>2196</v>
      </c>
      <c r="I3" s="13" t="s">
        <v>2197</v>
      </c>
      <c r="J3" s="15">
        <f>SUM(E2:E1001)</f>
        <v>34265064</v>
      </c>
    </row>
    <row r="4" spans="1:18" x14ac:dyDescent="0.35">
      <c r="A4" s="4" t="s">
        <v>478</v>
      </c>
      <c r="B4" s="4" t="s">
        <v>479</v>
      </c>
      <c r="C4" s="4" t="s">
        <v>172</v>
      </c>
      <c r="D4" s="4">
        <v>3.8</v>
      </c>
      <c r="E4" s="4">
        <v>272072</v>
      </c>
      <c r="F4" s="4">
        <v>1997</v>
      </c>
      <c r="G4" s="4"/>
      <c r="H4" s="14" t="s">
        <v>2198</v>
      </c>
      <c r="I4" s="13" t="s">
        <v>2199</v>
      </c>
      <c r="J4" s="15">
        <f>AVERAGE(E2:E1001)</f>
        <v>34265.063999999998</v>
      </c>
    </row>
    <row r="5" spans="1:18" x14ac:dyDescent="0.35">
      <c r="A5" s="4" t="s">
        <v>587</v>
      </c>
      <c r="B5" s="4" t="s">
        <v>588</v>
      </c>
      <c r="C5" s="4" t="s">
        <v>93</v>
      </c>
      <c r="D5" s="4">
        <v>4</v>
      </c>
      <c r="E5" s="4">
        <v>267936</v>
      </c>
      <c r="F5" s="4">
        <v>2019</v>
      </c>
      <c r="G5" s="4"/>
      <c r="H5" s="14" t="s">
        <v>2200</v>
      </c>
      <c r="I5" s="13" t="s">
        <v>2201</v>
      </c>
      <c r="J5" s="15">
        <f>MIN(D2:D1001)</f>
        <v>1</v>
      </c>
    </row>
    <row r="6" spans="1:18" x14ac:dyDescent="0.35">
      <c r="A6" s="4" t="s">
        <v>1847</v>
      </c>
      <c r="B6" s="4" t="s">
        <v>1848</v>
      </c>
      <c r="C6" s="4" t="s">
        <v>93</v>
      </c>
      <c r="D6" s="4">
        <v>5.0999999999999996</v>
      </c>
      <c r="E6" s="4">
        <v>265386</v>
      </c>
      <c r="F6" s="4">
        <v>2010</v>
      </c>
      <c r="G6" s="4"/>
      <c r="H6" s="14" t="s">
        <v>2202</v>
      </c>
      <c r="I6" s="13" t="s">
        <v>2203</v>
      </c>
      <c r="J6" s="15">
        <f>MAX(D2:D1001)</f>
        <v>5.2</v>
      </c>
    </row>
    <row r="7" spans="1:18" x14ac:dyDescent="0.35">
      <c r="A7" s="4" t="s">
        <v>1521</v>
      </c>
      <c r="B7" s="4" t="s">
        <v>1522</v>
      </c>
      <c r="C7" s="4" t="s">
        <v>1322</v>
      </c>
      <c r="D7" s="4">
        <v>4.9000000000000004</v>
      </c>
      <c r="E7" s="4">
        <v>258475</v>
      </c>
      <c r="F7" s="4">
        <v>2011</v>
      </c>
      <c r="G7" s="4"/>
      <c r="H7" s="14" t="s">
        <v>2204</v>
      </c>
      <c r="I7" s="13" t="s">
        <v>2205</v>
      </c>
      <c r="J7" s="15">
        <f>COUNT(F2:F1001)</f>
        <v>1000</v>
      </c>
    </row>
    <row r="8" spans="1:18" x14ac:dyDescent="0.35">
      <c r="A8" s="4" t="s">
        <v>1674</v>
      </c>
      <c r="B8" s="4" t="s">
        <v>1675</v>
      </c>
      <c r="C8" s="4" t="s">
        <v>560</v>
      </c>
      <c r="D8" s="4">
        <v>5</v>
      </c>
      <c r="E8" s="4">
        <v>220066</v>
      </c>
      <c r="F8" s="4">
        <v>2008</v>
      </c>
      <c r="G8" s="4"/>
      <c r="H8" s="14" t="s">
        <v>2206</v>
      </c>
      <c r="I8" s="13" t="s">
        <v>2208</v>
      </c>
      <c r="J8" s="15">
        <f>COUNTA(B2:B1001)</f>
        <v>1000</v>
      </c>
    </row>
    <row r="9" spans="1:18" x14ac:dyDescent="0.35">
      <c r="A9" s="4" t="s">
        <v>2100</v>
      </c>
      <c r="B9" s="4" t="s">
        <v>2101</v>
      </c>
      <c r="C9" s="4" t="s">
        <v>294</v>
      </c>
      <c r="D9" s="4">
        <v>5.2</v>
      </c>
      <c r="E9" s="4">
        <v>217048</v>
      </c>
      <c r="F9" s="4">
        <v>2013</v>
      </c>
      <c r="G9" s="4"/>
    </row>
    <row r="10" spans="1:18" x14ac:dyDescent="0.35">
      <c r="A10" s="4" t="s">
        <v>1323</v>
      </c>
      <c r="B10" s="4" t="s">
        <v>1324</v>
      </c>
      <c r="C10" s="4" t="s">
        <v>163</v>
      </c>
      <c r="D10" s="4">
        <v>4.8</v>
      </c>
      <c r="E10" s="4">
        <v>211275</v>
      </c>
      <c r="F10" s="4">
        <v>2013</v>
      </c>
      <c r="G10" s="4"/>
      <c r="H10" s="4"/>
    </row>
    <row r="11" spans="1:18" x14ac:dyDescent="0.35">
      <c r="A11" s="4" t="s">
        <v>2102</v>
      </c>
      <c r="B11" s="4" t="s">
        <v>2103</v>
      </c>
      <c r="C11" s="4" t="s">
        <v>178</v>
      </c>
      <c r="D11" s="4">
        <v>5.2</v>
      </c>
      <c r="E11" s="4">
        <v>195388</v>
      </c>
      <c r="F11" s="4">
        <v>2022</v>
      </c>
      <c r="G11" s="4"/>
      <c r="H11" s="4"/>
    </row>
    <row r="12" spans="1:18" x14ac:dyDescent="0.35">
      <c r="A12" s="4" t="s">
        <v>2104</v>
      </c>
      <c r="B12" s="4" t="s">
        <v>2105</v>
      </c>
      <c r="C12" s="4" t="s">
        <v>163</v>
      </c>
      <c r="D12" s="4">
        <v>5.2</v>
      </c>
      <c r="E12" s="4">
        <v>192018</v>
      </c>
      <c r="F12" s="4">
        <v>2016</v>
      </c>
      <c r="G12" s="4"/>
      <c r="H12" s="4"/>
    </row>
    <row r="13" spans="1:18" x14ac:dyDescent="0.35">
      <c r="A13" s="4" t="s">
        <v>99</v>
      </c>
      <c r="B13" s="4" t="s">
        <v>100</v>
      </c>
      <c r="C13" s="4" t="s">
        <v>101</v>
      </c>
      <c r="D13" s="4">
        <v>1.9</v>
      </c>
      <c r="E13" s="4">
        <v>180273</v>
      </c>
      <c r="F13" s="4">
        <v>2021</v>
      </c>
      <c r="G13" s="4"/>
      <c r="H13" s="4"/>
    </row>
    <row r="14" spans="1:18" x14ac:dyDescent="0.35">
      <c r="A14" s="4" t="s">
        <v>750</v>
      </c>
      <c r="B14" s="4" t="s">
        <v>751</v>
      </c>
      <c r="C14" s="4" t="s">
        <v>163</v>
      </c>
      <c r="D14" s="4">
        <v>4.3</v>
      </c>
      <c r="E14" s="4">
        <v>179961</v>
      </c>
      <c r="F14" s="4">
        <v>2015</v>
      </c>
      <c r="G14" s="4"/>
      <c r="H14" s="4"/>
    </row>
    <row r="15" spans="1:18" x14ac:dyDescent="0.35">
      <c r="A15" s="4" t="s">
        <v>589</v>
      </c>
      <c r="B15" s="4" t="s">
        <v>590</v>
      </c>
      <c r="C15" s="4" t="s">
        <v>477</v>
      </c>
      <c r="D15" s="4">
        <v>4</v>
      </c>
      <c r="E15" s="4">
        <v>176827</v>
      </c>
      <c r="F15" s="4">
        <v>2010</v>
      </c>
      <c r="G15" s="4"/>
      <c r="H15" s="4"/>
    </row>
    <row r="16" spans="1:18" x14ac:dyDescent="0.35">
      <c r="A16" s="4" t="s">
        <v>2106</v>
      </c>
      <c r="B16" s="4" t="s">
        <v>2107</v>
      </c>
      <c r="C16" s="4" t="s">
        <v>166</v>
      </c>
      <c r="D16" s="4">
        <v>5.2</v>
      </c>
      <c r="E16" s="4">
        <v>173199</v>
      </c>
      <c r="F16" s="4">
        <v>2008</v>
      </c>
      <c r="G16" s="4"/>
      <c r="H16" s="4"/>
    </row>
    <row r="17" spans="1:8" x14ac:dyDescent="0.35">
      <c r="A17" s="4" t="s">
        <v>2108</v>
      </c>
      <c r="B17" s="4" t="s">
        <v>2109</v>
      </c>
      <c r="C17" s="4" t="s">
        <v>163</v>
      </c>
      <c r="D17" s="4">
        <v>5.2</v>
      </c>
      <c r="E17" s="4">
        <v>172818</v>
      </c>
      <c r="F17" s="4">
        <v>2017</v>
      </c>
      <c r="G17" s="4"/>
      <c r="H17" s="4"/>
    </row>
    <row r="18" spans="1:8" x14ac:dyDescent="0.35">
      <c r="A18" s="4" t="s">
        <v>1523</v>
      </c>
      <c r="B18" s="4" t="s">
        <v>1524</v>
      </c>
      <c r="C18" s="4" t="s">
        <v>62</v>
      </c>
      <c r="D18" s="4">
        <v>4.9000000000000004</v>
      </c>
      <c r="E18" s="4">
        <v>168977</v>
      </c>
      <c r="F18" s="4">
        <v>1999</v>
      </c>
      <c r="G18" s="4"/>
      <c r="H18" s="4"/>
    </row>
    <row r="19" spans="1:8" x14ac:dyDescent="0.35">
      <c r="A19" s="4" t="s">
        <v>2110</v>
      </c>
      <c r="B19" s="4" t="s">
        <v>2111</v>
      </c>
      <c r="C19" s="4" t="s">
        <v>101</v>
      </c>
      <c r="D19" s="4">
        <v>5.2</v>
      </c>
      <c r="E19" s="4">
        <v>166852</v>
      </c>
      <c r="F19" s="4">
        <v>2021</v>
      </c>
      <c r="G19" s="4"/>
      <c r="H19" s="4"/>
    </row>
    <row r="20" spans="1:8" x14ac:dyDescent="0.35">
      <c r="A20" s="4" t="s">
        <v>1849</v>
      </c>
      <c r="B20" s="4" t="s">
        <v>1850</v>
      </c>
      <c r="C20" s="4" t="s">
        <v>122</v>
      </c>
      <c r="D20" s="4">
        <v>5.0999999999999996</v>
      </c>
      <c r="E20" s="4">
        <v>158856</v>
      </c>
      <c r="F20" s="4">
        <v>2022</v>
      </c>
      <c r="G20" s="4"/>
      <c r="H20" s="4"/>
    </row>
    <row r="21" spans="1:8" x14ac:dyDescent="0.35">
      <c r="A21" s="4" t="s">
        <v>1023</v>
      </c>
      <c r="B21" s="4" t="s">
        <v>1024</v>
      </c>
      <c r="C21" s="4" t="s">
        <v>155</v>
      </c>
      <c r="D21" s="4">
        <v>4.5999999999999996</v>
      </c>
      <c r="E21" s="4">
        <v>137996</v>
      </c>
      <c r="F21" s="4">
        <v>2007</v>
      </c>
      <c r="G21" s="4"/>
      <c r="H21" s="4"/>
    </row>
    <row r="22" spans="1:8" x14ac:dyDescent="0.35">
      <c r="A22" s="4" t="s">
        <v>1851</v>
      </c>
      <c r="B22" s="4" t="s">
        <v>1852</v>
      </c>
      <c r="C22" s="4" t="s">
        <v>93</v>
      </c>
      <c r="D22" s="4">
        <v>5.0999999999999996</v>
      </c>
      <c r="E22" s="4">
        <v>136533</v>
      </c>
      <c r="F22" s="4">
        <v>2008</v>
      </c>
      <c r="G22" s="4"/>
      <c r="H22" s="4"/>
    </row>
    <row r="23" spans="1:8" x14ac:dyDescent="0.35">
      <c r="A23" s="4" t="s">
        <v>1525</v>
      </c>
      <c r="B23" s="4" t="s">
        <v>1526</v>
      </c>
      <c r="C23" s="4" t="s">
        <v>178</v>
      </c>
      <c r="D23" s="4">
        <v>4.9000000000000004</v>
      </c>
      <c r="E23" s="4">
        <v>134567</v>
      </c>
      <c r="F23" s="4">
        <v>2003</v>
      </c>
      <c r="G23" s="4"/>
      <c r="H23" s="4"/>
    </row>
    <row r="24" spans="1:8" x14ac:dyDescent="0.35">
      <c r="A24" s="4" t="s">
        <v>201</v>
      </c>
      <c r="B24" s="4" t="s">
        <v>202</v>
      </c>
      <c r="C24" s="4" t="s">
        <v>93</v>
      </c>
      <c r="D24" s="4">
        <v>2.7</v>
      </c>
      <c r="E24" s="4">
        <v>134527</v>
      </c>
      <c r="F24" s="4">
        <v>2023</v>
      </c>
      <c r="G24" s="4"/>
      <c r="H24" s="4"/>
    </row>
    <row r="25" spans="1:8" x14ac:dyDescent="0.35">
      <c r="A25" s="4" t="s">
        <v>1853</v>
      </c>
      <c r="B25" s="4" t="s">
        <v>1854</v>
      </c>
      <c r="C25" s="4" t="s">
        <v>477</v>
      </c>
      <c r="D25" s="4">
        <v>5.0999999999999996</v>
      </c>
      <c r="E25" s="4">
        <v>131549</v>
      </c>
      <c r="F25" s="4">
        <v>2006</v>
      </c>
      <c r="G25" s="4"/>
      <c r="H25" s="4"/>
    </row>
    <row r="26" spans="1:8" x14ac:dyDescent="0.35">
      <c r="A26" s="4" t="s">
        <v>1855</v>
      </c>
      <c r="B26" s="4" t="s">
        <v>1856</v>
      </c>
      <c r="C26" s="4" t="s">
        <v>11</v>
      </c>
      <c r="D26" s="4">
        <v>5.0999999999999996</v>
      </c>
      <c r="E26" s="4">
        <v>131453</v>
      </c>
      <c r="F26" s="4">
        <v>2006</v>
      </c>
      <c r="G26" s="4"/>
      <c r="H26" s="4"/>
    </row>
    <row r="27" spans="1:8" x14ac:dyDescent="0.35">
      <c r="A27" s="4" t="s">
        <v>1025</v>
      </c>
      <c r="B27" s="4" t="s">
        <v>1026</v>
      </c>
      <c r="C27" s="4" t="s">
        <v>146</v>
      </c>
      <c r="D27" s="4">
        <v>4.5999999999999996</v>
      </c>
      <c r="E27" s="4">
        <v>129033</v>
      </c>
      <c r="F27" s="4">
        <v>1997</v>
      </c>
      <c r="G27" s="4"/>
      <c r="H27" s="4"/>
    </row>
    <row r="28" spans="1:8" x14ac:dyDescent="0.35">
      <c r="A28" s="4" t="s">
        <v>752</v>
      </c>
      <c r="B28" s="4" t="s">
        <v>753</v>
      </c>
      <c r="C28" s="4" t="s">
        <v>754</v>
      </c>
      <c r="D28" s="4">
        <v>4.3</v>
      </c>
      <c r="E28" s="4">
        <v>128358</v>
      </c>
      <c r="F28" s="4">
        <v>2011</v>
      </c>
      <c r="G28" s="4"/>
      <c r="H28" s="4"/>
    </row>
    <row r="29" spans="1:8" x14ac:dyDescent="0.35">
      <c r="A29" s="4" t="s">
        <v>336</v>
      </c>
      <c r="B29" s="4" t="s">
        <v>337</v>
      </c>
      <c r="C29" s="4" t="s">
        <v>338</v>
      </c>
      <c r="D29" s="4">
        <v>3.4</v>
      </c>
      <c r="E29" s="4">
        <v>127566</v>
      </c>
      <c r="F29" s="4">
        <v>2004</v>
      </c>
      <c r="G29" s="4"/>
      <c r="H29" s="4"/>
    </row>
    <row r="30" spans="1:8" x14ac:dyDescent="0.35">
      <c r="A30" s="4" t="s">
        <v>631</v>
      </c>
      <c r="B30" s="4" t="s">
        <v>632</v>
      </c>
      <c r="C30" s="4" t="s">
        <v>93</v>
      </c>
      <c r="D30" s="4">
        <v>4.0999999999999996</v>
      </c>
      <c r="E30" s="4">
        <v>124735</v>
      </c>
      <c r="F30" s="4">
        <v>2024</v>
      </c>
      <c r="G30" s="4"/>
      <c r="H30" s="4"/>
    </row>
    <row r="31" spans="1:8" x14ac:dyDescent="0.35">
      <c r="A31" s="4" t="s">
        <v>2112</v>
      </c>
      <c r="B31" s="4" t="s">
        <v>2113</v>
      </c>
      <c r="C31" s="4" t="s">
        <v>155</v>
      </c>
      <c r="D31" s="4">
        <v>5.2</v>
      </c>
      <c r="E31" s="4">
        <v>120222</v>
      </c>
      <c r="F31" s="4">
        <v>2005</v>
      </c>
      <c r="G31" s="4"/>
      <c r="H31" s="4"/>
    </row>
    <row r="32" spans="1:8" x14ac:dyDescent="0.35">
      <c r="A32" s="4" t="s">
        <v>2114</v>
      </c>
      <c r="B32" s="4" t="s">
        <v>2115</v>
      </c>
      <c r="C32" s="4" t="s">
        <v>163</v>
      </c>
      <c r="D32" s="4">
        <v>5.2</v>
      </c>
      <c r="E32" s="4">
        <v>119294</v>
      </c>
      <c r="F32" s="4">
        <v>2016</v>
      </c>
      <c r="G32" s="4"/>
      <c r="H32" s="4"/>
    </row>
    <row r="33" spans="1:8" x14ac:dyDescent="0.35">
      <c r="A33" s="4" t="s">
        <v>1857</v>
      </c>
      <c r="B33" s="4" t="s">
        <v>1858</v>
      </c>
      <c r="C33" s="4" t="s">
        <v>116</v>
      </c>
      <c r="D33" s="4">
        <v>5.0999999999999996</v>
      </c>
      <c r="E33" s="4">
        <v>119263</v>
      </c>
      <c r="F33" s="4">
        <v>2014</v>
      </c>
      <c r="G33" s="4"/>
      <c r="H33" s="4"/>
    </row>
    <row r="34" spans="1:8" x14ac:dyDescent="0.35">
      <c r="A34" s="4" t="s">
        <v>1859</v>
      </c>
      <c r="B34" s="4" t="s">
        <v>1860</v>
      </c>
      <c r="C34" s="4" t="s">
        <v>82</v>
      </c>
      <c r="D34" s="4">
        <v>5.0999999999999996</v>
      </c>
      <c r="E34" s="4">
        <v>118563</v>
      </c>
      <c r="F34" s="4">
        <v>2009</v>
      </c>
      <c r="G34" s="4"/>
      <c r="H34" s="4"/>
    </row>
    <row r="35" spans="1:8" x14ac:dyDescent="0.35">
      <c r="A35" s="4" t="s">
        <v>827</v>
      </c>
      <c r="B35" s="4" t="s">
        <v>828</v>
      </c>
      <c r="C35" s="4" t="s">
        <v>11</v>
      </c>
      <c r="D35" s="4">
        <v>4.4000000000000004</v>
      </c>
      <c r="E35" s="4">
        <v>114465</v>
      </c>
      <c r="F35" s="4">
        <v>2013</v>
      </c>
      <c r="G35" s="4"/>
      <c r="H35" s="4"/>
    </row>
    <row r="36" spans="1:8" x14ac:dyDescent="0.35">
      <c r="A36" s="4" t="s">
        <v>1527</v>
      </c>
      <c r="B36" s="4" t="s">
        <v>1528</v>
      </c>
      <c r="C36" s="4" t="s">
        <v>122</v>
      </c>
      <c r="D36" s="4">
        <v>4.9000000000000004</v>
      </c>
      <c r="E36" s="4">
        <v>114363</v>
      </c>
      <c r="F36" s="4">
        <v>1997</v>
      </c>
      <c r="G36" s="4"/>
      <c r="H36" s="4"/>
    </row>
    <row r="37" spans="1:8" x14ac:dyDescent="0.35">
      <c r="A37" s="4" t="s">
        <v>1027</v>
      </c>
      <c r="B37" s="4" t="s">
        <v>1028</v>
      </c>
      <c r="C37" s="4" t="s">
        <v>933</v>
      </c>
      <c r="D37" s="4">
        <v>4.5999999999999996</v>
      </c>
      <c r="E37" s="4">
        <v>114344</v>
      </c>
      <c r="F37" s="4">
        <v>2017</v>
      </c>
      <c r="G37" s="4"/>
      <c r="H37" s="4"/>
    </row>
    <row r="38" spans="1:8" x14ac:dyDescent="0.35">
      <c r="A38" s="4" t="s">
        <v>829</v>
      </c>
      <c r="B38" s="4" t="s">
        <v>830</v>
      </c>
      <c r="C38" s="4" t="s">
        <v>544</v>
      </c>
      <c r="D38" s="4">
        <v>4.4000000000000004</v>
      </c>
      <c r="E38" s="4">
        <v>112636</v>
      </c>
      <c r="F38" s="4">
        <v>2023</v>
      </c>
      <c r="G38" s="4"/>
      <c r="H38" s="4"/>
    </row>
    <row r="39" spans="1:8" x14ac:dyDescent="0.35">
      <c r="A39" s="4" t="s">
        <v>225</v>
      </c>
      <c r="B39" s="4" t="s">
        <v>226</v>
      </c>
      <c r="C39" s="4" t="s">
        <v>227</v>
      </c>
      <c r="D39" s="4">
        <v>2.8</v>
      </c>
      <c r="E39" s="4">
        <v>112412</v>
      </c>
      <c r="F39" s="4">
        <v>2008</v>
      </c>
      <c r="G39" s="4"/>
      <c r="H39" s="4"/>
    </row>
    <row r="40" spans="1:8" x14ac:dyDescent="0.35">
      <c r="A40" s="4" t="s">
        <v>150</v>
      </c>
      <c r="B40" s="4" t="s">
        <v>151</v>
      </c>
      <c r="C40" s="4" t="s">
        <v>152</v>
      </c>
      <c r="D40" s="4">
        <v>2.4</v>
      </c>
      <c r="E40" s="4">
        <v>110384</v>
      </c>
      <c r="F40" s="4">
        <v>2007</v>
      </c>
      <c r="G40" s="4"/>
      <c r="H40" s="4"/>
    </row>
    <row r="41" spans="1:8" x14ac:dyDescent="0.35">
      <c r="A41" s="4" t="s">
        <v>2116</v>
      </c>
      <c r="B41" s="4" t="s">
        <v>2117</v>
      </c>
      <c r="C41" s="4" t="s">
        <v>669</v>
      </c>
      <c r="D41" s="4">
        <v>5.2</v>
      </c>
      <c r="E41" s="4">
        <v>109586</v>
      </c>
      <c r="F41" s="4">
        <v>2010</v>
      </c>
      <c r="G41" s="4"/>
      <c r="H41" s="4"/>
    </row>
    <row r="42" spans="1:8" x14ac:dyDescent="0.35">
      <c r="A42" s="4" t="s">
        <v>1529</v>
      </c>
      <c r="B42" s="4" t="s">
        <v>1530</v>
      </c>
      <c r="C42" s="4" t="s">
        <v>249</v>
      </c>
      <c r="D42" s="4">
        <v>4.9000000000000004</v>
      </c>
      <c r="E42" s="4">
        <v>107514</v>
      </c>
      <c r="F42" s="4">
        <v>2015</v>
      </c>
      <c r="G42" s="4"/>
      <c r="H42" s="4"/>
    </row>
    <row r="43" spans="1:8" x14ac:dyDescent="0.35">
      <c r="A43" s="4" t="s">
        <v>1531</v>
      </c>
      <c r="B43" s="4" t="s">
        <v>1532</v>
      </c>
      <c r="C43" s="4" t="s">
        <v>11</v>
      </c>
      <c r="D43" s="4">
        <v>4.9000000000000004</v>
      </c>
      <c r="E43" s="4">
        <v>105010</v>
      </c>
      <c r="F43" s="4">
        <v>2009</v>
      </c>
      <c r="G43" s="4"/>
      <c r="H43" s="4"/>
    </row>
    <row r="44" spans="1:8" x14ac:dyDescent="0.35">
      <c r="A44" s="4" t="s">
        <v>2118</v>
      </c>
      <c r="B44" s="4" t="s">
        <v>2119</v>
      </c>
      <c r="C44" s="4" t="s">
        <v>166</v>
      </c>
      <c r="D44" s="4">
        <v>5.2</v>
      </c>
      <c r="E44" s="4">
        <v>103537</v>
      </c>
      <c r="F44" s="4">
        <v>2011</v>
      </c>
      <c r="G44" s="4"/>
      <c r="H44" s="4"/>
    </row>
    <row r="45" spans="1:8" x14ac:dyDescent="0.35">
      <c r="A45" s="4" t="s">
        <v>1861</v>
      </c>
      <c r="B45" s="4" t="s">
        <v>1862</v>
      </c>
      <c r="C45" s="4" t="s">
        <v>163</v>
      </c>
      <c r="D45" s="4">
        <v>5.0999999999999996</v>
      </c>
      <c r="E45" s="4">
        <v>103225</v>
      </c>
      <c r="F45" s="4">
        <v>2022</v>
      </c>
      <c r="G45" s="4"/>
      <c r="H45" s="4"/>
    </row>
    <row r="46" spans="1:8" x14ac:dyDescent="0.35">
      <c r="A46" s="4" t="s">
        <v>317</v>
      </c>
      <c r="B46" s="4" t="s">
        <v>318</v>
      </c>
      <c r="C46" s="4" t="s">
        <v>208</v>
      </c>
      <c r="D46" s="4">
        <v>3.3</v>
      </c>
      <c r="E46" s="4">
        <v>101121</v>
      </c>
      <c r="F46" s="4">
        <v>2020</v>
      </c>
      <c r="G46" s="4"/>
      <c r="H46" s="4"/>
    </row>
    <row r="47" spans="1:8" x14ac:dyDescent="0.35">
      <c r="A47" s="4" t="s">
        <v>1161</v>
      </c>
      <c r="B47" s="4" t="s">
        <v>1162</v>
      </c>
      <c r="C47" s="4" t="s">
        <v>275</v>
      </c>
      <c r="D47" s="4">
        <v>4.7</v>
      </c>
      <c r="E47" s="4">
        <v>100251</v>
      </c>
      <c r="F47" s="4">
        <v>2005</v>
      </c>
      <c r="G47" s="4"/>
      <c r="H47" s="4"/>
    </row>
    <row r="48" spans="1:8" x14ac:dyDescent="0.35">
      <c r="A48" s="4" t="s">
        <v>2120</v>
      </c>
      <c r="B48" s="4" t="s">
        <v>2121</v>
      </c>
      <c r="C48" s="4" t="s">
        <v>134</v>
      </c>
      <c r="D48" s="4">
        <v>5.2</v>
      </c>
      <c r="E48" s="4">
        <v>98457</v>
      </c>
      <c r="F48" s="4">
        <v>2017</v>
      </c>
      <c r="G48" s="4"/>
      <c r="H48" s="4"/>
    </row>
    <row r="49" spans="1:8" x14ac:dyDescent="0.35">
      <c r="A49" s="4" t="s">
        <v>2122</v>
      </c>
      <c r="B49" s="4" t="s">
        <v>2123</v>
      </c>
      <c r="C49" s="4" t="s">
        <v>217</v>
      </c>
      <c r="D49" s="4">
        <v>5.2</v>
      </c>
      <c r="E49" s="4">
        <v>97181</v>
      </c>
      <c r="F49" s="4">
        <v>2007</v>
      </c>
      <c r="G49" s="4"/>
      <c r="H49" s="4"/>
    </row>
    <row r="50" spans="1:8" x14ac:dyDescent="0.35">
      <c r="A50" s="4" t="s">
        <v>24</v>
      </c>
      <c r="B50" s="4" t="s">
        <v>25</v>
      </c>
      <c r="C50" s="4" t="s">
        <v>26</v>
      </c>
      <c r="D50" s="4">
        <v>1.2</v>
      </c>
      <c r="E50" s="4">
        <v>96853</v>
      </c>
      <c r="F50" s="4">
        <v>2020</v>
      </c>
      <c r="G50" s="4"/>
      <c r="H50" s="4"/>
    </row>
    <row r="51" spans="1:8" x14ac:dyDescent="0.35">
      <c r="A51" s="4" t="s">
        <v>401</v>
      </c>
      <c r="B51" s="4" t="s">
        <v>402</v>
      </c>
      <c r="C51" s="4" t="s">
        <v>14</v>
      </c>
      <c r="D51" s="4">
        <v>3.6</v>
      </c>
      <c r="E51" s="4">
        <v>96417</v>
      </c>
      <c r="F51" s="4">
        <v>2003</v>
      </c>
      <c r="G51" s="4"/>
      <c r="H51" s="4"/>
    </row>
    <row r="52" spans="1:8" x14ac:dyDescent="0.35">
      <c r="A52" s="4" t="s">
        <v>1863</v>
      </c>
      <c r="B52" s="4" t="s">
        <v>1864</v>
      </c>
      <c r="C52" s="4" t="s">
        <v>217</v>
      </c>
      <c r="D52" s="4">
        <v>5.0999999999999996</v>
      </c>
      <c r="E52" s="4">
        <v>96086</v>
      </c>
      <c r="F52" s="4">
        <v>2004</v>
      </c>
      <c r="G52" s="4"/>
      <c r="H52" s="4"/>
    </row>
    <row r="53" spans="1:8" x14ac:dyDescent="0.35">
      <c r="A53" s="4" t="s">
        <v>102</v>
      </c>
      <c r="B53" s="4" t="s">
        <v>103</v>
      </c>
      <c r="C53" s="4" t="s">
        <v>104</v>
      </c>
      <c r="D53" s="4">
        <v>1.9</v>
      </c>
      <c r="E53" s="4">
        <v>95369</v>
      </c>
      <c r="F53" s="4">
        <v>2008</v>
      </c>
      <c r="G53" s="4"/>
      <c r="H53" s="4"/>
    </row>
    <row r="54" spans="1:8" x14ac:dyDescent="0.35">
      <c r="A54" s="4" t="s">
        <v>922</v>
      </c>
      <c r="B54" s="4" t="s">
        <v>923</v>
      </c>
      <c r="C54" s="4" t="s">
        <v>143</v>
      </c>
      <c r="D54" s="4">
        <v>4.5</v>
      </c>
      <c r="E54" s="4">
        <v>92778</v>
      </c>
      <c r="F54" s="4">
        <v>2010</v>
      </c>
      <c r="G54" s="4"/>
      <c r="H54" s="4"/>
    </row>
    <row r="55" spans="1:8" x14ac:dyDescent="0.35">
      <c r="A55" s="4" t="s">
        <v>2124</v>
      </c>
      <c r="B55" s="4" t="s">
        <v>2125</v>
      </c>
      <c r="C55" s="4" t="s">
        <v>146</v>
      </c>
      <c r="D55" s="4">
        <v>5.2</v>
      </c>
      <c r="E55" s="4">
        <v>92136</v>
      </c>
      <c r="F55" s="4">
        <v>2000</v>
      </c>
      <c r="G55" s="4"/>
      <c r="H55" s="4"/>
    </row>
    <row r="56" spans="1:8" x14ac:dyDescent="0.35">
      <c r="A56" s="4" t="s">
        <v>924</v>
      </c>
      <c r="B56" s="4" t="s">
        <v>925</v>
      </c>
      <c r="C56" s="4" t="s">
        <v>926</v>
      </c>
      <c r="D56" s="4">
        <v>4.5</v>
      </c>
      <c r="E56" s="4">
        <v>91834</v>
      </c>
      <c r="F56" s="4">
        <v>2017</v>
      </c>
      <c r="G56" s="4"/>
      <c r="H56" s="4"/>
    </row>
    <row r="57" spans="1:8" x14ac:dyDescent="0.35">
      <c r="A57" s="4" t="s">
        <v>319</v>
      </c>
      <c r="B57" s="4" t="s">
        <v>320</v>
      </c>
      <c r="C57" s="4" t="s">
        <v>11</v>
      </c>
      <c r="D57" s="4">
        <v>3.3</v>
      </c>
      <c r="E57" s="4">
        <v>91775</v>
      </c>
      <c r="F57" s="4">
        <v>2011</v>
      </c>
      <c r="G57" s="4"/>
      <c r="H57" s="4"/>
    </row>
    <row r="58" spans="1:8" x14ac:dyDescent="0.35">
      <c r="A58" s="4" t="s">
        <v>591</v>
      </c>
      <c r="B58" s="4" t="s">
        <v>592</v>
      </c>
      <c r="C58" s="4" t="s">
        <v>163</v>
      </c>
      <c r="D58" s="4">
        <v>4</v>
      </c>
      <c r="E58" s="4">
        <v>91349</v>
      </c>
      <c r="F58" s="4">
        <v>2024</v>
      </c>
      <c r="G58" s="4"/>
      <c r="H58" s="4"/>
    </row>
    <row r="59" spans="1:8" x14ac:dyDescent="0.35">
      <c r="A59" s="4" t="s">
        <v>831</v>
      </c>
      <c r="B59" s="4" t="s">
        <v>832</v>
      </c>
      <c r="C59" s="4" t="s">
        <v>76</v>
      </c>
      <c r="D59" s="4">
        <v>4.4000000000000004</v>
      </c>
      <c r="E59" s="4">
        <v>90037</v>
      </c>
      <c r="F59" s="4">
        <v>2009</v>
      </c>
      <c r="G59" s="4"/>
      <c r="H59" s="4"/>
    </row>
    <row r="60" spans="1:8" x14ac:dyDescent="0.35">
      <c r="A60" s="4" t="s">
        <v>633</v>
      </c>
      <c r="B60" s="4" t="s">
        <v>634</v>
      </c>
      <c r="C60" s="4" t="s">
        <v>217</v>
      </c>
      <c r="D60" s="4">
        <v>4.0999999999999996</v>
      </c>
      <c r="E60" s="4">
        <v>89438</v>
      </c>
      <c r="F60" s="4">
        <v>2003</v>
      </c>
      <c r="G60" s="4"/>
      <c r="H60" s="4"/>
    </row>
    <row r="61" spans="1:8" x14ac:dyDescent="0.35">
      <c r="A61" s="4" t="s">
        <v>1676</v>
      </c>
      <c r="B61" s="4" t="s">
        <v>1677</v>
      </c>
      <c r="C61" s="4" t="s">
        <v>140</v>
      </c>
      <c r="D61" s="4">
        <v>5</v>
      </c>
      <c r="E61" s="4">
        <v>87941</v>
      </c>
      <c r="F61" s="4">
        <v>1994</v>
      </c>
      <c r="G61" s="4"/>
      <c r="H61" s="4"/>
    </row>
    <row r="62" spans="1:8" x14ac:dyDescent="0.35">
      <c r="A62" s="4" t="s">
        <v>1678</v>
      </c>
      <c r="B62" s="4" t="s">
        <v>1679</v>
      </c>
      <c r="C62" s="4" t="s">
        <v>122</v>
      </c>
      <c r="D62" s="4">
        <v>5</v>
      </c>
      <c r="E62" s="4">
        <v>87341</v>
      </c>
      <c r="F62" s="4">
        <v>2023</v>
      </c>
      <c r="G62" s="4"/>
      <c r="H62" s="4"/>
    </row>
    <row r="63" spans="1:8" x14ac:dyDescent="0.35">
      <c r="A63" s="4" t="s">
        <v>527</v>
      </c>
      <c r="B63" s="4" t="s">
        <v>528</v>
      </c>
      <c r="C63" s="4" t="s">
        <v>275</v>
      </c>
      <c r="D63" s="4">
        <v>3.9</v>
      </c>
      <c r="E63" s="4">
        <v>87201</v>
      </c>
      <c r="F63" s="4">
        <v>1997</v>
      </c>
      <c r="G63" s="4"/>
      <c r="H63" s="4"/>
    </row>
    <row r="64" spans="1:8" x14ac:dyDescent="0.35">
      <c r="A64" s="4" t="s">
        <v>27</v>
      </c>
      <c r="B64" s="4" t="s">
        <v>28</v>
      </c>
      <c r="C64" s="4" t="s">
        <v>20</v>
      </c>
      <c r="D64" s="4">
        <v>1.2</v>
      </c>
      <c r="E64" s="4">
        <v>86315</v>
      </c>
      <c r="F64" s="4">
        <v>2023</v>
      </c>
      <c r="G64" s="4"/>
      <c r="H64" s="4"/>
    </row>
    <row r="65" spans="1:8" x14ac:dyDescent="0.35">
      <c r="A65" s="4" t="s">
        <v>927</v>
      </c>
      <c r="B65" s="4" t="s">
        <v>928</v>
      </c>
      <c r="C65" s="4" t="s">
        <v>128</v>
      </c>
      <c r="D65" s="4">
        <v>4.5</v>
      </c>
      <c r="E65" s="4">
        <v>85258</v>
      </c>
      <c r="F65" s="4">
        <v>2010</v>
      </c>
      <c r="G65" s="4"/>
      <c r="H65" s="4"/>
    </row>
    <row r="66" spans="1:8" x14ac:dyDescent="0.35">
      <c r="A66" s="4" t="s">
        <v>833</v>
      </c>
      <c r="B66" s="4" t="s">
        <v>834</v>
      </c>
      <c r="C66" s="4" t="s">
        <v>172</v>
      </c>
      <c r="D66" s="4">
        <v>4.4000000000000004</v>
      </c>
      <c r="E66" s="4">
        <v>84625</v>
      </c>
      <c r="F66" s="4">
        <v>2006</v>
      </c>
      <c r="G66" s="4"/>
      <c r="H66" s="4"/>
    </row>
    <row r="67" spans="1:8" x14ac:dyDescent="0.35">
      <c r="A67" s="4" t="s">
        <v>1865</v>
      </c>
      <c r="B67" s="4" t="s">
        <v>1866</v>
      </c>
      <c r="C67" s="4" t="s">
        <v>53</v>
      </c>
      <c r="D67" s="4">
        <v>5.0999999999999996</v>
      </c>
      <c r="E67" s="4">
        <v>84431</v>
      </c>
      <c r="F67" s="4">
        <v>2014</v>
      </c>
      <c r="G67" s="4"/>
      <c r="H67" s="4"/>
    </row>
    <row r="68" spans="1:8" x14ac:dyDescent="0.35">
      <c r="A68" s="4" t="s">
        <v>1867</v>
      </c>
      <c r="B68" s="4" t="s">
        <v>1868</v>
      </c>
      <c r="C68" s="4" t="s">
        <v>1869</v>
      </c>
      <c r="D68" s="4">
        <v>5.0999999999999996</v>
      </c>
      <c r="E68" s="4">
        <v>84009</v>
      </c>
      <c r="F68" s="4">
        <v>2011</v>
      </c>
      <c r="G68" s="4"/>
      <c r="H68" s="4"/>
    </row>
    <row r="69" spans="1:8" x14ac:dyDescent="0.35">
      <c r="A69" s="4" t="s">
        <v>161</v>
      </c>
      <c r="B69" s="4" t="s">
        <v>162</v>
      </c>
      <c r="C69" s="4" t="s">
        <v>163</v>
      </c>
      <c r="D69" s="4">
        <v>2.5</v>
      </c>
      <c r="E69" s="4">
        <v>83924</v>
      </c>
      <c r="F69" s="4">
        <v>2000</v>
      </c>
      <c r="G69" s="4"/>
      <c r="H69" s="4"/>
    </row>
    <row r="70" spans="1:8" x14ac:dyDescent="0.35">
      <c r="A70" s="4" t="s">
        <v>1870</v>
      </c>
      <c r="B70" s="4" t="s">
        <v>1871</v>
      </c>
      <c r="C70" s="4" t="s">
        <v>11</v>
      </c>
      <c r="D70" s="4">
        <v>5.0999999999999996</v>
      </c>
      <c r="E70" s="4">
        <v>82607</v>
      </c>
      <c r="F70" s="4">
        <v>2005</v>
      </c>
      <c r="G70" s="4"/>
      <c r="H70" s="4"/>
    </row>
    <row r="71" spans="1:8" x14ac:dyDescent="0.35">
      <c r="A71" s="4" t="s">
        <v>929</v>
      </c>
      <c r="B71" s="4" t="s">
        <v>930</v>
      </c>
      <c r="C71" s="4" t="s">
        <v>65</v>
      </c>
      <c r="D71" s="4">
        <v>4.5</v>
      </c>
      <c r="E71" s="4">
        <v>82226</v>
      </c>
      <c r="F71" s="4">
        <v>2021</v>
      </c>
      <c r="G71" s="4"/>
      <c r="H71" s="4"/>
    </row>
    <row r="72" spans="1:8" x14ac:dyDescent="0.35">
      <c r="A72" s="4" t="s">
        <v>1680</v>
      </c>
      <c r="B72" s="4" t="s">
        <v>1681</v>
      </c>
      <c r="C72" s="4" t="s">
        <v>915</v>
      </c>
      <c r="D72" s="4">
        <v>5</v>
      </c>
      <c r="E72" s="4">
        <v>81840</v>
      </c>
      <c r="F72" s="4">
        <v>1999</v>
      </c>
      <c r="G72" s="4"/>
      <c r="H72" s="4"/>
    </row>
    <row r="73" spans="1:8" x14ac:dyDescent="0.35">
      <c r="A73" s="4" t="s">
        <v>2126</v>
      </c>
      <c r="B73" s="4" t="s">
        <v>2127</v>
      </c>
      <c r="C73" s="4" t="s">
        <v>146</v>
      </c>
      <c r="D73" s="4">
        <v>5.2</v>
      </c>
      <c r="E73" s="4">
        <v>81432</v>
      </c>
      <c r="F73" s="4">
        <v>2005</v>
      </c>
      <c r="G73" s="4"/>
      <c r="H73" s="4"/>
    </row>
    <row r="74" spans="1:8" x14ac:dyDescent="0.35">
      <c r="A74" s="4" t="s">
        <v>1682</v>
      </c>
      <c r="B74" s="4" t="s">
        <v>1683</v>
      </c>
      <c r="C74" s="4" t="s">
        <v>178</v>
      </c>
      <c r="D74" s="4">
        <v>5</v>
      </c>
      <c r="E74" s="4">
        <v>81360</v>
      </c>
      <c r="F74" s="4">
        <v>2019</v>
      </c>
      <c r="G74" s="4"/>
      <c r="H74" s="4"/>
    </row>
    <row r="75" spans="1:8" x14ac:dyDescent="0.35">
      <c r="A75" s="4" t="s">
        <v>683</v>
      </c>
      <c r="B75" s="4" t="s">
        <v>684</v>
      </c>
      <c r="C75" s="4" t="s">
        <v>116</v>
      </c>
      <c r="D75" s="4">
        <v>4.2</v>
      </c>
      <c r="E75" s="4">
        <v>81273</v>
      </c>
      <c r="F75" s="4">
        <v>2007</v>
      </c>
      <c r="G75" s="4"/>
      <c r="H75" s="4"/>
    </row>
    <row r="76" spans="1:8" x14ac:dyDescent="0.35">
      <c r="A76" s="4" t="s">
        <v>1325</v>
      </c>
      <c r="B76" s="4" t="s">
        <v>1326</v>
      </c>
      <c r="C76" s="4" t="s">
        <v>175</v>
      </c>
      <c r="D76" s="4">
        <v>4.8</v>
      </c>
      <c r="E76" s="4">
        <v>80450</v>
      </c>
      <c r="F76" s="4">
        <v>1998</v>
      </c>
      <c r="G76" s="4"/>
      <c r="H76" s="4"/>
    </row>
    <row r="77" spans="1:8" x14ac:dyDescent="0.35">
      <c r="A77" s="4" t="s">
        <v>164</v>
      </c>
      <c r="B77" s="4" t="s">
        <v>165</v>
      </c>
      <c r="C77" s="4" t="s">
        <v>166</v>
      </c>
      <c r="D77" s="4">
        <v>2.5</v>
      </c>
      <c r="E77" s="4">
        <v>80320</v>
      </c>
      <c r="F77" s="4">
        <v>2009</v>
      </c>
      <c r="G77" s="4"/>
      <c r="H77" s="4"/>
    </row>
    <row r="78" spans="1:8" x14ac:dyDescent="0.35">
      <c r="A78" s="4" t="s">
        <v>63</v>
      </c>
      <c r="B78" s="4" t="s">
        <v>64</v>
      </c>
      <c r="C78" s="4" t="s">
        <v>65</v>
      </c>
      <c r="D78" s="4">
        <v>1.6</v>
      </c>
      <c r="E78" s="4">
        <v>79558</v>
      </c>
      <c r="F78" s="4">
        <v>2023</v>
      </c>
      <c r="G78" s="4"/>
      <c r="H78" s="4"/>
    </row>
    <row r="79" spans="1:8" x14ac:dyDescent="0.35">
      <c r="A79" s="4" t="s">
        <v>366</v>
      </c>
      <c r="B79" s="4" t="s">
        <v>367</v>
      </c>
      <c r="C79" s="4" t="s">
        <v>211</v>
      </c>
      <c r="D79" s="4">
        <v>3.5</v>
      </c>
      <c r="E79" s="4">
        <v>78692</v>
      </c>
      <c r="F79" s="4">
        <v>2013</v>
      </c>
      <c r="G79" s="4"/>
      <c r="H79" s="4"/>
    </row>
    <row r="80" spans="1:8" x14ac:dyDescent="0.35">
      <c r="A80" s="4" t="s">
        <v>1163</v>
      </c>
      <c r="B80" s="4" t="s">
        <v>1164</v>
      </c>
      <c r="C80" s="4" t="s">
        <v>62</v>
      </c>
      <c r="D80" s="4">
        <v>4.7</v>
      </c>
      <c r="E80" s="4">
        <v>77530</v>
      </c>
      <c r="F80" s="4">
        <v>2008</v>
      </c>
      <c r="G80" s="4"/>
      <c r="H80" s="4"/>
    </row>
    <row r="81" spans="1:8" x14ac:dyDescent="0.35">
      <c r="A81" s="4" t="s">
        <v>1165</v>
      </c>
      <c r="B81" s="4" t="s">
        <v>1166</v>
      </c>
      <c r="C81" s="4" t="s">
        <v>178</v>
      </c>
      <c r="D81" s="4">
        <v>4.7</v>
      </c>
      <c r="E81" s="4">
        <v>77401</v>
      </c>
      <c r="F81" s="4">
        <v>2016</v>
      </c>
      <c r="G81" s="4"/>
      <c r="H81" s="4"/>
    </row>
    <row r="82" spans="1:8" x14ac:dyDescent="0.35">
      <c r="A82" s="4" t="s">
        <v>931</v>
      </c>
      <c r="B82" s="4" t="s">
        <v>932</v>
      </c>
      <c r="C82" s="4" t="s">
        <v>933</v>
      </c>
      <c r="D82" s="4">
        <v>4.5</v>
      </c>
      <c r="E82" s="4">
        <v>76596</v>
      </c>
      <c r="F82" s="4">
        <v>2018</v>
      </c>
      <c r="G82" s="4"/>
      <c r="H82" s="4"/>
    </row>
    <row r="83" spans="1:8" x14ac:dyDescent="0.35">
      <c r="A83" s="4" t="s">
        <v>635</v>
      </c>
      <c r="B83" s="4" t="s">
        <v>636</v>
      </c>
      <c r="C83" s="4" t="s">
        <v>178</v>
      </c>
      <c r="D83" s="4">
        <v>4.0999999999999996</v>
      </c>
      <c r="E83" s="4">
        <v>76574</v>
      </c>
      <c r="F83" s="4">
        <v>1994</v>
      </c>
      <c r="G83" s="4"/>
      <c r="H83" s="4"/>
    </row>
    <row r="84" spans="1:8" x14ac:dyDescent="0.35">
      <c r="A84" s="4" t="s">
        <v>1684</v>
      </c>
      <c r="B84" s="4" t="s">
        <v>1685</v>
      </c>
      <c r="C84" s="4" t="s">
        <v>11</v>
      </c>
      <c r="D84" s="4">
        <v>5</v>
      </c>
      <c r="E84" s="4">
        <v>76565</v>
      </c>
      <c r="F84" s="4">
        <v>2005</v>
      </c>
      <c r="G84" s="4"/>
      <c r="H84" s="4"/>
    </row>
    <row r="85" spans="1:8" x14ac:dyDescent="0.35">
      <c r="A85" s="4" t="s">
        <v>1872</v>
      </c>
      <c r="B85" s="4" t="s">
        <v>1873</v>
      </c>
      <c r="C85" s="4" t="s">
        <v>14</v>
      </c>
      <c r="D85" s="4">
        <v>5.0999999999999996</v>
      </c>
      <c r="E85" s="4">
        <v>76488</v>
      </c>
      <c r="F85" s="4">
        <v>1995</v>
      </c>
      <c r="G85" s="4"/>
      <c r="H85" s="4"/>
    </row>
    <row r="86" spans="1:8" x14ac:dyDescent="0.35">
      <c r="A86" s="4" t="s">
        <v>72</v>
      </c>
      <c r="B86" s="4" t="s">
        <v>73</v>
      </c>
      <c r="C86" s="4" t="s">
        <v>68</v>
      </c>
      <c r="D86" s="4">
        <v>1.7</v>
      </c>
      <c r="E86" s="4">
        <v>76481</v>
      </c>
      <c r="F86" s="4">
        <v>2011</v>
      </c>
      <c r="G86" s="4"/>
      <c r="H86" s="4"/>
    </row>
    <row r="87" spans="1:8" x14ac:dyDescent="0.35">
      <c r="A87" s="4" t="s">
        <v>1327</v>
      </c>
      <c r="B87" s="4" t="s">
        <v>1328</v>
      </c>
      <c r="C87" s="4" t="s">
        <v>1329</v>
      </c>
      <c r="D87" s="4">
        <v>4.8</v>
      </c>
      <c r="E87" s="4">
        <v>76235</v>
      </c>
      <c r="F87" s="4">
        <v>2005</v>
      </c>
      <c r="G87" s="4"/>
      <c r="H87" s="4"/>
    </row>
    <row r="88" spans="1:8" x14ac:dyDescent="0.35">
      <c r="A88" s="4" t="s">
        <v>1686</v>
      </c>
      <c r="B88" s="4" t="s">
        <v>1687</v>
      </c>
      <c r="C88" s="4" t="s">
        <v>178</v>
      </c>
      <c r="D88" s="4">
        <v>5</v>
      </c>
      <c r="E88" s="4">
        <v>76095</v>
      </c>
      <c r="F88" s="4">
        <v>1983</v>
      </c>
      <c r="G88" s="4"/>
      <c r="H88" s="4"/>
    </row>
    <row r="89" spans="1:8" x14ac:dyDescent="0.35">
      <c r="A89" s="4" t="s">
        <v>1688</v>
      </c>
      <c r="B89" s="4" t="s">
        <v>1689</v>
      </c>
      <c r="C89" s="4" t="s">
        <v>565</v>
      </c>
      <c r="D89" s="4">
        <v>5</v>
      </c>
      <c r="E89" s="4">
        <v>75937</v>
      </c>
      <c r="F89" s="4">
        <v>2022</v>
      </c>
      <c r="G89" s="4"/>
      <c r="H89" s="4"/>
    </row>
    <row r="90" spans="1:8" x14ac:dyDescent="0.35">
      <c r="A90" s="4" t="s">
        <v>2128</v>
      </c>
      <c r="B90" s="4" t="s">
        <v>2129</v>
      </c>
      <c r="C90" s="4" t="s">
        <v>163</v>
      </c>
      <c r="D90" s="4">
        <v>5.2</v>
      </c>
      <c r="E90" s="4">
        <v>75507</v>
      </c>
      <c r="F90" s="4">
        <v>1998</v>
      </c>
      <c r="G90" s="4"/>
      <c r="H90" s="4"/>
    </row>
    <row r="91" spans="1:8" x14ac:dyDescent="0.35">
      <c r="A91" s="4" t="s">
        <v>1874</v>
      </c>
      <c r="B91" s="4" t="s">
        <v>1875</v>
      </c>
      <c r="C91" s="4" t="s">
        <v>11</v>
      </c>
      <c r="D91" s="4">
        <v>5.0999999999999996</v>
      </c>
      <c r="E91" s="4">
        <v>75162</v>
      </c>
      <c r="F91" s="4">
        <v>2006</v>
      </c>
      <c r="G91" s="4"/>
      <c r="H91" s="4"/>
    </row>
    <row r="92" spans="1:8" x14ac:dyDescent="0.35">
      <c r="A92" s="4" t="s">
        <v>1533</v>
      </c>
      <c r="B92" s="4" t="s">
        <v>1534</v>
      </c>
      <c r="C92" s="4" t="s">
        <v>217</v>
      </c>
      <c r="D92" s="4">
        <v>4.9000000000000004</v>
      </c>
      <c r="E92" s="4">
        <v>74697</v>
      </c>
      <c r="F92" s="4">
        <v>2010</v>
      </c>
      <c r="G92" s="4"/>
      <c r="H92" s="4"/>
    </row>
    <row r="93" spans="1:8" x14ac:dyDescent="0.35">
      <c r="A93" s="4" t="s">
        <v>685</v>
      </c>
      <c r="B93" s="4" t="s">
        <v>686</v>
      </c>
      <c r="C93" s="4" t="s">
        <v>181</v>
      </c>
      <c r="D93" s="4">
        <v>4.2</v>
      </c>
      <c r="E93" s="4">
        <v>74378</v>
      </c>
      <c r="F93" s="4">
        <v>2020</v>
      </c>
      <c r="G93" s="4"/>
      <c r="H93" s="4"/>
    </row>
    <row r="94" spans="1:8" x14ac:dyDescent="0.35">
      <c r="A94" s="4" t="s">
        <v>934</v>
      </c>
      <c r="B94" s="4" t="s">
        <v>935</v>
      </c>
      <c r="C94" s="4" t="s">
        <v>275</v>
      </c>
      <c r="D94" s="4">
        <v>4.5</v>
      </c>
      <c r="E94" s="4">
        <v>74341</v>
      </c>
      <c r="F94" s="4">
        <v>2005</v>
      </c>
      <c r="G94" s="4"/>
      <c r="H94" s="4"/>
    </row>
    <row r="95" spans="1:8" x14ac:dyDescent="0.35">
      <c r="A95" s="4" t="s">
        <v>1330</v>
      </c>
      <c r="B95" s="4" t="s">
        <v>1331</v>
      </c>
      <c r="C95" s="4" t="s">
        <v>11</v>
      </c>
      <c r="D95" s="4">
        <v>4.8</v>
      </c>
      <c r="E95" s="4">
        <v>74211</v>
      </c>
      <c r="F95" s="4">
        <v>2003</v>
      </c>
      <c r="G95" s="4"/>
      <c r="H95" s="4"/>
    </row>
    <row r="96" spans="1:8" x14ac:dyDescent="0.35">
      <c r="A96" s="4" t="s">
        <v>6</v>
      </c>
      <c r="B96" s="4" t="s">
        <v>7</v>
      </c>
      <c r="C96" s="4" t="s">
        <v>8</v>
      </c>
      <c r="D96" s="4">
        <v>1</v>
      </c>
      <c r="E96" s="4">
        <v>74167</v>
      </c>
      <c r="F96" s="4">
        <v>2017</v>
      </c>
      <c r="G96" s="4"/>
      <c r="H96" s="4"/>
    </row>
    <row r="97" spans="1:8" x14ac:dyDescent="0.35">
      <c r="A97" s="4" t="s">
        <v>1167</v>
      </c>
      <c r="B97" s="4" t="s">
        <v>1168</v>
      </c>
      <c r="C97" s="4" t="s">
        <v>944</v>
      </c>
      <c r="D97" s="4">
        <v>4.7</v>
      </c>
      <c r="E97" s="4">
        <v>74118</v>
      </c>
      <c r="F97" s="4">
        <v>1994</v>
      </c>
      <c r="G97" s="4"/>
      <c r="H97" s="4"/>
    </row>
    <row r="98" spans="1:8" x14ac:dyDescent="0.35">
      <c r="A98" s="4" t="s">
        <v>1535</v>
      </c>
      <c r="B98" s="4" t="s">
        <v>1536</v>
      </c>
      <c r="C98" s="4" t="s">
        <v>175</v>
      </c>
      <c r="D98" s="4">
        <v>4.9000000000000004</v>
      </c>
      <c r="E98" s="4">
        <v>74084</v>
      </c>
      <c r="F98" s="4">
        <v>2010</v>
      </c>
      <c r="G98" s="4"/>
      <c r="H98" s="4"/>
    </row>
    <row r="99" spans="1:8" x14ac:dyDescent="0.35">
      <c r="A99" s="4" t="s">
        <v>2130</v>
      </c>
      <c r="B99" s="4" t="s">
        <v>2131</v>
      </c>
      <c r="C99" s="4" t="s">
        <v>155</v>
      </c>
      <c r="D99" s="4">
        <v>5.2</v>
      </c>
      <c r="E99" s="4">
        <v>73638</v>
      </c>
      <c r="F99" s="4">
        <v>2018</v>
      </c>
      <c r="G99" s="4"/>
      <c r="H99" s="4"/>
    </row>
    <row r="100" spans="1:8" x14ac:dyDescent="0.35">
      <c r="A100" s="4" t="s">
        <v>339</v>
      </c>
      <c r="B100" s="4" t="s">
        <v>340</v>
      </c>
      <c r="C100" s="4" t="s">
        <v>65</v>
      </c>
      <c r="D100" s="4">
        <v>3.4</v>
      </c>
      <c r="E100" s="4">
        <v>73536</v>
      </c>
      <c r="F100" s="4">
        <v>2017</v>
      </c>
      <c r="G100" s="4"/>
      <c r="H100" s="4"/>
    </row>
    <row r="101" spans="1:8" x14ac:dyDescent="0.35">
      <c r="A101" s="4" t="s">
        <v>2132</v>
      </c>
      <c r="B101" s="4" t="s">
        <v>2133</v>
      </c>
      <c r="C101" s="4" t="s">
        <v>508</v>
      </c>
      <c r="D101" s="4">
        <v>5.2</v>
      </c>
      <c r="E101" s="4">
        <v>73530</v>
      </c>
      <c r="F101" s="4">
        <v>2017</v>
      </c>
      <c r="G101" s="4"/>
      <c r="H101" s="4"/>
    </row>
    <row r="102" spans="1:8" x14ac:dyDescent="0.35">
      <c r="A102" s="4" t="s">
        <v>2134</v>
      </c>
      <c r="B102" s="4" t="s">
        <v>2135</v>
      </c>
      <c r="C102" s="4" t="s">
        <v>56</v>
      </c>
      <c r="D102" s="4">
        <v>5.2</v>
      </c>
      <c r="E102" s="4">
        <v>73490</v>
      </c>
      <c r="F102" s="4">
        <v>1997</v>
      </c>
      <c r="G102" s="4"/>
      <c r="H102" s="4"/>
    </row>
    <row r="103" spans="1:8" x14ac:dyDescent="0.35">
      <c r="A103" s="4" t="s">
        <v>480</v>
      </c>
      <c r="B103" s="4" t="s">
        <v>481</v>
      </c>
      <c r="C103" s="4" t="s">
        <v>175</v>
      </c>
      <c r="D103" s="4">
        <v>3.8</v>
      </c>
      <c r="E103" s="4">
        <v>72530</v>
      </c>
      <c r="F103" s="4">
        <v>2006</v>
      </c>
      <c r="G103" s="4"/>
      <c r="H103" s="4"/>
    </row>
    <row r="104" spans="1:8" x14ac:dyDescent="0.35">
      <c r="A104" s="4" t="s">
        <v>1029</v>
      </c>
      <c r="B104" s="4" t="s">
        <v>1030</v>
      </c>
      <c r="C104" s="4" t="s">
        <v>448</v>
      </c>
      <c r="D104" s="4">
        <v>4.5999999999999996</v>
      </c>
      <c r="E104" s="4">
        <v>71282</v>
      </c>
      <c r="F104" s="4">
        <v>2012</v>
      </c>
      <c r="G104" s="4"/>
      <c r="H104" s="4"/>
    </row>
    <row r="105" spans="1:8" x14ac:dyDescent="0.35">
      <c r="A105" s="4" t="s">
        <v>2136</v>
      </c>
      <c r="B105" s="4" t="s">
        <v>2137</v>
      </c>
      <c r="C105" s="4" t="s">
        <v>175</v>
      </c>
      <c r="D105" s="4">
        <v>5.2</v>
      </c>
      <c r="E105" s="4">
        <v>71042</v>
      </c>
      <c r="F105" s="4">
        <v>2021</v>
      </c>
      <c r="G105" s="4"/>
      <c r="H105" s="4"/>
    </row>
    <row r="106" spans="1:8" x14ac:dyDescent="0.35">
      <c r="A106" s="4" t="s">
        <v>2138</v>
      </c>
      <c r="B106" s="4" t="s">
        <v>2139</v>
      </c>
      <c r="C106" s="4" t="s">
        <v>166</v>
      </c>
      <c r="D106" s="4">
        <v>5.2</v>
      </c>
      <c r="E106" s="4">
        <v>69645</v>
      </c>
      <c r="F106" s="4">
        <v>2020</v>
      </c>
      <c r="G106" s="4"/>
      <c r="H106" s="4"/>
    </row>
    <row r="107" spans="1:8" x14ac:dyDescent="0.35">
      <c r="A107" s="4" t="s">
        <v>1690</v>
      </c>
      <c r="B107" s="4" t="s">
        <v>1691</v>
      </c>
      <c r="C107" s="4" t="s">
        <v>175</v>
      </c>
      <c r="D107" s="4">
        <v>5</v>
      </c>
      <c r="E107" s="4">
        <v>69104</v>
      </c>
      <c r="F107" s="4">
        <v>2012</v>
      </c>
      <c r="G107" s="4"/>
      <c r="H107" s="4"/>
    </row>
    <row r="108" spans="1:8" x14ac:dyDescent="0.35">
      <c r="A108" s="4" t="s">
        <v>1692</v>
      </c>
      <c r="B108" s="4" t="s">
        <v>1693</v>
      </c>
      <c r="C108" s="4" t="s">
        <v>232</v>
      </c>
      <c r="D108" s="4">
        <v>5</v>
      </c>
      <c r="E108" s="4">
        <v>68834</v>
      </c>
      <c r="F108" s="4">
        <v>2008</v>
      </c>
      <c r="G108" s="4"/>
      <c r="H108" s="4"/>
    </row>
    <row r="109" spans="1:8" x14ac:dyDescent="0.35">
      <c r="A109" s="4" t="s">
        <v>1876</v>
      </c>
      <c r="B109" s="4" t="s">
        <v>1877</v>
      </c>
      <c r="C109" s="4" t="s">
        <v>82</v>
      </c>
      <c r="D109" s="4">
        <v>5.0999999999999996</v>
      </c>
      <c r="E109" s="4">
        <v>68727</v>
      </c>
      <c r="F109" s="4">
        <v>2007</v>
      </c>
      <c r="G109" s="4"/>
      <c r="H109" s="4"/>
    </row>
    <row r="110" spans="1:8" x14ac:dyDescent="0.35">
      <c r="A110" s="4" t="s">
        <v>1537</v>
      </c>
      <c r="B110" s="4" t="s">
        <v>1538</v>
      </c>
      <c r="C110" s="4" t="s">
        <v>175</v>
      </c>
      <c r="D110" s="4">
        <v>4.9000000000000004</v>
      </c>
      <c r="E110" s="4">
        <v>67763</v>
      </c>
      <c r="F110" s="4">
        <v>2012</v>
      </c>
      <c r="G110" s="4"/>
      <c r="H110" s="4"/>
    </row>
    <row r="111" spans="1:8" x14ac:dyDescent="0.35">
      <c r="A111" s="4" t="s">
        <v>2140</v>
      </c>
      <c r="B111" s="4" t="s">
        <v>2141</v>
      </c>
      <c r="C111" s="4" t="s">
        <v>232</v>
      </c>
      <c r="D111" s="4">
        <v>5.2</v>
      </c>
      <c r="E111" s="4">
        <v>67633</v>
      </c>
      <c r="F111" s="4">
        <v>2007</v>
      </c>
      <c r="G111" s="4"/>
      <c r="H111" s="4"/>
    </row>
    <row r="112" spans="1:8" x14ac:dyDescent="0.35">
      <c r="A112" s="4" t="s">
        <v>835</v>
      </c>
      <c r="B112" s="4" t="s">
        <v>836</v>
      </c>
      <c r="C112" s="4" t="s">
        <v>178</v>
      </c>
      <c r="D112" s="4">
        <v>4.4000000000000004</v>
      </c>
      <c r="E112" s="4">
        <v>67628</v>
      </c>
      <c r="F112" s="4">
        <v>2003</v>
      </c>
      <c r="G112" s="4"/>
      <c r="H112" s="4"/>
    </row>
    <row r="113" spans="1:8" x14ac:dyDescent="0.35">
      <c r="A113" s="4" t="s">
        <v>2142</v>
      </c>
      <c r="B113" s="4" t="s">
        <v>2143</v>
      </c>
      <c r="C113" s="4" t="s">
        <v>944</v>
      </c>
      <c r="D113" s="4">
        <v>5.2</v>
      </c>
      <c r="E113" s="4">
        <v>67625</v>
      </c>
      <c r="F113" s="4">
        <v>2006</v>
      </c>
      <c r="G113" s="4"/>
      <c r="H113" s="4"/>
    </row>
    <row r="114" spans="1:8" x14ac:dyDescent="0.35">
      <c r="A114" s="4" t="s">
        <v>2144</v>
      </c>
      <c r="B114" s="4" t="s">
        <v>2145</v>
      </c>
      <c r="C114" s="4" t="s">
        <v>175</v>
      </c>
      <c r="D114" s="4">
        <v>5.2</v>
      </c>
      <c r="E114" s="4">
        <v>67262</v>
      </c>
      <c r="F114" s="4">
        <v>2018</v>
      </c>
      <c r="G114" s="4"/>
      <c r="H114" s="4"/>
    </row>
    <row r="115" spans="1:8" x14ac:dyDescent="0.35">
      <c r="A115" s="4" t="s">
        <v>2146</v>
      </c>
      <c r="B115" s="4" t="s">
        <v>2147</v>
      </c>
      <c r="C115" s="4" t="s">
        <v>155</v>
      </c>
      <c r="D115" s="4">
        <v>5.2</v>
      </c>
      <c r="E115" s="4">
        <v>66376</v>
      </c>
      <c r="F115" s="4">
        <v>2021</v>
      </c>
      <c r="G115" s="4"/>
      <c r="H115" s="4"/>
    </row>
    <row r="116" spans="1:8" x14ac:dyDescent="0.35">
      <c r="A116" s="4" t="s">
        <v>2148</v>
      </c>
      <c r="B116" s="4" t="s">
        <v>2149</v>
      </c>
      <c r="C116" s="4" t="s">
        <v>140</v>
      </c>
      <c r="D116" s="4">
        <v>5.2</v>
      </c>
      <c r="E116" s="4">
        <v>66227</v>
      </c>
      <c r="F116" s="4">
        <v>2011</v>
      </c>
      <c r="G116" s="4"/>
      <c r="H116" s="4"/>
    </row>
    <row r="117" spans="1:8" x14ac:dyDescent="0.35">
      <c r="A117" s="4" t="s">
        <v>1332</v>
      </c>
      <c r="B117" s="4" t="s">
        <v>1333</v>
      </c>
      <c r="C117" s="4" t="s">
        <v>104</v>
      </c>
      <c r="D117" s="4">
        <v>4.8</v>
      </c>
      <c r="E117" s="4">
        <v>64742</v>
      </c>
      <c r="F117" s="4">
        <v>2001</v>
      </c>
      <c r="G117" s="4"/>
      <c r="H117" s="4"/>
    </row>
    <row r="118" spans="1:8" x14ac:dyDescent="0.35">
      <c r="A118" s="4" t="s">
        <v>1539</v>
      </c>
      <c r="B118" s="4" t="s">
        <v>1540</v>
      </c>
      <c r="C118" s="4" t="s">
        <v>122</v>
      </c>
      <c r="D118" s="4">
        <v>4.9000000000000004</v>
      </c>
      <c r="E118" s="4">
        <v>64438</v>
      </c>
      <c r="F118" s="4">
        <v>2011</v>
      </c>
      <c r="G118" s="4"/>
      <c r="H118" s="4"/>
    </row>
    <row r="119" spans="1:8" x14ac:dyDescent="0.35">
      <c r="A119" s="4" t="s">
        <v>1169</v>
      </c>
      <c r="B119" s="4" t="s">
        <v>1170</v>
      </c>
      <c r="C119" s="4" t="s">
        <v>352</v>
      </c>
      <c r="D119" s="4">
        <v>4.7</v>
      </c>
      <c r="E119" s="4">
        <v>64356</v>
      </c>
      <c r="F119" s="4">
        <v>2022</v>
      </c>
      <c r="G119" s="4"/>
      <c r="H119" s="4"/>
    </row>
    <row r="120" spans="1:8" x14ac:dyDescent="0.35">
      <c r="A120" s="4" t="s">
        <v>687</v>
      </c>
      <c r="B120" s="4" t="s">
        <v>688</v>
      </c>
      <c r="C120" s="4" t="s">
        <v>217</v>
      </c>
      <c r="D120" s="4">
        <v>4.2</v>
      </c>
      <c r="E120" s="4">
        <v>64107</v>
      </c>
      <c r="F120" s="4">
        <v>1993</v>
      </c>
      <c r="G120" s="4"/>
      <c r="H120" s="4"/>
    </row>
    <row r="121" spans="1:8" x14ac:dyDescent="0.35">
      <c r="A121" s="4" t="s">
        <v>2150</v>
      </c>
      <c r="B121" s="4" t="s">
        <v>2151</v>
      </c>
      <c r="C121" s="4" t="s">
        <v>116</v>
      </c>
      <c r="D121" s="4">
        <v>5.2</v>
      </c>
      <c r="E121" s="4">
        <v>63432</v>
      </c>
      <c r="F121" s="4">
        <v>2002</v>
      </c>
      <c r="G121" s="4"/>
      <c r="H121" s="4"/>
    </row>
    <row r="122" spans="1:8" x14ac:dyDescent="0.35">
      <c r="A122" s="4" t="s">
        <v>2152</v>
      </c>
      <c r="B122" s="4" t="s">
        <v>2153</v>
      </c>
      <c r="C122" s="4" t="s">
        <v>178</v>
      </c>
      <c r="D122" s="4">
        <v>5.2</v>
      </c>
      <c r="E122" s="4">
        <v>63312</v>
      </c>
      <c r="F122" s="4">
        <v>2001</v>
      </c>
      <c r="G122" s="4"/>
      <c r="H122" s="4"/>
    </row>
    <row r="123" spans="1:8" x14ac:dyDescent="0.35">
      <c r="A123" s="4" t="s">
        <v>2154</v>
      </c>
      <c r="B123" s="4" t="s">
        <v>2155</v>
      </c>
      <c r="C123" s="4" t="s">
        <v>804</v>
      </c>
      <c r="D123" s="4">
        <v>5.2</v>
      </c>
      <c r="E123" s="4">
        <v>63302</v>
      </c>
      <c r="F123" s="4">
        <v>1982</v>
      </c>
      <c r="G123" s="4"/>
      <c r="H123" s="4"/>
    </row>
    <row r="124" spans="1:8" x14ac:dyDescent="0.35">
      <c r="A124" s="4" t="s">
        <v>1171</v>
      </c>
      <c r="B124" s="4" t="s">
        <v>1172</v>
      </c>
      <c r="C124" s="4" t="s">
        <v>338</v>
      </c>
      <c r="D124" s="4">
        <v>4.7</v>
      </c>
      <c r="E124" s="4">
        <v>63227</v>
      </c>
      <c r="F124" s="4">
        <v>2008</v>
      </c>
      <c r="G124" s="4"/>
      <c r="H124" s="4"/>
    </row>
    <row r="125" spans="1:8" x14ac:dyDescent="0.35">
      <c r="A125" s="4" t="s">
        <v>936</v>
      </c>
      <c r="B125" s="4" t="s">
        <v>937</v>
      </c>
      <c r="C125" s="4" t="s">
        <v>155</v>
      </c>
      <c r="D125" s="4">
        <v>4.5</v>
      </c>
      <c r="E125" s="4">
        <v>63098</v>
      </c>
      <c r="F125" s="4">
        <v>2001</v>
      </c>
      <c r="G125" s="4"/>
      <c r="H125" s="4"/>
    </row>
    <row r="126" spans="1:8" x14ac:dyDescent="0.35">
      <c r="A126" s="4" t="s">
        <v>228</v>
      </c>
      <c r="B126" s="4" t="s">
        <v>229</v>
      </c>
      <c r="C126" s="4" t="s">
        <v>116</v>
      </c>
      <c r="D126" s="4">
        <v>2.8</v>
      </c>
      <c r="E126" s="4">
        <v>62675</v>
      </c>
      <c r="F126" s="4">
        <v>2006</v>
      </c>
      <c r="G126" s="4"/>
      <c r="H126" s="4"/>
    </row>
    <row r="127" spans="1:8" x14ac:dyDescent="0.35">
      <c r="A127" s="4" t="s">
        <v>1541</v>
      </c>
      <c r="B127" s="4" t="s">
        <v>1542</v>
      </c>
      <c r="C127" s="4" t="s">
        <v>82</v>
      </c>
      <c r="D127" s="4">
        <v>4.9000000000000004</v>
      </c>
      <c r="E127" s="4">
        <v>62589</v>
      </c>
      <c r="F127" s="4">
        <v>2015</v>
      </c>
      <c r="G127" s="4"/>
      <c r="H127" s="4"/>
    </row>
    <row r="128" spans="1:8" x14ac:dyDescent="0.35">
      <c r="A128" s="4" t="s">
        <v>1173</v>
      </c>
      <c r="B128" s="4" t="s">
        <v>1174</v>
      </c>
      <c r="C128" s="4" t="s">
        <v>376</v>
      </c>
      <c r="D128" s="4">
        <v>4.7</v>
      </c>
      <c r="E128" s="4">
        <v>62557</v>
      </c>
      <c r="F128" s="4">
        <v>2010</v>
      </c>
      <c r="G128" s="4"/>
      <c r="H128" s="4"/>
    </row>
    <row r="129" spans="1:8" x14ac:dyDescent="0.35">
      <c r="A129" s="4" t="s">
        <v>1334</v>
      </c>
      <c r="B129" s="4" t="s">
        <v>1335</v>
      </c>
      <c r="C129" s="4" t="s">
        <v>76</v>
      </c>
      <c r="D129" s="4">
        <v>4.8</v>
      </c>
      <c r="E129" s="4">
        <v>61288</v>
      </c>
      <c r="F129" s="4">
        <v>2009</v>
      </c>
      <c r="G129" s="4"/>
      <c r="H129" s="4"/>
    </row>
    <row r="130" spans="1:8" x14ac:dyDescent="0.35">
      <c r="A130" s="4" t="s">
        <v>938</v>
      </c>
      <c r="B130" s="4" t="s">
        <v>939</v>
      </c>
      <c r="C130" s="4" t="s">
        <v>214</v>
      </c>
      <c r="D130" s="4">
        <v>4.5</v>
      </c>
      <c r="E130" s="4">
        <v>61281</v>
      </c>
      <c r="F130" s="4">
        <v>2006</v>
      </c>
      <c r="G130" s="4"/>
      <c r="H130" s="4"/>
    </row>
    <row r="131" spans="1:8" x14ac:dyDescent="0.35">
      <c r="A131" s="4" t="s">
        <v>1031</v>
      </c>
      <c r="B131" s="4" t="s">
        <v>1032</v>
      </c>
      <c r="C131" s="4" t="s">
        <v>31</v>
      </c>
      <c r="D131" s="4">
        <v>4.5999999999999996</v>
      </c>
      <c r="E131" s="4">
        <v>61159</v>
      </c>
      <c r="F131" s="4">
        <v>2021</v>
      </c>
      <c r="G131" s="4"/>
      <c r="H131" s="4"/>
    </row>
    <row r="132" spans="1:8" x14ac:dyDescent="0.35">
      <c r="A132" s="4" t="s">
        <v>203</v>
      </c>
      <c r="B132" s="4" t="s">
        <v>204</v>
      </c>
      <c r="C132" s="4" t="s">
        <v>205</v>
      </c>
      <c r="D132" s="4">
        <v>2.7</v>
      </c>
      <c r="E132" s="4">
        <v>60523</v>
      </c>
      <c r="F132" s="4">
        <v>2014</v>
      </c>
      <c r="G132" s="4"/>
      <c r="H132" s="4"/>
    </row>
    <row r="133" spans="1:8" x14ac:dyDescent="0.35">
      <c r="A133" s="4" t="s">
        <v>1543</v>
      </c>
      <c r="B133" s="4" t="s">
        <v>1544</v>
      </c>
      <c r="C133" s="4" t="s">
        <v>915</v>
      </c>
      <c r="D133" s="4">
        <v>4.9000000000000004</v>
      </c>
      <c r="E133" s="4">
        <v>60238</v>
      </c>
      <c r="F133" s="4">
        <v>2020</v>
      </c>
      <c r="G133" s="4"/>
      <c r="H133" s="4"/>
    </row>
    <row r="134" spans="1:8" x14ac:dyDescent="0.35">
      <c r="A134" s="4" t="s">
        <v>138</v>
      </c>
      <c r="B134" s="4" t="s">
        <v>139</v>
      </c>
      <c r="C134" s="4" t="s">
        <v>140</v>
      </c>
      <c r="D134" s="4">
        <v>2.2999999999999998</v>
      </c>
      <c r="E134" s="4">
        <v>60120</v>
      </c>
      <c r="F134" s="4">
        <v>2005</v>
      </c>
      <c r="G134" s="4"/>
      <c r="H134" s="4"/>
    </row>
    <row r="135" spans="1:8" x14ac:dyDescent="0.35">
      <c r="A135" s="4" t="s">
        <v>1878</v>
      </c>
      <c r="B135" s="4" t="s">
        <v>1879</v>
      </c>
      <c r="C135" s="4" t="s">
        <v>395</v>
      </c>
      <c r="D135" s="4">
        <v>5.0999999999999996</v>
      </c>
      <c r="E135" s="4">
        <v>59981</v>
      </c>
      <c r="F135" s="4">
        <v>2018</v>
      </c>
      <c r="G135" s="4"/>
      <c r="H135" s="4"/>
    </row>
    <row r="136" spans="1:8" x14ac:dyDescent="0.35">
      <c r="A136" s="4" t="s">
        <v>167</v>
      </c>
      <c r="B136" s="4" t="s">
        <v>168</v>
      </c>
      <c r="C136" s="4" t="s">
        <v>169</v>
      </c>
      <c r="D136" s="4">
        <v>2.5</v>
      </c>
      <c r="E136" s="4">
        <v>59055</v>
      </c>
      <c r="F136" s="4">
        <v>2020</v>
      </c>
      <c r="G136" s="4"/>
      <c r="H136" s="4"/>
    </row>
    <row r="137" spans="1:8" x14ac:dyDescent="0.35">
      <c r="A137" s="4" t="s">
        <v>940</v>
      </c>
      <c r="B137" s="4" t="s">
        <v>941</v>
      </c>
      <c r="C137" s="4" t="s">
        <v>175</v>
      </c>
      <c r="D137" s="4">
        <v>4.5</v>
      </c>
      <c r="E137" s="4">
        <v>59038</v>
      </c>
      <c r="F137" s="4">
        <v>2014</v>
      </c>
      <c r="G137" s="4"/>
      <c r="H137" s="4"/>
    </row>
    <row r="138" spans="1:8" x14ac:dyDescent="0.35">
      <c r="A138" s="4" t="s">
        <v>403</v>
      </c>
      <c r="B138" s="4" t="s">
        <v>404</v>
      </c>
      <c r="C138" s="4" t="s">
        <v>166</v>
      </c>
      <c r="D138" s="4">
        <v>3.6</v>
      </c>
      <c r="E138" s="4">
        <v>58941</v>
      </c>
      <c r="F138" s="4">
        <v>1997</v>
      </c>
      <c r="G138" s="4"/>
      <c r="H138" s="4"/>
    </row>
    <row r="139" spans="1:8" x14ac:dyDescent="0.35">
      <c r="A139" s="4" t="s">
        <v>1545</v>
      </c>
      <c r="B139" s="4" t="s">
        <v>1546</v>
      </c>
      <c r="C139" s="4" t="s">
        <v>155</v>
      </c>
      <c r="D139" s="4">
        <v>4.9000000000000004</v>
      </c>
      <c r="E139" s="4">
        <v>58866</v>
      </c>
      <c r="F139" s="4">
        <v>2001</v>
      </c>
      <c r="G139" s="4"/>
      <c r="H139" s="4"/>
    </row>
    <row r="140" spans="1:8" x14ac:dyDescent="0.35">
      <c r="A140" s="4" t="s">
        <v>837</v>
      </c>
      <c r="B140" s="4" t="s">
        <v>838</v>
      </c>
      <c r="C140" s="4" t="s">
        <v>128</v>
      </c>
      <c r="D140" s="4">
        <v>4.4000000000000004</v>
      </c>
      <c r="E140" s="4">
        <v>58611</v>
      </c>
      <c r="F140" s="4">
        <v>2012</v>
      </c>
      <c r="G140" s="4"/>
      <c r="H140" s="4"/>
    </row>
    <row r="141" spans="1:8" x14ac:dyDescent="0.35">
      <c r="A141" s="4" t="s">
        <v>2156</v>
      </c>
      <c r="B141" s="4" t="s">
        <v>2157</v>
      </c>
      <c r="C141" s="4" t="s">
        <v>804</v>
      </c>
      <c r="D141" s="4">
        <v>5.2</v>
      </c>
      <c r="E141" s="4">
        <v>58607</v>
      </c>
      <c r="F141" s="4">
        <v>2011</v>
      </c>
      <c r="G141" s="4"/>
      <c r="H141" s="4"/>
    </row>
    <row r="142" spans="1:8" x14ac:dyDescent="0.35">
      <c r="A142" s="4" t="s">
        <v>1547</v>
      </c>
      <c r="B142" s="4" t="s">
        <v>1548</v>
      </c>
      <c r="C142" s="4" t="s">
        <v>56</v>
      </c>
      <c r="D142" s="4">
        <v>4.9000000000000004</v>
      </c>
      <c r="E142" s="4">
        <v>58338</v>
      </c>
      <c r="F142" s="4">
        <v>2024</v>
      </c>
      <c r="G142" s="4"/>
      <c r="H142" s="4"/>
    </row>
    <row r="143" spans="1:8" x14ac:dyDescent="0.35">
      <c r="A143" s="4" t="s">
        <v>2158</v>
      </c>
      <c r="B143" s="4" t="s">
        <v>2159</v>
      </c>
      <c r="C143" s="4" t="s">
        <v>140</v>
      </c>
      <c r="D143" s="4">
        <v>5.2</v>
      </c>
      <c r="E143" s="4">
        <v>58317</v>
      </c>
      <c r="F143" s="4">
        <v>2003</v>
      </c>
      <c r="G143" s="4"/>
      <c r="H143" s="4"/>
    </row>
    <row r="144" spans="1:8" x14ac:dyDescent="0.35">
      <c r="A144" s="4" t="s">
        <v>1175</v>
      </c>
      <c r="B144" s="4" t="s">
        <v>1176</v>
      </c>
      <c r="C144" s="4" t="s">
        <v>93</v>
      </c>
      <c r="D144" s="4">
        <v>4.7</v>
      </c>
      <c r="E144" s="4">
        <v>57367</v>
      </c>
      <c r="F144" s="4">
        <v>2022</v>
      </c>
      <c r="G144" s="4"/>
      <c r="H144" s="4"/>
    </row>
    <row r="145" spans="1:8" x14ac:dyDescent="0.35">
      <c r="A145" s="4" t="s">
        <v>1336</v>
      </c>
      <c r="B145" s="4" t="s">
        <v>1337</v>
      </c>
      <c r="C145" s="4" t="s">
        <v>82</v>
      </c>
      <c r="D145" s="4">
        <v>4.8</v>
      </c>
      <c r="E145" s="4">
        <v>57264</v>
      </c>
      <c r="F145" s="4">
        <v>2013</v>
      </c>
      <c r="G145" s="4"/>
      <c r="H145" s="4"/>
    </row>
    <row r="146" spans="1:8" x14ac:dyDescent="0.35">
      <c r="A146" s="4" t="s">
        <v>1880</v>
      </c>
      <c r="B146" s="4" t="s">
        <v>1881</v>
      </c>
      <c r="C146" s="4" t="s">
        <v>163</v>
      </c>
      <c r="D146" s="4">
        <v>5.0999999999999996</v>
      </c>
      <c r="E146" s="4">
        <v>56751</v>
      </c>
      <c r="F146" s="4">
        <v>2005</v>
      </c>
      <c r="G146" s="4"/>
      <c r="H146" s="4"/>
    </row>
    <row r="147" spans="1:8" x14ac:dyDescent="0.35">
      <c r="A147" s="4" t="s">
        <v>230</v>
      </c>
      <c r="B147" s="4" t="s">
        <v>231</v>
      </c>
      <c r="C147" s="4" t="s">
        <v>232</v>
      </c>
      <c r="D147" s="4">
        <v>2.8</v>
      </c>
      <c r="E147" s="4">
        <v>56736</v>
      </c>
      <c r="F147" s="4">
        <v>2019</v>
      </c>
      <c r="G147" s="4"/>
      <c r="H147" s="4"/>
    </row>
    <row r="148" spans="1:8" x14ac:dyDescent="0.35">
      <c r="A148" s="4" t="s">
        <v>2160</v>
      </c>
      <c r="B148" s="4" t="s">
        <v>2161</v>
      </c>
      <c r="C148" s="4" t="s">
        <v>11</v>
      </c>
      <c r="D148" s="4">
        <v>5.2</v>
      </c>
      <c r="E148" s="4">
        <v>56722</v>
      </c>
      <c r="F148" s="4">
        <v>2017</v>
      </c>
      <c r="G148" s="4"/>
      <c r="H148" s="4"/>
    </row>
    <row r="149" spans="1:8" x14ac:dyDescent="0.35">
      <c r="A149" s="4" t="s">
        <v>755</v>
      </c>
      <c r="B149" s="4" t="s">
        <v>756</v>
      </c>
      <c r="C149" s="4" t="s">
        <v>166</v>
      </c>
      <c r="D149" s="4">
        <v>4.3</v>
      </c>
      <c r="E149" s="4">
        <v>56624</v>
      </c>
      <c r="F149" s="4">
        <v>2014</v>
      </c>
      <c r="G149" s="4"/>
      <c r="H149" s="4"/>
    </row>
    <row r="150" spans="1:8" x14ac:dyDescent="0.35">
      <c r="A150" s="4" t="s">
        <v>112</v>
      </c>
      <c r="B150" s="4" t="s">
        <v>113</v>
      </c>
      <c r="C150" s="4" t="s">
        <v>11</v>
      </c>
      <c r="D150" s="4">
        <v>2</v>
      </c>
      <c r="E150" s="4">
        <v>56196</v>
      </c>
      <c r="F150" s="4">
        <v>2018</v>
      </c>
      <c r="G150" s="4"/>
      <c r="H150" s="4"/>
    </row>
    <row r="151" spans="1:8" x14ac:dyDescent="0.35">
      <c r="A151" s="4" t="s">
        <v>1033</v>
      </c>
      <c r="B151" s="4" t="s">
        <v>1034</v>
      </c>
      <c r="C151" s="4" t="s">
        <v>217</v>
      </c>
      <c r="D151" s="4">
        <v>4.5999999999999996</v>
      </c>
      <c r="E151" s="4">
        <v>56007</v>
      </c>
      <c r="F151" s="4">
        <v>2009</v>
      </c>
      <c r="G151" s="4"/>
      <c r="H151" s="4"/>
    </row>
    <row r="152" spans="1:8" x14ac:dyDescent="0.35">
      <c r="A152" s="4" t="s">
        <v>1549</v>
      </c>
      <c r="B152" s="4" t="s">
        <v>1550</v>
      </c>
      <c r="C152" s="4" t="s">
        <v>116</v>
      </c>
      <c r="D152" s="4">
        <v>4.9000000000000004</v>
      </c>
      <c r="E152" s="4">
        <v>55540</v>
      </c>
      <c r="F152" s="4">
        <v>2014</v>
      </c>
      <c r="G152" s="4"/>
      <c r="H152" s="4"/>
    </row>
    <row r="153" spans="1:8" x14ac:dyDescent="0.35">
      <c r="A153" s="4" t="s">
        <v>482</v>
      </c>
      <c r="B153" s="4" t="s">
        <v>483</v>
      </c>
      <c r="C153" s="4" t="s">
        <v>50</v>
      </c>
      <c r="D153" s="4">
        <v>3.8</v>
      </c>
      <c r="E153" s="4">
        <v>55504</v>
      </c>
      <c r="F153" s="4">
        <v>2008</v>
      </c>
      <c r="G153" s="4"/>
      <c r="H153" s="4"/>
    </row>
    <row r="154" spans="1:8" x14ac:dyDescent="0.35">
      <c r="A154" s="4" t="s">
        <v>689</v>
      </c>
      <c r="B154" s="4" t="s">
        <v>690</v>
      </c>
      <c r="C154" s="4" t="s">
        <v>691</v>
      </c>
      <c r="D154" s="4">
        <v>4.2</v>
      </c>
      <c r="E154" s="4">
        <v>55420</v>
      </c>
      <c r="F154" s="4">
        <v>1993</v>
      </c>
      <c r="G154" s="4"/>
      <c r="H154" s="4"/>
    </row>
    <row r="155" spans="1:8" x14ac:dyDescent="0.35">
      <c r="A155" s="4" t="s">
        <v>1882</v>
      </c>
      <c r="B155" s="4" t="s">
        <v>1883</v>
      </c>
      <c r="C155" s="4" t="s">
        <v>146</v>
      </c>
      <c r="D155" s="4">
        <v>5.0999999999999996</v>
      </c>
      <c r="E155" s="4">
        <v>54812</v>
      </c>
      <c r="F155" s="4">
        <v>2015</v>
      </c>
      <c r="G155" s="4"/>
      <c r="H155" s="4"/>
    </row>
    <row r="156" spans="1:8" x14ac:dyDescent="0.35">
      <c r="A156" s="4" t="s">
        <v>1551</v>
      </c>
      <c r="B156" s="4" t="s">
        <v>1552</v>
      </c>
      <c r="C156" s="4" t="s">
        <v>178</v>
      </c>
      <c r="D156" s="4">
        <v>4.9000000000000004</v>
      </c>
      <c r="E156" s="4">
        <v>54734</v>
      </c>
      <c r="F156" s="4">
        <v>2015</v>
      </c>
      <c r="G156" s="4"/>
      <c r="H156" s="4"/>
    </row>
    <row r="157" spans="1:8" x14ac:dyDescent="0.35">
      <c r="A157" s="4" t="s">
        <v>1177</v>
      </c>
      <c r="B157" s="4" t="s">
        <v>1178</v>
      </c>
      <c r="C157" s="4" t="s">
        <v>11</v>
      </c>
      <c r="D157" s="4">
        <v>4.7</v>
      </c>
      <c r="E157" s="4">
        <v>54002</v>
      </c>
      <c r="F157" s="4">
        <v>2005</v>
      </c>
      <c r="G157" s="4"/>
      <c r="H157" s="4"/>
    </row>
    <row r="158" spans="1:8" x14ac:dyDescent="0.35">
      <c r="A158" s="4" t="s">
        <v>942</v>
      </c>
      <c r="B158" s="4" t="s">
        <v>943</v>
      </c>
      <c r="C158" s="4" t="s">
        <v>944</v>
      </c>
      <c r="D158" s="4">
        <v>4.5</v>
      </c>
      <c r="E158" s="4">
        <v>53985</v>
      </c>
      <c r="F158" s="4">
        <v>2000</v>
      </c>
      <c r="G158" s="4"/>
      <c r="H158" s="4"/>
    </row>
    <row r="159" spans="1:8" x14ac:dyDescent="0.35">
      <c r="A159" s="4" t="s">
        <v>442</v>
      </c>
      <c r="B159" s="4" t="s">
        <v>443</v>
      </c>
      <c r="C159" s="4" t="s">
        <v>163</v>
      </c>
      <c r="D159" s="4">
        <v>3.7</v>
      </c>
      <c r="E159" s="4">
        <v>53834</v>
      </c>
      <c r="F159" s="4">
        <v>1987</v>
      </c>
      <c r="G159" s="4"/>
      <c r="H159" s="4"/>
    </row>
    <row r="160" spans="1:8" x14ac:dyDescent="0.35">
      <c r="A160" s="4" t="s">
        <v>321</v>
      </c>
      <c r="B160" s="4" t="s">
        <v>322</v>
      </c>
      <c r="C160" s="4" t="s">
        <v>178</v>
      </c>
      <c r="D160" s="4">
        <v>3.3</v>
      </c>
      <c r="E160" s="4">
        <v>53822</v>
      </c>
      <c r="F160" s="4">
        <v>2013</v>
      </c>
      <c r="G160" s="4"/>
      <c r="H160" s="4"/>
    </row>
    <row r="161" spans="1:8" x14ac:dyDescent="0.35">
      <c r="A161" s="4" t="s">
        <v>1179</v>
      </c>
      <c r="B161" s="4" t="s">
        <v>1180</v>
      </c>
      <c r="C161" s="4" t="s">
        <v>175</v>
      </c>
      <c r="D161" s="4">
        <v>4.7</v>
      </c>
      <c r="E161" s="4">
        <v>53769</v>
      </c>
      <c r="F161" s="4">
        <v>2009</v>
      </c>
      <c r="G161" s="4"/>
      <c r="H161" s="4"/>
    </row>
    <row r="162" spans="1:8" x14ac:dyDescent="0.35">
      <c r="A162" s="4" t="s">
        <v>757</v>
      </c>
      <c r="B162" s="4" t="s">
        <v>758</v>
      </c>
      <c r="C162" s="4" t="s">
        <v>759</v>
      </c>
      <c r="D162" s="4">
        <v>4.3</v>
      </c>
      <c r="E162" s="4">
        <v>52995</v>
      </c>
      <c r="F162" s="4">
        <v>2023</v>
      </c>
      <c r="G162" s="4"/>
      <c r="H162" s="4"/>
    </row>
    <row r="163" spans="1:8" x14ac:dyDescent="0.35">
      <c r="A163" s="4" t="s">
        <v>2162</v>
      </c>
      <c r="B163" s="4" t="s">
        <v>2163</v>
      </c>
      <c r="C163" s="4" t="s">
        <v>597</v>
      </c>
      <c r="D163" s="4">
        <v>5.2</v>
      </c>
      <c r="E163" s="4">
        <v>52788</v>
      </c>
      <c r="F163" s="4">
        <v>2006</v>
      </c>
      <c r="G163" s="4"/>
      <c r="H163" s="4"/>
    </row>
    <row r="164" spans="1:8" x14ac:dyDescent="0.35">
      <c r="A164" s="4" t="s">
        <v>1181</v>
      </c>
      <c r="B164" s="4" t="s">
        <v>1182</v>
      </c>
      <c r="C164" s="4" t="s">
        <v>859</v>
      </c>
      <c r="D164" s="4">
        <v>4.7</v>
      </c>
      <c r="E164" s="4">
        <v>52423</v>
      </c>
      <c r="F164" s="4">
        <v>1991</v>
      </c>
      <c r="G164" s="4"/>
      <c r="H164" s="4"/>
    </row>
    <row r="165" spans="1:8" x14ac:dyDescent="0.35">
      <c r="A165" s="4" t="s">
        <v>341</v>
      </c>
      <c r="B165" s="4" t="s">
        <v>342</v>
      </c>
      <c r="C165" s="4" t="s">
        <v>211</v>
      </c>
      <c r="D165" s="4">
        <v>3.4</v>
      </c>
      <c r="E165" s="4">
        <v>52393</v>
      </c>
      <c r="F165" s="4">
        <v>2010</v>
      </c>
      <c r="G165" s="4"/>
      <c r="H165" s="4"/>
    </row>
    <row r="166" spans="1:8" x14ac:dyDescent="0.35">
      <c r="A166" s="4" t="s">
        <v>1694</v>
      </c>
      <c r="B166" s="4" t="s">
        <v>1695</v>
      </c>
      <c r="C166" s="4" t="s">
        <v>859</v>
      </c>
      <c r="D166" s="4">
        <v>5</v>
      </c>
      <c r="E166" s="4">
        <v>52274</v>
      </c>
      <c r="F166" s="4">
        <v>1989</v>
      </c>
      <c r="G166" s="4"/>
      <c r="H166" s="4"/>
    </row>
    <row r="167" spans="1:8" x14ac:dyDescent="0.35">
      <c r="A167" s="4" t="s">
        <v>1183</v>
      </c>
      <c r="B167" s="4" t="s">
        <v>1184</v>
      </c>
      <c r="C167" s="4" t="s">
        <v>11</v>
      </c>
      <c r="D167" s="4">
        <v>4.7</v>
      </c>
      <c r="E167" s="4">
        <v>52219</v>
      </c>
      <c r="F167" s="4">
        <v>2001</v>
      </c>
      <c r="G167" s="4"/>
      <c r="H167" s="4"/>
    </row>
    <row r="168" spans="1:8" x14ac:dyDescent="0.35">
      <c r="A168" s="4" t="s">
        <v>1884</v>
      </c>
      <c r="B168" s="4" t="s">
        <v>1885</v>
      </c>
      <c r="C168" s="4" t="s">
        <v>82</v>
      </c>
      <c r="D168" s="4">
        <v>5.0999999999999996</v>
      </c>
      <c r="E168" s="4">
        <v>52043</v>
      </c>
      <c r="F168" s="4">
        <v>2006</v>
      </c>
      <c r="G168" s="4"/>
      <c r="H168" s="4"/>
    </row>
    <row r="169" spans="1:8" x14ac:dyDescent="0.35">
      <c r="A169" s="4" t="s">
        <v>1185</v>
      </c>
      <c r="B169" s="4" t="s">
        <v>1186</v>
      </c>
      <c r="C169" s="4" t="s">
        <v>178</v>
      </c>
      <c r="D169" s="4">
        <v>4.7</v>
      </c>
      <c r="E169" s="4">
        <v>51954</v>
      </c>
      <c r="F169" s="4">
        <v>1986</v>
      </c>
      <c r="G169" s="4"/>
      <c r="H169" s="4"/>
    </row>
    <row r="170" spans="1:8" x14ac:dyDescent="0.35">
      <c r="A170" s="4" t="s">
        <v>2164</v>
      </c>
      <c r="B170" s="4" t="s">
        <v>2165</v>
      </c>
      <c r="C170" s="4" t="s">
        <v>565</v>
      </c>
      <c r="D170" s="4">
        <v>5.2</v>
      </c>
      <c r="E170" s="4">
        <v>51830</v>
      </c>
      <c r="F170" s="4">
        <v>2017</v>
      </c>
      <c r="G170" s="4"/>
      <c r="H170" s="4"/>
    </row>
    <row r="171" spans="1:8" x14ac:dyDescent="0.35">
      <c r="A171" s="4" t="s">
        <v>484</v>
      </c>
      <c r="B171" s="4" t="s">
        <v>485</v>
      </c>
      <c r="C171" s="4" t="s">
        <v>166</v>
      </c>
      <c r="D171" s="4">
        <v>3.8</v>
      </c>
      <c r="E171" s="4">
        <v>51642</v>
      </c>
      <c r="F171" s="4">
        <v>2007</v>
      </c>
      <c r="G171" s="4"/>
      <c r="H171" s="4"/>
    </row>
    <row r="172" spans="1:8" x14ac:dyDescent="0.35">
      <c r="A172" s="4" t="s">
        <v>1553</v>
      </c>
      <c r="B172" s="4" t="s">
        <v>1554</v>
      </c>
      <c r="C172" s="4" t="s">
        <v>217</v>
      </c>
      <c r="D172" s="4">
        <v>4.9000000000000004</v>
      </c>
      <c r="E172" s="4">
        <v>51617</v>
      </c>
      <c r="F172" s="4">
        <v>2005</v>
      </c>
      <c r="G172" s="4"/>
      <c r="H172" s="4"/>
    </row>
    <row r="173" spans="1:8" x14ac:dyDescent="0.35">
      <c r="A173" s="4" t="s">
        <v>692</v>
      </c>
      <c r="B173" s="4" t="s">
        <v>693</v>
      </c>
      <c r="C173" s="4" t="s">
        <v>178</v>
      </c>
      <c r="D173" s="4">
        <v>4.2</v>
      </c>
      <c r="E173" s="4">
        <v>51595</v>
      </c>
      <c r="F173" s="4">
        <v>1999</v>
      </c>
      <c r="G173" s="4"/>
      <c r="H173" s="4"/>
    </row>
    <row r="174" spans="1:8" x14ac:dyDescent="0.35">
      <c r="A174" s="4" t="s">
        <v>1555</v>
      </c>
      <c r="B174" s="4" t="s">
        <v>1556</v>
      </c>
      <c r="C174" s="4" t="s">
        <v>349</v>
      </c>
      <c r="D174" s="4">
        <v>4.9000000000000004</v>
      </c>
      <c r="E174" s="4">
        <v>51323</v>
      </c>
      <c r="F174" s="4">
        <v>2004</v>
      </c>
      <c r="G174" s="4"/>
      <c r="H174" s="4"/>
    </row>
    <row r="175" spans="1:8" x14ac:dyDescent="0.35">
      <c r="A175" s="4" t="s">
        <v>1035</v>
      </c>
      <c r="B175" s="4" t="s">
        <v>1036</v>
      </c>
      <c r="C175" s="4" t="s">
        <v>175</v>
      </c>
      <c r="D175" s="4">
        <v>4.5999999999999996</v>
      </c>
      <c r="E175" s="4">
        <v>51262</v>
      </c>
      <c r="F175" s="4">
        <v>1998</v>
      </c>
      <c r="G175" s="4"/>
      <c r="H175" s="4"/>
    </row>
    <row r="176" spans="1:8" x14ac:dyDescent="0.35">
      <c r="A176" s="4" t="s">
        <v>185</v>
      </c>
      <c r="B176" s="4" t="s">
        <v>186</v>
      </c>
      <c r="C176" s="4" t="s">
        <v>187</v>
      </c>
      <c r="D176" s="4">
        <v>2.6</v>
      </c>
      <c r="E176" s="4">
        <v>51193</v>
      </c>
      <c r="F176" s="4">
        <v>2003</v>
      </c>
      <c r="G176" s="4"/>
      <c r="H176" s="4"/>
    </row>
    <row r="177" spans="1:8" x14ac:dyDescent="0.35">
      <c r="A177" s="4" t="s">
        <v>1696</v>
      </c>
      <c r="B177" s="4" t="s">
        <v>1697</v>
      </c>
      <c r="C177" s="4" t="s">
        <v>270</v>
      </c>
      <c r="D177" s="4">
        <v>5</v>
      </c>
      <c r="E177" s="4">
        <v>50899</v>
      </c>
      <c r="F177" s="4">
        <v>2013</v>
      </c>
      <c r="G177" s="4"/>
      <c r="H177" s="4"/>
    </row>
    <row r="178" spans="1:8" x14ac:dyDescent="0.35">
      <c r="A178" s="4" t="s">
        <v>1886</v>
      </c>
      <c r="B178" s="4" t="s">
        <v>1887</v>
      </c>
      <c r="C178" s="4" t="s">
        <v>47</v>
      </c>
      <c r="D178" s="4">
        <v>5.0999999999999996</v>
      </c>
      <c r="E178" s="4">
        <v>50879</v>
      </c>
      <c r="F178" s="4">
        <v>2009</v>
      </c>
      <c r="G178" s="4"/>
      <c r="H178" s="4"/>
    </row>
    <row r="179" spans="1:8" x14ac:dyDescent="0.35">
      <c r="A179" s="4" t="s">
        <v>1698</v>
      </c>
      <c r="B179" s="4" t="s">
        <v>1699</v>
      </c>
      <c r="C179" s="4" t="s">
        <v>175</v>
      </c>
      <c r="D179" s="4">
        <v>5</v>
      </c>
      <c r="E179" s="4">
        <v>50760</v>
      </c>
      <c r="F179" s="4">
        <v>2016</v>
      </c>
      <c r="G179" s="4"/>
      <c r="H179" s="4"/>
    </row>
    <row r="180" spans="1:8" x14ac:dyDescent="0.35">
      <c r="A180" s="4" t="s">
        <v>529</v>
      </c>
      <c r="B180" s="4" t="s">
        <v>530</v>
      </c>
      <c r="C180" s="4" t="s">
        <v>82</v>
      </c>
      <c r="D180" s="4">
        <v>3.9</v>
      </c>
      <c r="E180" s="4">
        <v>50725</v>
      </c>
      <c r="F180" s="4">
        <v>2002</v>
      </c>
      <c r="G180" s="4"/>
      <c r="H180" s="4"/>
    </row>
    <row r="181" spans="1:8" x14ac:dyDescent="0.35">
      <c r="A181" s="4" t="s">
        <v>1888</v>
      </c>
      <c r="B181" s="4" t="s">
        <v>1889</v>
      </c>
      <c r="C181" s="4" t="s">
        <v>926</v>
      </c>
      <c r="D181" s="4">
        <v>5.0999999999999996</v>
      </c>
      <c r="E181" s="4">
        <v>50711</v>
      </c>
      <c r="F181" s="4">
        <v>2012</v>
      </c>
      <c r="G181" s="4"/>
      <c r="H181" s="4"/>
    </row>
    <row r="182" spans="1:8" x14ac:dyDescent="0.35">
      <c r="A182" s="4" t="s">
        <v>262</v>
      </c>
      <c r="B182" s="4" t="s">
        <v>263</v>
      </c>
      <c r="C182" s="4" t="s">
        <v>264</v>
      </c>
      <c r="D182" s="4">
        <v>3</v>
      </c>
      <c r="E182" s="4">
        <v>50698</v>
      </c>
      <c r="F182" s="4">
        <v>1987</v>
      </c>
      <c r="G182" s="4"/>
      <c r="H182" s="4"/>
    </row>
    <row r="183" spans="1:8" x14ac:dyDescent="0.35">
      <c r="A183" s="4" t="s">
        <v>1700</v>
      </c>
      <c r="B183" s="4" t="s">
        <v>1701</v>
      </c>
      <c r="C183" s="4" t="s">
        <v>140</v>
      </c>
      <c r="D183" s="4">
        <v>5</v>
      </c>
      <c r="E183" s="4">
        <v>50577</v>
      </c>
      <c r="F183" s="4">
        <v>2010</v>
      </c>
      <c r="G183" s="4"/>
      <c r="H183" s="4"/>
    </row>
    <row r="184" spans="1:8" x14ac:dyDescent="0.35">
      <c r="A184" s="4" t="s">
        <v>1187</v>
      </c>
      <c r="B184" s="4" t="s">
        <v>1188</v>
      </c>
      <c r="C184" s="4" t="s">
        <v>11</v>
      </c>
      <c r="D184" s="4">
        <v>4.7</v>
      </c>
      <c r="E184" s="4">
        <v>50106</v>
      </c>
      <c r="F184" s="4">
        <v>2009</v>
      </c>
      <c r="G184" s="4"/>
      <c r="H184" s="4"/>
    </row>
    <row r="185" spans="1:8" x14ac:dyDescent="0.35">
      <c r="A185" s="4" t="s">
        <v>444</v>
      </c>
      <c r="B185" s="4" t="s">
        <v>445</v>
      </c>
      <c r="C185" s="4" t="s">
        <v>264</v>
      </c>
      <c r="D185" s="4">
        <v>3.7</v>
      </c>
      <c r="E185" s="4">
        <v>49519</v>
      </c>
      <c r="F185" s="4">
        <v>1983</v>
      </c>
      <c r="G185" s="4"/>
      <c r="H185" s="4"/>
    </row>
    <row r="186" spans="1:8" x14ac:dyDescent="0.35">
      <c r="A186" s="4" t="s">
        <v>1890</v>
      </c>
      <c r="B186" s="4" t="s">
        <v>1891</v>
      </c>
      <c r="C186" s="4" t="s">
        <v>82</v>
      </c>
      <c r="D186" s="4">
        <v>5.0999999999999996</v>
      </c>
      <c r="E186" s="4">
        <v>49376</v>
      </c>
      <c r="F186" s="4">
        <v>2006</v>
      </c>
      <c r="G186" s="4"/>
      <c r="H186" s="4"/>
    </row>
    <row r="187" spans="1:8" x14ac:dyDescent="0.35">
      <c r="A187" s="4" t="s">
        <v>1189</v>
      </c>
      <c r="B187" s="4" t="s">
        <v>1190</v>
      </c>
      <c r="C187" s="4" t="s">
        <v>455</v>
      </c>
      <c r="D187" s="4">
        <v>4.7</v>
      </c>
      <c r="E187" s="4">
        <v>49375</v>
      </c>
      <c r="F187" s="4">
        <v>1990</v>
      </c>
      <c r="G187" s="4"/>
      <c r="H187" s="4"/>
    </row>
    <row r="188" spans="1:8" x14ac:dyDescent="0.35">
      <c r="A188" s="4" t="s">
        <v>105</v>
      </c>
      <c r="B188" s="4" t="s">
        <v>106</v>
      </c>
      <c r="C188" s="4" t="s">
        <v>101</v>
      </c>
      <c r="D188" s="4">
        <v>1.9</v>
      </c>
      <c r="E188" s="4">
        <v>48996</v>
      </c>
      <c r="F188" s="4">
        <v>2018</v>
      </c>
      <c r="G188" s="4"/>
      <c r="H188" s="4"/>
    </row>
    <row r="189" spans="1:8" x14ac:dyDescent="0.35">
      <c r="A189" s="4" t="s">
        <v>1037</v>
      </c>
      <c r="B189" s="4" t="s">
        <v>1038</v>
      </c>
      <c r="C189" s="4" t="s">
        <v>1039</v>
      </c>
      <c r="D189" s="4">
        <v>4.5999999999999996</v>
      </c>
      <c r="E189" s="4">
        <v>48925</v>
      </c>
      <c r="F189" s="4">
        <v>1996</v>
      </c>
      <c r="G189" s="4"/>
      <c r="H189" s="4"/>
    </row>
    <row r="190" spans="1:8" x14ac:dyDescent="0.35">
      <c r="A190" s="4" t="s">
        <v>1557</v>
      </c>
      <c r="B190" s="4" t="s">
        <v>1558</v>
      </c>
      <c r="C190" s="4" t="s">
        <v>82</v>
      </c>
      <c r="D190" s="4">
        <v>4.9000000000000004</v>
      </c>
      <c r="E190" s="4">
        <v>48639</v>
      </c>
      <c r="F190" s="4">
        <v>1989</v>
      </c>
      <c r="G190" s="4"/>
      <c r="H190" s="4"/>
    </row>
    <row r="191" spans="1:8" x14ac:dyDescent="0.35">
      <c r="A191" s="4" t="s">
        <v>694</v>
      </c>
      <c r="B191" s="4" t="s">
        <v>695</v>
      </c>
      <c r="C191" s="4" t="s">
        <v>166</v>
      </c>
      <c r="D191" s="4">
        <v>4.2</v>
      </c>
      <c r="E191" s="4">
        <v>48638</v>
      </c>
      <c r="F191" s="4">
        <v>1991</v>
      </c>
      <c r="G191" s="4"/>
      <c r="H191" s="4"/>
    </row>
    <row r="192" spans="1:8" x14ac:dyDescent="0.35">
      <c r="A192" s="4" t="s">
        <v>1702</v>
      </c>
      <c r="B192" s="4" t="s">
        <v>1703</v>
      </c>
      <c r="C192" s="4" t="s">
        <v>217</v>
      </c>
      <c r="D192" s="4">
        <v>5</v>
      </c>
      <c r="E192" s="4">
        <v>48401</v>
      </c>
      <c r="F192" s="4">
        <v>2006</v>
      </c>
      <c r="G192" s="4"/>
      <c r="H192" s="4"/>
    </row>
    <row r="193" spans="1:8" x14ac:dyDescent="0.35">
      <c r="A193" s="4" t="s">
        <v>760</v>
      </c>
      <c r="B193" s="4" t="s">
        <v>761</v>
      </c>
      <c r="C193" s="4" t="s">
        <v>762</v>
      </c>
      <c r="D193" s="4">
        <v>4.3</v>
      </c>
      <c r="E193" s="4">
        <v>48349</v>
      </c>
      <c r="F193" s="4">
        <v>2018</v>
      </c>
      <c r="G193" s="4"/>
      <c r="H193" s="4"/>
    </row>
    <row r="194" spans="1:8" x14ac:dyDescent="0.35">
      <c r="A194" s="4" t="s">
        <v>1191</v>
      </c>
      <c r="B194" s="4" t="s">
        <v>1192</v>
      </c>
      <c r="C194" s="4" t="s">
        <v>140</v>
      </c>
      <c r="D194" s="4">
        <v>4.7</v>
      </c>
      <c r="E194" s="4">
        <v>48063</v>
      </c>
      <c r="F194" s="4">
        <v>2001</v>
      </c>
      <c r="G194" s="4"/>
      <c r="H194" s="4"/>
    </row>
    <row r="195" spans="1:8" x14ac:dyDescent="0.35">
      <c r="A195" s="4" t="s">
        <v>188</v>
      </c>
      <c r="B195" s="4" t="s">
        <v>189</v>
      </c>
      <c r="C195" s="4" t="s">
        <v>190</v>
      </c>
      <c r="D195" s="4">
        <v>2.6</v>
      </c>
      <c r="E195" s="4">
        <v>47934</v>
      </c>
      <c r="F195" s="4">
        <v>2022</v>
      </c>
      <c r="G195" s="4"/>
      <c r="H195" s="4"/>
    </row>
    <row r="196" spans="1:8" x14ac:dyDescent="0.35">
      <c r="A196" s="4" t="s">
        <v>2166</v>
      </c>
      <c r="B196" s="4" t="s">
        <v>2167</v>
      </c>
      <c r="C196" s="4" t="s">
        <v>82</v>
      </c>
      <c r="D196" s="4">
        <v>5.2</v>
      </c>
      <c r="E196" s="4">
        <v>47876</v>
      </c>
      <c r="F196" s="4">
        <v>1991</v>
      </c>
      <c r="G196" s="4"/>
      <c r="H196" s="4"/>
    </row>
    <row r="197" spans="1:8" x14ac:dyDescent="0.35">
      <c r="A197" s="4" t="s">
        <v>839</v>
      </c>
      <c r="B197" s="4" t="s">
        <v>840</v>
      </c>
      <c r="C197" s="4" t="s">
        <v>140</v>
      </c>
      <c r="D197" s="4">
        <v>4.4000000000000004</v>
      </c>
      <c r="E197" s="4">
        <v>47835</v>
      </c>
      <c r="F197" s="4">
        <v>2021</v>
      </c>
      <c r="G197" s="4"/>
      <c r="H197" s="4"/>
    </row>
    <row r="198" spans="1:8" x14ac:dyDescent="0.35">
      <c r="A198" s="4" t="s">
        <v>1559</v>
      </c>
      <c r="B198" s="4" t="s">
        <v>1560</v>
      </c>
      <c r="C198" s="4" t="s">
        <v>163</v>
      </c>
      <c r="D198" s="4">
        <v>4.9000000000000004</v>
      </c>
      <c r="E198" s="4">
        <v>47785</v>
      </c>
      <c r="F198" s="4">
        <v>2011</v>
      </c>
      <c r="G198" s="4"/>
      <c r="H198" s="4"/>
    </row>
    <row r="199" spans="1:8" x14ac:dyDescent="0.35">
      <c r="A199" s="4" t="s">
        <v>1561</v>
      </c>
      <c r="B199" s="4" t="s">
        <v>1562</v>
      </c>
      <c r="C199" s="4" t="s">
        <v>217</v>
      </c>
      <c r="D199" s="4">
        <v>4.9000000000000004</v>
      </c>
      <c r="E199" s="4">
        <v>47571</v>
      </c>
      <c r="F199" s="4">
        <v>1992</v>
      </c>
      <c r="G199" s="4"/>
      <c r="H199" s="4"/>
    </row>
    <row r="200" spans="1:8" x14ac:dyDescent="0.35">
      <c r="A200" s="4" t="s">
        <v>153</v>
      </c>
      <c r="B200" s="4" t="s">
        <v>154</v>
      </c>
      <c r="C200" s="4" t="s">
        <v>155</v>
      </c>
      <c r="D200" s="4">
        <v>2.4</v>
      </c>
      <c r="E200" s="4">
        <v>47417</v>
      </c>
      <c r="F200" s="4">
        <v>2005</v>
      </c>
      <c r="G200" s="4"/>
      <c r="H200" s="4"/>
    </row>
    <row r="201" spans="1:8" x14ac:dyDescent="0.35">
      <c r="A201" s="4" t="s">
        <v>1338</v>
      </c>
      <c r="B201" s="4" t="s">
        <v>1339</v>
      </c>
      <c r="C201" s="4" t="s">
        <v>214</v>
      </c>
      <c r="D201" s="4">
        <v>4.8</v>
      </c>
      <c r="E201" s="4">
        <v>47211</v>
      </c>
      <c r="F201" s="4">
        <v>2006</v>
      </c>
      <c r="G201" s="4"/>
      <c r="H201" s="4"/>
    </row>
    <row r="202" spans="1:8" x14ac:dyDescent="0.35">
      <c r="A202" s="4" t="s">
        <v>696</v>
      </c>
      <c r="B202" s="4" t="s">
        <v>697</v>
      </c>
      <c r="C202" s="4" t="s">
        <v>155</v>
      </c>
      <c r="D202" s="4">
        <v>4.2</v>
      </c>
      <c r="E202" s="4">
        <v>46900</v>
      </c>
      <c r="F202" s="4">
        <v>2022</v>
      </c>
      <c r="G202" s="4"/>
      <c r="H202" s="4"/>
    </row>
    <row r="203" spans="1:8" x14ac:dyDescent="0.35">
      <c r="A203" s="4" t="s">
        <v>405</v>
      </c>
      <c r="B203" s="4" t="s">
        <v>406</v>
      </c>
      <c r="C203" s="4" t="s">
        <v>275</v>
      </c>
      <c r="D203" s="4">
        <v>3.6</v>
      </c>
      <c r="E203" s="4">
        <v>46875</v>
      </c>
      <c r="F203" s="4">
        <v>2019</v>
      </c>
      <c r="G203" s="4"/>
      <c r="H203" s="4"/>
    </row>
    <row r="204" spans="1:8" x14ac:dyDescent="0.35">
      <c r="A204" s="4" t="s">
        <v>2168</v>
      </c>
      <c r="B204" s="4" t="s">
        <v>2169</v>
      </c>
      <c r="C204" s="4" t="s">
        <v>804</v>
      </c>
      <c r="D204" s="4">
        <v>5.2</v>
      </c>
      <c r="E204" s="4">
        <v>46863</v>
      </c>
      <c r="F204" s="4">
        <v>2015</v>
      </c>
      <c r="G204" s="4"/>
      <c r="H204" s="4"/>
    </row>
    <row r="205" spans="1:8" x14ac:dyDescent="0.35">
      <c r="A205" s="4" t="s">
        <v>1340</v>
      </c>
      <c r="B205" s="4" t="s">
        <v>1341</v>
      </c>
      <c r="C205" s="4" t="s">
        <v>1342</v>
      </c>
      <c r="D205" s="4">
        <v>4.8</v>
      </c>
      <c r="E205" s="4">
        <v>46718</v>
      </c>
      <c r="F205" s="4">
        <v>2006</v>
      </c>
      <c r="G205" s="4"/>
      <c r="H205" s="4"/>
    </row>
    <row r="206" spans="1:8" x14ac:dyDescent="0.35">
      <c r="A206" s="4" t="s">
        <v>1193</v>
      </c>
      <c r="B206" s="4" t="s">
        <v>1194</v>
      </c>
      <c r="C206" s="4" t="s">
        <v>1195</v>
      </c>
      <c r="D206" s="4">
        <v>4.7</v>
      </c>
      <c r="E206" s="4">
        <v>46620</v>
      </c>
      <c r="F206" s="4">
        <v>2015</v>
      </c>
      <c r="G206" s="4"/>
      <c r="H206" s="4"/>
    </row>
    <row r="207" spans="1:8" x14ac:dyDescent="0.35">
      <c r="A207" s="4" t="s">
        <v>1704</v>
      </c>
      <c r="B207" s="4" t="s">
        <v>1705</v>
      </c>
      <c r="C207" s="4" t="s">
        <v>214</v>
      </c>
      <c r="D207" s="4">
        <v>5</v>
      </c>
      <c r="E207" s="4">
        <v>46568</v>
      </c>
      <c r="F207" s="4">
        <v>1987</v>
      </c>
      <c r="G207" s="4"/>
      <c r="H207" s="4"/>
    </row>
    <row r="208" spans="1:8" x14ac:dyDescent="0.35">
      <c r="A208" s="4" t="s">
        <v>1196</v>
      </c>
      <c r="B208" s="4" t="s">
        <v>1197</v>
      </c>
      <c r="C208" s="4" t="s">
        <v>232</v>
      </c>
      <c r="D208" s="4">
        <v>4.7</v>
      </c>
      <c r="E208" s="4">
        <v>46518</v>
      </c>
      <c r="F208" s="4">
        <v>2009</v>
      </c>
      <c r="G208" s="4"/>
      <c r="H208" s="4"/>
    </row>
    <row r="209" spans="1:8" x14ac:dyDescent="0.35">
      <c r="A209" s="4" t="s">
        <v>1343</v>
      </c>
      <c r="B209" s="4" t="s">
        <v>1344</v>
      </c>
      <c r="C209" s="4" t="s">
        <v>175</v>
      </c>
      <c r="D209" s="4">
        <v>4.8</v>
      </c>
      <c r="E209" s="4">
        <v>46299</v>
      </c>
      <c r="F209" s="4">
        <v>2016</v>
      </c>
      <c r="G209" s="4"/>
      <c r="H209" s="4"/>
    </row>
    <row r="210" spans="1:8" x14ac:dyDescent="0.35">
      <c r="A210" s="4" t="s">
        <v>1040</v>
      </c>
      <c r="B210" s="4" t="s">
        <v>1041</v>
      </c>
      <c r="C210" s="4" t="s">
        <v>178</v>
      </c>
      <c r="D210" s="4">
        <v>4.5999999999999996</v>
      </c>
      <c r="E210" s="4">
        <v>46282</v>
      </c>
      <c r="F210" s="4">
        <v>2021</v>
      </c>
      <c r="G210" s="4"/>
      <c r="H210" s="4"/>
    </row>
    <row r="211" spans="1:8" x14ac:dyDescent="0.35">
      <c r="A211" s="4" t="s">
        <v>486</v>
      </c>
      <c r="B211" s="4" t="s">
        <v>487</v>
      </c>
      <c r="C211" s="4" t="s">
        <v>137</v>
      </c>
      <c r="D211" s="4">
        <v>3.8</v>
      </c>
      <c r="E211" s="4">
        <v>46165</v>
      </c>
      <c r="F211" s="4">
        <v>2012</v>
      </c>
      <c r="G211" s="4"/>
      <c r="H211" s="4"/>
    </row>
    <row r="212" spans="1:8" x14ac:dyDescent="0.35">
      <c r="A212" s="4" t="s">
        <v>1706</v>
      </c>
      <c r="B212" s="4" t="s">
        <v>1707</v>
      </c>
      <c r="C212" s="4" t="s">
        <v>448</v>
      </c>
      <c r="D212" s="4">
        <v>5</v>
      </c>
      <c r="E212" s="4">
        <v>46139</v>
      </c>
      <c r="F212" s="4">
        <v>2014</v>
      </c>
      <c r="G212" s="4"/>
      <c r="H212" s="4"/>
    </row>
    <row r="213" spans="1:8" x14ac:dyDescent="0.35">
      <c r="A213" s="4" t="s">
        <v>488</v>
      </c>
      <c r="B213" s="4" t="s">
        <v>489</v>
      </c>
      <c r="C213" s="4" t="s">
        <v>163</v>
      </c>
      <c r="D213" s="4">
        <v>3.8</v>
      </c>
      <c r="E213" s="4">
        <v>45902</v>
      </c>
      <c r="F213" s="4">
        <v>1998</v>
      </c>
      <c r="G213" s="4"/>
      <c r="H213" s="4"/>
    </row>
    <row r="214" spans="1:8" x14ac:dyDescent="0.35">
      <c r="A214" s="4" t="s">
        <v>1563</v>
      </c>
      <c r="B214" s="4" t="s">
        <v>1564</v>
      </c>
      <c r="C214" s="4" t="s">
        <v>93</v>
      </c>
      <c r="D214" s="4">
        <v>4.9000000000000004</v>
      </c>
      <c r="E214" s="4">
        <v>45846</v>
      </c>
      <c r="F214" s="4">
        <v>2022</v>
      </c>
      <c r="G214" s="4"/>
      <c r="H214" s="4"/>
    </row>
    <row r="215" spans="1:8" x14ac:dyDescent="0.35">
      <c r="A215" s="4" t="s">
        <v>1345</v>
      </c>
      <c r="B215" s="4" t="s">
        <v>1346</v>
      </c>
      <c r="C215" s="4" t="s">
        <v>134</v>
      </c>
      <c r="D215" s="4">
        <v>4.8</v>
      </c>
      <c r="E215" s="4">
        <v>45770</v>
      </c>
      <c r="F215" s="4">
        <v>2023</v>
      </c>
      <c r="G215" s="4"/>
      <c r="H215" s="4"/>
    </row>
    <row r="216" spans="1:8" x14ac:dyDescent="0.35">
      <c r="A216" s="4" t="s">
        <v>1347</v>
      </c>
      <c r="B216" s="4" t="s">
        <v>1348</v>
      </c>
      <c r="C216" s="4" t="s">
        <v>175</v>
      </c>
      <c r="D216" s="4">
        <v>4.8</v>
      </c>
      <c r="E216" s="4">
        <v>45693</v>
      </c>
      <c r="F216" s="4">
        <v>1985</v>
      </c>
      <c r="G216" s="4"/>
      <c r="H216" s="4"/>
    </row>
    <row r="217" spans="1:8" x14ac:dyDescent="0.35">
      <c r="A217" s="4" t="s">
        <v>1042</v>
      </c>
      <c r="B217" s="4" t="s">
        <v>1043</v>
      </c>
      <c r="C217" s="4" t="s">
        <v>208</v>
      </c>
      <c r="D217" s="4">
        <v>4.5999999999999996</v>
      </c>
      <c r="E217" s="4">
        <v>45654</v>
      </c>
      <c r="F217" s="4">
        <v>2014</v>
      </c>
      <c r="G217" s="4"/>
      <c r="H217" s="4"/>
    </row>
    <row r="218" spans="1:8" x14ac:dyDescent="0.35">
      <c r="A218" s="4" t="s">
        <v>1892</v>
      </c>
      <c r="B218" s="4" t="s">
        <v>1893</v>
      </c>
      <c r="C218" s="4" t="s">
        <v>166</v>
      </c>
      <c r="D218" s="4">
        <v>5.0999999999999996</v>
      </c>
      <c r="E218" s="4">
        <v>45645</v>
      </c>
      <c r="F218" s="4">
        <v>1985</v>
      </c>
      <c r="G218" s="4"/>
      <c r="H218" s="4"/>
    </row>
    <row r="219" spans="1:8" x14ac:dyDescent="0.35">
      <c r="A219" s="4" t="s">
        <v>2170</v>
      </c>
      <c r="B219" s="4" t="s">
        <v>2171</v>
      </c>
      <c r="C219" s="4" t="s">
        <v>294</v>
      </c>
      <c r="D219" s="4">
        <v>5.2</v>
      </c>
      <c r="E219" s="4">
        <v>45631</v>
      </c>
      <c r="F219" s="4">
        <v>2015</v>
      </c>
      <c r="G219" s="4"/>
      <c r="H219" s="4"/>
    </row>
    <row r="220" spans="1:8" x14ac:dyDescent="0.35">
      <c r="A220" s="4" t="s">
        <v>1044</v>
      </c>
      <c r="B220" s="4" t="s">
        <v>1045</v>
      </c>
      <c r="C220" s="4" t="s">
        <v>146</v>
      </c>
      <c r="D220" s="4">
        <v>4.5999999999999996</v>
      </c>
      <c r="E220" s="4">
        <v>45562</v>
      </c>
      <c r="F220" s="4">
        <v>2004</v>
      </c>
      <c r="G220" s="4"/>
      <c r="H220" s="4"/>
    </row>
    <row r="221" spans="1:8" x14ac:dyDescent="0.35">
      <c r="A221" s="4" t="s">
        <v>841</v>
      </c>
      <c r="B221" s="4" t="s">
        <v>842</v>
      </c>
      <c r="C221" s="4" t="s">
        <v>843</v>
      </c>
      <c r="D221" s="4">
        <v>4.4000000000000004</v>
      </c>
      <c r="E221" s="4">
        <v>45378</v>
      </c>
      <c r="F221" s="4">
        <v>1992</v>
      </c>
      <c r="G221" s="4"/>
      <c r="H221" s="4"/>
    </row>
    <row r="222" spans="1:8" x14ac:dyDescent="0.35">
      <c r="A222" s="4" t="s">
        <v>490</v>
      </c>
      <c r="B222" s="4" t="s">
        <v>491</v>
      </c>
      <c r="C222" s="4" t="s">
        <v>128</v>
      </c>
      <c r="D222" s="4">
        <v>3.8</v>
      </c>
      <c r="E222" s="4">
        <v>45106</v>
      </c>
      <c r="F222" s="4">
        <v>2002</v>
      </c>
      <c r="G222" s="4"/>
      <c r="H222" s="4"/>
    </row>
    <row r="223" spans="1:8" x14ac:dyDescent="0.35">
      <c r="A223" s="4" t="s">
        <v>1349</v>
      </c>
      <c r="B223" s="4" t="s">
        <v>1350</v>
      </c>
      <c r="C223" s="4" t="s">
        <v>455</v>
      </c>
      <c r="D223" s="4">
        <v>4.8</v>
      </c>
      <c r="E223" s="4">
        <v>44863</v>
      </c>
      <c r="F223" s="4">
        <v>2009</v>
      </c>
      <c r="G223" s="4"/>
      <c r="H223" s="4"/>
    </row>
    <row r="224" spans="1:8" x14ac:dyDescent="0.35">
      <c r="A224" s="4" t="s">
        <v>1351</v>
      </c>
      <c r="B224" s="4" t="s">
        <v>1352</v>
      </c>
      <c r="C224" s="4" t="s">
        <v>76</v>
      </c>
      <c r="D224" s="4">
        <v>4.8</v>
      </c>
      <c r="E224" s="4">
        <v>44700</v>
      </c>
      <c r="F224" s="4">
        <v>2023</v>
      </c>
      <c r="G224" s="4"/>
      <c r="H224" s="4"/>
    </row>
    <row r="225" spans="1:8" x14ac:dyDescent="0.35">
      <c r="A225" s="4" t="s">
        <v>945</v>
      </c>
      <c r="B225" s="4" t="s">
        <v>946</v>
      </c>
      <c r="C225" s="4" t="s">
        <v>264</v>
      </c>
      <c r="D225" s="4">
        <v>4.5</v>
      </c>
      <c r="E225" s="4">
        <v>44694</v>
      </c>
      <c r="F225" s="4">
        <v>1989</v>
      </c>
      <c r="G225" s="4"/>
      <c r="H225" s="4"/>
    </row>
    <row r="226" spans="1:8" x14ac:dyDescent="0.35">
      <c r="A226" s="4" t="s">
        <v>2172</v>
      </c>
      <c r="B226" s="4" t="s">
        <v>2173</v>
      </c>
      <c r="C226" s="4" t="s">
        <v>1967</v>
      </c>
      <c r="D226" s="4">
        <v>5.2</v>
      </c>
      <c r="E226" s="4">
        <v>44504</v>
      </c>
      <c r="F226" s="4">
        <v>2003</v>
      </c>
      <c r="G226" s="4"/>
      <c r="H226" s="4"/>
    </row>
    <row r="227" spans="1:8" x14ac:dyDescent="0.35">
      <c r="A227" s="4" t="s">
        <v>1894</v>
      </c>
      <c r="B227" s="4" t="s">
        <v>1895</v>
      </c>
      <c r="C227" s="4" t="s">
        <v>217</v>
      </c>
      <c r="D227" s="4">
        <v>5.0999999999999996</v>
      </c>
      <c r="E227" s="4">
        <v>44307</v>
      </c>
      <c r="F227" s="4">
        <v>2008</v>
      </c>
      <c r="G227" s="4"/>
      <c r="H227" s="4"/>
    </row>
    <row r="228" spans="1:8" x14ac:dyDescent="0.35">
      <c r="A228" s="4" t="s">
        <v>492</v>
      </c>
      <c r="B228" s="4" t="s">
        <v>493</v>
      </c>
      <c r="C228" s="4" t="s">
        <v>76</v>
      </c>
      <c r="D228" s="4">
        <v>3.8</v>
      </c>
      <c r="E228" s="4">
        <v>44268</v>
      </c>
      <c r="F228" s="4">
        <v>2011</v>
      </c>
      <c r="G228" s="4"/>
      <c r="H228" s="4"/>
    </row>
    <row r="229" spans="1:8" x14ac:dyDescent="0.35">
      <c r="A229" s="4" t="s">
        <v>295</v>
      </c>
      <c r="B229" s="4" t="s">
        <v>296</v>
      </c>
      <c r="C229" s="4" t="s">
        <v>116</v>
      </c>
      <c r="D229" s="4">
        <v>3.2</v>
      </c>
      <c r="E229" s="4">
        <v>44004</v>
      </c>
      <c r="F229" s="4">
        <v>2013</v>
      </c>
      <c r="G229" s="4"/>
      <c r="H229" s="4"/>
    </row>
    <row r="230" spans="1:8" x14ac:dyDescent="0.35">
      <c r="A230" s="4" t="s">
        <v>1565</v>
      </c>
      <c r="B230" s="4" t="s">
        <v>1566</v>
      </c>
      <c r="C230" s="4" t="s">
        <v>152</v>
      </c>
      <c r="D230" s="4">
        <v>4.9000000000000004</v>
      </c>
      <c r="E230" s="4">
        <v>43983</v>
      </c>
      <c r="F230" s="4">
        <v>2001</v>
      </c>
      <c r="G230" s="4"/>
      <c r="H230" s="4"/>
    </row>
    <row r="231" spans="1:8" x14ac:dyDescent="0.35">
      <c r="A231" s="4" t="s">
        <v>2174</v>
      </c>
      <c r="B231" s="4" t="s">
        <v>2175</v>
      </c>
      <c r="C231" s="4" t="s">
        <v>82</v>
      </c>
      <c r="D231" s="4">
        <v>5.2</v>
      </c>
      <c r="E231" s="4">
        <v>43943</v>
      </c>
      <c r="F231" s="4">
        <v>1988</v>
      </c>
      <c r="G231" s="4"/>
      <c r="H231" s="4"/>
    </row>
    <row r="232" spans="1:8" x14ac:dyDescent="0.35">
      <c r="A232" s="4" t="s">
        <v>947</v>
      </c>
      <c r="B232" s="4" t="s">
        <v>948</v>
      </c>
      <c r="C232" s="4" t="s">
        <v>565</v>
      </c>
      <c r="D232" s="4">
        <v>4.5</v>
      </c>
      <c r="E232" s="4">
        <v>43887</v>
      </c>
      <c r="F232" s="4">
        <v>2017</v>
      </c>
      <c r="G232" s="4"/>
      <c r="H232" s="4"/>
    </row>
    <row r="233" spans="1:8" x14ac:dyDescent="0.35">
      <c r="A233" s="4" t="s">
        <v>1046</v>
      </c>
      <c r="B233" s="4" t="s">
        <v>1047</v>
      </c>
      <c r="C233" s="4" t="s">
        <v>1048</v>
      </c>
      <c r="D233" s="4">
        <v>4.5999999999999996</v>
      </c>
      <c r="E233" s="4">
        <v>43600</v>
      </c>
      <c r="F233" s="4">
        <v>2001</v>
      </c>
      <c r="G233" s="4"/>
      <c r="H233" s="4"/>
    </row>
    <row r="234" spans="1:8" x14ac:dyDescent="0.35">
      <c r="A234" s="4" t="s">
        <v>244</v>
      </c>
      <c r="B234" s="4" t="s">
        <v>245</v>
      </c>
      <c r="C234" s="4" t="s">
        <v>246</v>
      </c>
      <c r="D234" s="4">
        <v>2.9</v>
      </c>
      <c r="E234" s="4">
        <v>43598</v>
      </c>
      <c r="F234" s="4">
        <v>2010</v>
      </c>
      <c r="G234" s="4"/>
      <c r="H234" s="4"/>
    </row>
    <row r="235" spans="1:8" x14ac:dyDescent="0.35">
      <c r="A235" s="4" t="s">
        <v>1198</v>
      </c>
      <c r="B235" s="4" t="s">
        <v>1199</v>
      </c>
      <c r="C235" s="4" t="s">
        <v>82</v>
      </c>
      <c r="D235" s="4">
        <v>4.7</v>
      </c>
      <c r="E235" s="4">
        <v>43509</v>
      </c>
      <c r="F235" s="4">
        <v>1995</v>
      </c>
      <c r="G235" s="4"/>
      <c r="H235" s="4"/>
    </row>
    <row r="236" spans="1:8" x14ac:dyDescent="0.35">
      <c r="A236" s="4" t="s">
        <v>494</v>
      </c>
      <c r="B236" s="4" t="s">
        <v>495</v>
      </c>
      <c r="C236" s="4" t="s">
        <v>178</v>
      </c>
      <c r="D236" s="4">
        <v>3.8</v>
      </c>
      <c r="E236" s="4">
        <v>43456</v>
      </c>
      <c r="F236" s="4">
        <v>2005</v>
      </c>
      <c r="G236" s="4"/>
      <c r="H236" s="4"/>
    </row>
    <row r="237" spans="1:8" x14ac:dyDescent="0.35">
      <c r="A237" s="4" t="s">
        <v>141</v>
      </c>
      <c r="B237" s="4" t="s">
        <v>142</v>
      </c>
      <c r="C237" s="4" t="s">
        <v>143</v>
      </c>
      <c r="D237" s="4">
        <v>2.2999999999999998</v>
      </c>
      <c r="E237" s="4">
        <v>43439</v>
      </c>
      <c r="F237" s="4">
        <v>2022</v>
      </c>
      <c r="G237" s="4"/>
      <c r="H237" s="4"/>
    </row>
    <row r="238" spans="1:8" x14ac:dyDescent="0.35">
      <c r="A238" s="4" t="s">
        <v>1896</v>
      </c>
      <c r="B238" s="4" t="s">
        <v>1897</v>
      </c>
      <c r="C238" s="4" t="s">
        <v>549</v>
      </c>
      <c r="D238" s="4">
        <v>5.0999999999999996</v>
      </c>
      <c r="E238" s="4">
        <v>43252</v>
      </c>
      <c r="F238" s="4">
        <v>2022</v>
      </c>
      <c r="G238" s="4"/>
      <c r="H238" s="4"/>
    </row>
    <row r="239" spans="1:8" x14ac:dyDescent="0.35">
      <c r="A239" s="4" t="s">
        <v>1353</v>
      </c>
      <c r="B239" s="4" t="s">
        <v>1354</v>
      </c>
      <c r="C239" s="4" t="s">
        <v>217</v>
      </c>
      <c r="D239" s="4">
        <v>4.8</v>
      </c>
      <c r="E239" s="4">
        <v>43211</v>
      </c>
      <c r="F239" s="4">
        <v>2006</v>
      </c>
      <c r="G239" s="4"/>
      <c r="H239" s="4"/>
    </row>
    <row r="240" spans="1:8" x14ac:dyDescent="0.35">
      <c r="A240" s="4" t="s">
        <v>1567</v>
      </c>
      <c r="B240" s="4" t="s">
        <v>1568</v>
      </c>
      <c r="C240" s="4" t="s">
        <v>128</v>
      </c>
      <c r="D240" s="4">
        <v>4.9000000000000004</v>
      </c>
      <c r="E240" s="4">
        <v>43209</v>
      </c>
      <c r="F240" s="4">
        <v>2009</v>
      </c>
      <c r="G240" s="4"/>
      <c r="H240" s="4"/>
    </row>
    <row r="241" spans="1:8" x14ac:dyDescent="0.35">
      <c r="A241" s="4" t="s">
        <v>282</v>
      </c>
      <c r="B241" s="4" t="s">
        <v>283</v>
      </c>
      <c r="C241" s="4" t="s">
        <v>53</v>
      </c>
      <c r="D241" s="4">
        <v>3.1</v>
      </c>
      <c r="E241" s="4">
        <v>43118</v>
      </c>
      <c r="F241" s="4">
        <v>2014</v>
      </c>
      <c r="G241" s="4"/>
      <c r="H241" s="4"/>
    </row>
    <row r="242" spans="1:8" x14ac:dyDescent="0.35">
      <c r="A242" s="4" t="s">
        <v>343</v>
      </c>
      <c r="B242" s="4" t="s">
        <v>344</v>
      </c>
      <c r="C242" s="4" t="s">
        <v>11</v>
      </c>
      <c r="D242" s="4">
        <v>3.4</v>
      </c>
      <c r="E242" s="4">
        <v>42995</v>
      </c>
      <c r="F242" s="4">
        <v>2003</v>
      </c>
      <c r="G242" s="4"/>
      <c r="H242" s="4"/>
    </row>
    <row r="243" spans="1:8" x14ac:dyDescent="0.35">
      <c r="A243" s="4" t="s">
        <v>51</v>
      </c>
      <c r="B243" s="4" t="s">
        <v>52</v>
      </c>
      <c r="C243" s="4" t="s">
        <v>53</v>
      </c>
      <c r="D243" s="4">
        <v>1.4</v>
      </c>
      <c r="E243" s="4">
        <v>42954</v>
      </c>
      <c r="F243" s="4">
        <v>2015</v>
      </c>
      <c r="G243" s="4"/>
      <c r="H243" s="4"/>
    </row>
    <row r="244" spans="1:8" x14ac:dyDescent="0.35">
      <c r="A244" s="4" t="s">
        <v>1708</v>
      </c>
      <c r="B244" s="4" t="s">
        <v>1709</v>
      </c>
      <c r="C244" s="4" t="s">
        <v>1710</v>
      </c>
      <c r="D244" s="4">
        <v>5</v>
      </c>
      <c r="E244" s="4">
        <v>42360</v>
      </c>
      <c r="F244" s="4">
        <v>2015</v>
      </c>
      <c r="G244" s="4"/>
      <c r="H244" s="4"/>
    </row>
    <row r="245" spans="1:8" x14ac:dyDescent="0.35">
      <c r="A245" s="4" t="s">
        <v>1898</v>
      </c>
      <c r="B245" s="4" t="s">
        <v>1899</v>
      </c>
      <c r="C245" s="4" t="s">
        <v>1900</v>
      </c>
      <c r="D245" s="4">
        <v>5.0999999999999996</v>
      </c>
      <c r="E245" s="4">
        <v>42213</v>
      </c>
      <c r="F245" s="4">
        <v>2005</v>
      </c>
      <c r="G245" s="4"/>
      <c r="H245" s="4"/>
    </row>
    <row r="246" spans="1:8" x14ac:dyDescent="0.35">
      <c r="A246" s="4" t="s">
        <v>844</v>
      </c>
      <c r="B246" s="4" t="s">
        <v>845</v>
      </c>
      <c r="C246" s="4" t="s">
        <v>846</v>
      </c>
      <c r="D246" s="4">
        <v>4.4000000000000004</v>
      </c>
      <c r="E246" s="4">
        <v>42107</v>
      </c>
      <c r="F246" s="4">
        <v>2006</v>
      </c>
      <c r="G246" s="4"/>
      <c r="H246" s="4"/>
    </row>
    <row r="247" spans="1:8" x14ac:dyDescent="0.35">
      <c r="A247" s="4" t="s">
        <v>847</v>
      </c>
      <c r="B247" s="4" t="s">
        <v>848</v>
      </c>
      <c r="C247" s="4" t="s">
        <v>146</v>
      </c>
      <c r="D247" s="4">
        <v>4.4000000000000004</v>
      </c>
      <c r="E247" s="4">
        <v>41993</v>
      </c>
      <c r="F247" s="4">
        <v>2015</v>
      </c>
      <c r="G247" s="4"/>
      <c r="H247" s="4"/>
    </row>
    <row r="248" spans="1:8" x14ac:dyDescent="0.35">
      <c r="A248" s="4" t="s">
        <v>1355</v>
      </c>
      <c r="B248" s="4" t="s">
        <v>1356</v>
      </c>
      <c r="C248" s="4" t="s">
        <v>584</v>
      </c>
      <c r="D248" s="4">
        <v>4.8</v>
      </c>
      <c r="E248" s="4">
        <v>41990</v>
      </c>
      <c r="F248" s="4">
        <v>2011</v>
      </c>
      <c r="G248" s="4"/>
      <c r="H248" s="4"/>
    </row>
    <row r="249" spans="1:8" x14ac:dyDescent="0.35">
      <c r="A249" s="4" t="s">
        <v>1901</v>
      </c>
      <c r="B249" s="4" t="s">
        <v>1902</v>
      </c>
      <c r="C249" s="4" t="s">
        <v>11</v>
      </c>
      <c r="D249" s="4">
        <v>5.0999999999999996</v>
      </c>
      <c r="E249" s="4">
        <v>41961</v>
      </c>
      <c r="F249" s="4">
        <v>2022</v>
      </c>
      <c r="G249" s="4"/>
      <c r="H249" s="4"/>
    </row>
    <row r="250" spans="1:8" x14ac:dyDescent="0.35">
      <c r="A250" s="4" t="s">
        <v>1711</v>
      </c>
      <c r="B250" s="4" t="s">
        <v>1712</v>
      </c>
      <c r="C250" s="4" t="s">
        <v>146</v>
      </c>
      <c r="D250" s="4">
        <v>5</v>
      </c>
      <c r="E250" s="4">
        <v>41785</v>
      </c>
      <c r="F250" s="4">
        <v>2014</v>
      </c>
      <c r="G250" s="4"/>
      <c r="H250" s="4"/>
    </row>
    <row r="251" spans="1:8" x14ac:dyDescent="0.35">
      <c r="A251" s="4" t="s">
        <v>593</v>
      </c>
      <c r="B251" s="4" t="s">
        <v>594</v>
      </c>
      <c r="C251" s="4" t="s">
        <v>125</v>
      </c>
      <c r="D251" s="4">
        <v>4</v>
      </c>
      <c r="E251" s="4">
        <v>41243</v>
      </c>
      <c r="F251" s="4">
        <v>2023</v>
      </c>
      <c r="G251" s="4"/>
      <c r="H251" s="4"/>
    </row>
    <row r="252" spans="1:8" x14ac:dyDescent="0.35">
      <c r="A252" s="4" t="s">
        <v>531</v>
      </c>
      <c r="B252" s="4" t="s">
        <v>532</v>
      </c>
      <c r="C252" s="4" t="s">
        <v>98</v>
      </c>
      <c r="D252" s="4">
        <v>3.9</v>
      </c>
      <c r="E252" s="4">
        <v>41105</v>
      </c>
      <c r="F252" s="4">
        <v>1957</v>
      </c>
      <c r="G252" s="4"/>
      <c r="H252" s="4"/>
    </row>
    <row r="253" spans="1:8" x14ac:dyDescent="0.35">
      <c r="A253" s="4" t="s">
        <v>849</v>
      </c>
      <c r="B253" s="4" t="s">
        <v>850</v>
      </c>
      <c r="C253" s="4" t="s">
        <v>217</v>
      </c>
      <c r="D253" s="4">
        <v>4.4000000000000004</v>
      </c>
      <c r="E253" s="4">
        <v>40753</v>
      </c>
      <c r="F253" s="4">
        <v>2011</v>
      </c>
      <c r="G253" s="4"/>
      <c r="H253" s="4"/>
    </row>
    <row r="254" spans="1:8" x14ac:dyDescent="0.35">
      <c r="A254" s="4" t="s">
        <v>595</v>
      </c>
      <c r="B254" s="4" t="s">
        <v>596</v>
      </c>
      <c r="C254" s="4" t="s">
        <v>597</v>
      </c>
      <c r="D254" s="4">
        <v>4</v>
      </c>
      <c r="E254" s="4">
        <v>40658</v>
      </c>
      <c r="F254" s="4">
        <v>2000</v>
      </c>
      <c r="G254" s="4"/>
      <c r="H254" s="4"/>
    </row>
    <row r="255" spans="1:8" x14ac:dyDescent="0.35">
      <c r="A255" s="4" t="s">
        <v>54</v>
      </c>
      <c r="B255" s="4" t="s">
        <v>55</v>
      </c>
      <c r="C255" s="4" t="s">
        <v>56</v>
      </c>
      <c r="D255" s="4">
        <v>1.5</v>
      </c>
      <c r="E255" s="4">
        <v>40625</v>
      </c>
      <c r="F255" s="4">
        <v>2021</v>
      </c>
      <c r="G255" s="4"/>
      <c r="H255" s="4"/>
    </row>
    <row r="256" spans="1:8" x14ac:dyDescent="0.35">
      <c r="A256" s="4" t="s">
        <v>1903</v>
      </c>
      <c r="B256" s="4" t="s">
        <v>1904</v>
      </c>
      <c r="C256" s="4" t="s">
        <v>175</v>
      </c>
      <c r="D256" s="4">
        <v>5.0999999999999996</v>
      </c>
      <c r="E256" s="4">
        <v>40491</v>
      </c>
      <c r="F256" s="4">
        <v>2004</v>
      </c>
      <c r="G256" s="4"/>
      <c r="H256" s="4"/>
    </row>
    <row r="257" spans="1:8" x14ac:dyDescent="0.35">
      <c r="A257" s="4" t="s">
        <v>29</v>
      </c>
      <c r="B257" s="4" t="s">
        <v>30</v>
      </c>
      <c r="C257" s="4" t="s">
        <v>31</v>
      </c>
      <c r="D257" s="4">
        <v>1.2</v>
      </c>
      <c r="E257" s="4">
        <v>40233</v>
      </c>
      <c r="F257" s="4">
        <v>2016</v>
      </c>
      <c r="G257" s="4"/>
      <c r="H257" s="4"/>
    </row>
    <row r="258" spans="1:8" x14ac:dyDescent="0.35">
      <c r="A258" s="4" t="s">
        <v>1357</v>
      </c>
      <c r="B258" s="4" t="s">
        <v>1358</v>
      </c>
      <c r="C258" s="4" t="s">
        <v>217</v>
      </c>
      <c r="D258" s="4">
        <v>4.8</v>
      </c>
      <c r="E258" s="4">
        <v>40156</v>
      </c>
      <c r="F258" s="4">
        <v>2000</v>
      </c>
      <c r="G258" s="4"/>
      <c r="H258" s="4"/>
    </row>
    <row r="259" spans="1:8" x14ac:dyDescent="0.35">
      <c r="A259" s="4" t="s">
        <v>1569</v>
      </c>
      <c r="B259" s="4" t="s">
        <v>1570</v>
      </c>
      <c r="C259" s="4" t="s">
        <v>294</v>
      </c>
      <c r="D259" s="4">
        <v>4.9000000000000004</v>
      </c>
      <c r="E259" s="4">
        <v>40151</v>
      </c>
      <c r="F259" s="4">
        <v>2012</v>
      </c>
      <c r="G259" s="4"/>
      <c r="H259" s="4"/>
    </row>
    <row r="260" spans="1:8" x14ac:dyDescent="0.35">
      <c r="A260" s="4" t="s">
        <v>191</v>
      </c>
      <c r="B260" s="4" t="s">
        <v>192</v>
      </c>
      <c r="C260" s="4" t="s">
        <v>193</v>
      </c>
      <c r="D260" s="4">
        <v>2.6</v>
      </c>
      <c r="E260" s="4">
        <v>40098</v>
      </c>
      <c r="F260" s="4">
        <v>2002</v>
      </c>
      <c r="G260" s="4"/>
      <c r="H260" s="4"/>
    </row>
    <row r="261" spans="1:8" x14ac:dyDescent="0.35">
      <c r="A261" s="4" t="s">
        <v>533</v>
      </c>
      <c r="B261" s="4" t="s">
        <v>534</v>
      </c>
      <c r="C261" s="4" t="s">
        <v>535</v>
      </c>
      <c r="D261" s="4">
        <v>3.9</v>
      </c>
      <c r="E261" s="4">
        <v>40065</v>
      </c>
      <c r="F261" s="4">
        <v>2018</v>
      </c>
      <c r="G261" s="4"/>
      <c r="H261" s="4"/>
    </row>
    <row r="262" spans="1:8" x14ac:dyDescent="0.35">
      <c r="A262" s="4" t="s">
        <v>1905</v>
      </c>
      <c r="B262" s="4" t="s">
        <v>1906</v>
      </c>
      <c r="C262" s="4" t="s">
        <v>208</v>
      </c>
      <c r="D262" s="4">
        <v>5.0999999999999996</v>
      </c>
      <c r="E262" s="4">
        <v>40049</v>
      </c>
      <c r="F262" s="4">
        <v>2020</v>
      </c>
      <c r="G262" s="4"/>
      <c r="H262" s="4"/>
    </row>
    <row r="263" spans="1:8" x14ac:dyDescent="0.35">
      <c r="A263" s="4" t="s">
        <v>446</v>
      </c>
      <c r="B263" s="4" t="s">
        <v>447</v>
      </c>
      <c r="C263" s="4" t="s">
        <v>448</v>
      </c>
      <c r="D263" s="4">
        <v>3.7</v>
      </c>
      <c r="E263" s="4">
        <v>39839</v>
      </c>
      <c r="F263" s="4">
        <v>2005</v>
      </c>
      <c r="G263" s="4"/>
      <c r="H263" s="4"/>
    </row>
    <row r="264" spans="1:8" x14ac:dyDescent="0.35">
      <c r="A264" s="4" t="s">
        <v>323</v>
      </c>
      <c r="B264" s="4" t="s">
        <v>324</v>
      </c>
      <c r="C264" s="4" t="s">
        <v>175</v>
      </c>
      <c r="D264" s="4">
        <v>3.3</v>
      </c>
      <c r="E264" s="4">
        <v>39628</v>
      </c>
      <c r="F264" s="4">
        <v>2018</v>
      </c>
      <c r="G264" s="4"/>
      <c r="H264" s="4"/>
    </row>
    <row r="265" spans="1:8" x14ac:dyDescent="0.35">
      <c r="A265" s="4" t="s">
        <v>9</v>
      </c>
      <c r="B265" s="4" t="s">
        <v>10</v>
      </c>
      <c r="C265" s="4" t="s">
        <v>11</v>
      </c>
      <c r="D265" s="4">
        <v>1</v>
      </c>
      <c r="E265" s="4">
        <v>39466</v>
      </c>
      <c r="F265" s="4">
        <v>2017</v>
      </c>
      <c r="G265" s="4"/>
      <c r="H265" s="4"/>
    </row>
    <row r="266" spans="1:8" x14ac:dyDescent="0.35">
      <c r="A266" s="4" t="s">
        <v>1907</v>
      </c>
      <c r="B266" s="4" t="s">
        <v>1908</v>
      </c>
      <c r="C266" s="4" t="s">
        <v>125</v>
      </c>
      <c r="D266" s="4">
        <v>5.0999999999999996</v>
      </c>
      <c r="E266" s="4">
        <v>39407</v>
      </c>
      <c r="F266" s="4">
        <v>2015</v>
      </c>
      <c r="G266" s="4"/>
      <c r="H266" s="4"/>
    </row>
    <row r="267" spans="1:8" x14ac:dyDescent="0.35">
      <c r="A267" s="4" t="s">
        <v>114</v>
      </c>
      <c r="B267" s="4" t="s">
        <v>115</v>
      </c>
      <c r="C267" s="4" t="s">
        <v>116</v>
      </c>
      <c r="D267" s="4">
        <v>2</v>
      </c>
      <c r="E267" s="4">
        <v>39296</v>
      </c>
      <c r="F267" s="4">
        <v>2008</v>
      </c>
      <c r="G267" s="4"/>
      <c r="H267" s="4"/>
    </row>
    <row r="268" spans="1:8" x14ac:dyDescent="0.35">
      <c r="A268" s="4" t="s">
        <v>1049</v>
      </c>
      <c r="B268" s="4" t="s">
        <v>1050</v>
      </c>
      <c r="C268" s="4" t="s">
        <v>109</v>
      </c>
      <c r="D268" s="4">
        <v>4.5999999999999996</v>
      </c>
      <c r="E268" s="4">
        <v>39219</v>
      </c>
      <c r="F268" s="4">
        <v>1982</v>
      </c>
      <c r="G268" s="4"/>
      <c r="H268" s="4"/>
    </row>
    <row r="269" spans="1:8" x14ac:dyDescent="0.35">
      <c r="A269" s="4" t="s">
        <v>1051</v>
      </c>
      <c r="B269" s="4" t="s">
        <v>1052</v>
      </c>
      <c r="C269" s="4" t="s">
        <v>214</v>
      </c>
      <c r="D269" s="4">
        <v>4.5999999999999996</v>
      </c>
      <c r="E269" s="4">
        <v>39029</v>
      </c>
      <c r="F269" s="4">
        <v>1988</v>
      </c>
      <c r="G269" s="4"/>
      <c r="H269" s="4"/>
    </row>
    <row r="270" spans="1:8" x14ac:dyDescent="0.35">
      <c r="A270" s="4" t="s">
        <v>1713</v>
      </c>
      <c r="B270" s="4" t="s">
        <v>1714</v>
      </c>
      <c r="C270" s="4" t="s">
        <v>571</v>
      </c>
      <c r="D270" s="4">
        <v>5</v>
      </c>
      <c r="E270" s="4">
        <v>38974</v>
      </c>
      <c r="F270" s="4">
        <v>2012</v>
      </c>
      <c r="G270" s="4"/>
      <c r="H270" s="4"/>
    </row>
    <row r="271" spans="1:8" x14ac:dyDescent="0.35">
      <c r="A271" s="4" t="s">
        <v>120</v>
      </c>
      <c r="B271" s="4" t="s">
        <v>121</v>
      </c>
      <c r="C271" s="4" t="s">
        <v>122</v>
      </c>
      <c r="D271" s="4">
        <v>2.1</v>
      </c>
      <c r="E271" s="4">
        <v>38962</v>
      </c>
      <c r="F271" s="4">
        <v>2003</v>
      </c>
      <c r="G271" s="4"/>
      <c r="H271" s="4"/>
    </row>
    <row r="272" spans="1:8" x14ac:dyDescent="0.35">
      <c r="A272" s="4" t="s">
        <v>536</v>
      </c>
      <c r="B272" s="4" t="s">
        <v>537</v>
      </c>
      <c r="C272" s="4" t="s">
        <v>76</v>
      </c>
      <c r="D272" s="4">
        <v>3.9</v>
      </c>
      <c r="E272" s="4">
        <v>38624</v>
      </c>
      <c r="F272" s="4">
        <v>2008</v>
      </c>
      <c r="G272" s="4"/>
      <c r="H272" s="4"/>
    </row>
    <row r="273" spans="1:8" x14ac:dyDescent="0.35">
      <c r="A273" s="4" t="s">
        <v>538</v>
      </c>
      <c r="B273" s="4" t="s">
        <v>539</v>
      </c>
      <c r="C273" s="4" t="s">
        <v>163</v>
      </c>
      <c r="D273" s="4">
        <v>3.9</v>
      </c>
      <c r="E273" s="4">
        <v>38451</v>
      </c>
      <c r="F273" s="4">
        <v>2024</v>
      </c>
      <c r="G273" s="4"/>
      <c r="H273" s="4"/>
    </row>
    <row r="274" spans="1:8" x14ac:dyDescent="0.35">
      <c r="A274" s="4" t="s">
        <v>2176</v>
      </c>
      <c r="B274" s="4" t="s">
        <v>2177</v>
      </c>
      <c r="C274" s="4" t="s">
        <v>291</v>
      </c>
      <c r="D274" s="4">
        <v>5.2</v>
      </c>
      <c r="E274" s="4">
        <v>38239</v>
      </c>
      <c r="F274" s="4">
        <v>2008</v>
      </c>
      <c r="G274" s="4"/>
      <c r="H274" s="4"/>
    </row>
    <row r="275" spans="1:8" x14ac:dyDescent="0.35">
      <c r="A275" s="4" t="s">
        <v>449</v>
      </c>
      <c r="B275" s="4" t="s">
        <v>450</v>
      </c>
      <c r="C275" s="4" t="s">
        <v>291</v>
      </c>
      <c r="D275" s="4">
        <v>3.7</v>
      </c>
      <c r="E275" s="4">
        <v>38236</v>
      </c>
      <c r="F275" s="4">
        <v>1997</v>
      </c>
      <c r="G275" s="4"/>
      <c r="H275" s="4"/>
    </row>
    <row r="276" spans="1:8" x14ac:dyDescent="0.35">
      <c r="A276" s="4" t="s">
        <v>2178</v>
      </c>
      <c r="B276" s="4" t="s">
        <v>2179</v>
      </c>
      <c r="C276" s="4" t="s">
        <v>175</v>
      </c>
      <c r="D276" s="4">
        <v>5.2</v>
      </c>
      <c r="E276" s="4">
        <v>38126</v>
      </c>
      <c r="F276" s="4">
        <v>2008</v>
      </c>
      <c r="G276" s="4"/>
      <c r="H276" s="4"/>
    </row>
    <row r="277" spans="1:8" x14ac:dyDescent="0.35">
      <c r="A277" s="4" t="s">
        <v>1359</v>
      </c>
      <c r="B277" s="4" t="s">
        <v>1360</v>
      </c>
      <c r="C277" s="4" t="s">
        <v>211</v>
      </c>
      <c r="D277" s="4">
        <v>4.8</v>
      </c>
      <c r="E277" s="4">
        <v>38080</v>
      </c>
      <c r="F277" s="4">
        <v>2016</v>
      </c>
      <c r="G277" s="4"/>
      <c r="H277" s="4"/>
    </row>
    <row r="278" spans="1:8" x14ac:dyDescent="0.35">
      <c r="A278" s="4" t="s">
        <v>637</v>
      </c>
      <c r="B278" s="4" t="s">
        <v>638</v>
      </c>
      <c r="C278" s="4" t="s">
        <v>639</v>
      </c>
      <c r="D278" s="4">
        <v>4.0999999999999996</v>
      </c>
      <c r="E278" s="4">
        <v>38080</v>
      </c>
      <c r="F278" s="4">
        <v>1993</v>
      </c>
      <c r="G278" s="4"/>
      <c r="H278" s="4"/>
    </row>
    <row r="279" spans="1:8" x14ac:dyDescent="0.35">
      <c r="A279" s="4" t="s">
        <v>1200</v>
      </c>
      <c r="B279" s="4" t="s">
        <v>1201</v>
      </c>
      <c r="C279" s="4" t="s">
        <v>178</v>
      </c>
      <c r="D279" s="4">
        <v>4.7</v>
      </c>
      <c r="E279" s="4">
        <v>37988</v>
      </c>
      <c r="F279" s="4">
        <v>2017</v>
      </c>
      <c r="G279" s="4"/>
      <c r="H279" s="4"/>
    </row>
    <row r="280" spans="1:8" x14ac:dyDescent="0.35">
      <c r="A280" s="4" t="s">
        <v>698</v>
      </c>
      <c r="B280" s="4" t="s">
        <v>699</v>
      </c>
      <c r="C280" s="4" t="s">
        <v>76</v>
      </c>
      <c r="D280" s="4">
        <v>4.2</v>
      </c>
      <c r="E280" s="4">
        <v>37863</v>
      </c>
      <c r="F280" s="4">
        <v>2012</v>
      </c>
      <c r="G280" s="4"/>
      <c r="H280" s="4"/>
    </row>
    <row r="281" spans="1:8" x14ac:dyDescent="0.35">
      <c r="A281" s="4" t="s">
        <v>74</v>
      </c>
      <c r="B281" s="4" t="s">
        <v>75</v>
      </c>
      <c r="C281" s="4" t="s">
        <v>76</v>
      </c>
      <c r="D281" s="4">
        <v>1.7</v>
      </c>
      <c r="E281" s="4">
        <v>37830</v>
      </c>
      <c r="F281" s="4">
        <v>1966</v>
      </c>
      <c r="G281" s="4"/>
      <c r="H281" s="4"/>
    </row>
    <row r="282" spans="1:8" x14ac:dyDescent="0.35">
      <c r="A282" s="4" t="s">
        <v>325</v>
      </c>
      <c r="B282" s="4" t="s">
        <v>326</v>
      </c>
      <c r="C282" s="4" t="s">
        <v>82</v>
      </c>
      <c r="D282" s="4">
        <v>3.3</v>
      </c>
      <c r="E282" s="4">
        <v>37715</v>
      </c>
      <c r="F282" s="4">
        <v>2018</v>
      </c>
      <c r="G282" s="4"/>
      <c r="H282" s="4"/>
    </row>
    <row r="283" spans="1:8" x14ac:dyDescent="0.35">
      <c r="A283" s="4" t="s">
        <v>949</v>
      </c>
      <c r="B283" s="4" t="s">
        <v>950</v>
      </c>
      <c r="C283" s="4" t="s">
        <v>951</v>
      </c>
      <c r="D283" s="4">
        <v>4.5</v>
      </c>
      <c r="E283" s="4">
        <v>37695</v>
      </c>
      <c r="F283" s="4">
        <v>2006</v>
      </c>
      <c r="G283" s="4"/>
      <c r="H283" s="4"/>
    </row>
    <row r="284" spans="1:8" x14ac:dyDescent="0.35">
      <c r="A284" s="4" t="s">
        <v>265</v>
      </c>
      <c r="B284" s="4" t="s">
        <v>266</v>
      </c>
      <c r="C284" s="4" t="s">
        <v>267</v>
      </c>
      <c r="D284" s="4">
        <v>3</v>
      </c>
      <c r="E284" s="4">
        <v>37559</v>
      </c>
      <c r="F284" s="4">
        <v>2005</v>
      </c>
      <c r="G284" s="4"/>
      <c r="H284" s="4"/>
    </row>
    <row r="285" spans="1:8" x14ac:dyDescent="0.35">
      <c r="A285" s="4" t="s">
        <v>1909</v>
      </c>
      <c r="B285" s="4" t="s">
        <v>1910</v>
      </c>
      <c r="C285" s="4" t="s">
        <v>178</v>
      </c>
      <c r="D285" s="4">
        <v>5.0999999999999996</v>
      </c>
      <c r="E285" s="4">
        <v>37534</v>
      </c>
      <c r="F285" s="4">
        <v>2003</v>
      </c>
      <c r="G285" s="4"/>
      <c r="H285" s="4"/>
    </row>
    <row r="286" spans="1:8" x14ac:dyDescent="0.35">
      <c r="A286" s="4" t="s">
        <v>2180</v>
      </c>
      <c r="B286" s="4" t="s">
        <v>2181</v>
      </c>
      <c r="C286" s="4" t="s">
        <v>56</v>
      </c>
      <c r="D286" s="4">
        <v>5.2</v>
      </c>
      <c r="E286" s="4">
        <v>37384</v>
      </c>
      <c r="F286" s="4">
        <v>2000</v>
      </c>
      <c r="G286" s="4"/>
      <c r="H286" s="4"/>
    </row>
    <row r="287" spans="1:8" x14ac:dyDescent="0.35">
      <c r="A287" s="4" t="s">
        <v>2182</v>
      </c>
      <c r="B287" s="4" t="s">
        <v>2183</v>
      </c>
      <c r="C287" s="4" t="s">
        <v>146</v>
      </c>
      <c r="D287" s="4">
        <v>5.2</v>
      </c>
      <c r="E287" s="4">
        <v>37368</v>
      </c>
      <c r="F287" s="4">
        <v>2022</v>
      </c>
      <c r="G287" s="4"/>
      <c r="H287" s="4"/>
    </row>
    <row r="288" spans="1:8" x14ac:dyDescent="0.35">
      <c r="A288" s="4" t="s">
        <v>2184</v>
      </c>
      <c r="B288" s="4" t="s">
        <v>2185</v>
      </c>
      <c r="C288" s="4" t="s">
        <v>50</v>
      </c>
      <c r="D288" s="4">
        <v>5.2</v>
      </c>
      <c r="E288" s="4">
        <v>37266</v>
      </c>
      <c r="F288" s="4">
        <v>2007</v>
      </c>
      <c r="G288" s="4"/>
      <c r="H288" s="4"/>
    </row>
    <row r="289" spans="1:8" x14ac:dyDescent="0.35">
      <c r="A289" s="4" t="s">
        <v>1571</v>
      </c>
      <c r="B289" s="4" t="s">
        <v>1572</v>
      </c>
      <c r="C289" s="4" t="s">
        <v>267</v>
      </c>
      <c r="D289" s="4">
        <v>4.9000000000000004</v>
      </c>
      <c r="E289" s="4">
        <v>37216</v>
      </c>
      <c r="F289" s="4">
        <v>2000</v>
      </c>
      <c r="G289" s="4"/>
      <c r="H289" s="4"/>
    </row>
    <row r="290" spans="1:8" x14ac:dyDescent="0.35">
      <c r="A290" s="4" t="s">
        <v>1361</v>
      </c>
      <c r="B290" s="4" t="s">
        <v>1362</v>
      </c>
      <c r="C290" s="4" t="s">
        <v>62</v>
      </c>
      <c r="D290" s="4">
        <v>4.8</v>
      </c>
      <c r="E290" s="4">
        <v>37206</v>
      </c>
      <c r="F290" s="4">
        <v>1997</v>
      </c>
      <c r="G290" s="4"/>
      <c r="H290" s="4"/>
    </row>
    <row r="291" spans="1:8" x14ac:dyDescent="0.35">
      <c r="A291" s="4" t="s">
        <v>1363</v>
      </c>
      <c r="B291" s="4" t="s">
        <v>1364</v>
      </c>
      <c r="C291" s="4" t="s">
        <v>178</v>
      </c>
      <c r="D291" s="4">
        <v>4.8</v>
      </c>
      <c r="E291" s="4">
        <v>37029</v>
      </c>
      <c r="F291" s="4">
        <v>1993</v>
      </c>
      <c r="G291" s="4"/>
      <c r="H291" s="4"/>
    </row>
    <row r="292" spans="1:8" x14ac:dyDescent="0.35">
      <c r="A292" s="4" t="s">
        <v>1715</v>
      </c>
      <c r="B292" s="4" t="s">
        <v>1716</v>
      </c>
      <c r="C292" s="4" t="s">
        <v>146</v>
      </c>
      <c r="D292" s="4">
        <v>5</v>
      </c>
      <c r="E292" s="4">
        <v>36822</v>
      </c>
      <c r="F292" s="4">
        <v>2022</v>
      </c>
      <c r="G292" s="4"/>
      <c r="H292" s="4"/>
    </row>
    <row r="293" spans="1:8" x14ac:dyDescent="0.35">
      <c r="A293" s="4" t="s">
        <v>1365</v>
      </c>
      <c r="B293" s="4" t="s">
        <v>1366</v>
      </c>
      <c r="C293" s="4" t="s">
        <v>560</v>
      </c>
      <c r="D293" s="4">
        <v>4.8</v>
      </c>
      <c r="E293" s="4">
        <v>36718</v>
      </c>
      <c r="F293" s="4">
        <v>2019</v>
      </c>
      <c r="G293" s="4"/>
      <c r="H293" s="4"/>
    </row>
    <row r="294" spans="1:8" x14ac:dyDescent="0.35">
      <c r="A294" s="4" t="s">
        <v>368</v>
      </c>
      <c r="B294" s="4" t="s">
        <v>369</v>
      </c>
      <c r="C294" s="4" t="s">
        <v>214</v>
      </c>
      <c r="D294" s="4">
        <v>3.5</v>
      </c>
      <c r="E294" s="4">
        <v>36715</v>
      </c>
      <c r="F294" s="4">
        <v>1994</v>
      </c>
      <c r="G294" s="4"/>
      <c r="H294" s="4"/>
    </row>
    <row r="295" spans="1:8" x14ac:dyDescent="0.35">
      <c r="A295" s="4" t="s">
        <v>451</v>
      </c>
      <c r="B295" s="4" t="s">
        <v>452</v>
      </c>
      <c r="C295" s="4" t="s">
        <v>166</v>
      </c>
      <c r="D295" s="4">
        <v>3.7</v>
      </c>
      <c r="E295" s="4">
        <v>36690</v>
      </c>
      <c r="F295" s="4">
        <v>2000</v>
      </c>
      <c r="G295" s="4"/>
      <c r="H295" s="4"/>
    </row>
    <row r="296" spans="1:8" x14ac:dyDescent="0.35">
      <c r="A296" s="4" t="s">
        <v>1053</v>
      </c>
      <c r="B296" s="4" t="s">
        <v>1054</v>
      </c>
      <c r="C296" s="4" t="s">
        <v>76</v>
      </c>
      <c r="D296" s="4">
        <v>4.5999999999999996</v>
      </c>
      <c r="E296" s="4">
        <v>36499</v>
      </c>
      <c r="F296" s="4">
        <v>2011</v>
      </c>
      <c r="G296" s="4"/>
      <c r="H296" s="4"/>
    </row>
    <row r="297" spans="1:8" x14ac:dyDescent="0.35">
      <c r="A297" s="4" t="s">
        <v>1367</v>
      </c>
      <c r="B297" s="4" t="s">
        <v>1368</v>
      </c>
      <c r="C297" s="4" t="s">
        <v>125</v>
      </c>
      <c r="D297" s="4">
        <v>4.8</v>
      </c>
      <c r="E297" s="4">
        <v>36320</v>
      </c>
      <c r="F297" s="4">
        <v>2006</v>
      </c>
      <c r="G297" s="4"/>
      <c r="H297" s="4"/>
    </row>
    <row r="298" spans="1:8" x14ac:dyDescent="0.35">
      <c r="A298" s="4" t="s">
        <v>1911</v>
      </c>
      <c r="B298" s="4" t="s">
        <v>1912</v>
      </c>
      <c r="C298" s="4" t="s">
        <v>178</v>
      </c>
      <c r="D298" s="4">
        <v>5.0999999999999996</v>
      </c>
      <c r="E298" s="4">
        <v>36282</v>
      </c>
      <c r="F298" s="4">
        <v>1996</v>
      </c>
      <c r="G298" s="4"/>
      <c r="H298" s="4"/>
    </row>
    <row r="299" spans="1:8" x14ac:dyDescent="0.35">
      <c r="A299" s="4" t="s">
        <v>2186</v>
      </c>
      <c r="B299" s="4" t="s">
        <v>2187</v>
      </c>
      <c r="C299" s="4" t="s">
        <v>1778</v>
      </c>
      <c r="D299" s="4">
        <v>5.2</v>
      </c>
      <c r="E299" s="4">
        <v>36196</v>
      </c>
      <c r="F299" s="4">
        <v>2016</v>
      </c>
      <c r="G299" s="4"/>
      <c r="H299" s="4"/>
    </row>
    <row r="300" spans="1:8" x14ac:dyDescent="0.35">
      <c r="A300" s="4" t="s">
        <v>1055</v>
      </c>
      <c r="B300" s="4" t="s">
        <v>1056</v>
      </c>
      <c r="C300" s="4" t="s">
        <v>474</v>
      </c>
      <c r="D300" s="4">
        <v>4.5999999999999996</v>
      </c>
      <c r="E300" s="4">
        <v>36082</v>
      </c>
      <c r="F300" s="4">
        <v>1996</v>
      </c>
      <c r="G300" s="4"/>
      <c r="H300" s="4"/>
    </row>
    <row r="301" spans="1:8" x14ac:dyDescent="0.35">
      <c r="A301" s="4" t="s">
        <v>540</v>
      </c>
      <c r="B301" s="4" t="s">
        <v>541</v>
      </c>
      <c r="C301" s="4" t="s">
        <v>462</v>
      </c>
      <c r="D301" s="4">
        <v>3.9</v>
      </c>
      <c r="E301" s="4">
        <v>36065</v>
      </c>
      <c r="F301" s="4">
        <v>2018</v>
      </c>
      <c r="G301" s="4"/>
      <c r="H301" s="4"/>
    </row>
    <row r="302" spans="1:8" x14ac:dyDescent="0.35">
      <c r="A302" s="4" t="s">
        <v>2188</v>
      </c>
      <c r="B302" s="4" t="s">
        <v>2189</v>
      </c>
      <c r="C302" s="4" t="s">
        <v>462</v>
      </c>
      <c r="D302" s="4">
        <v>5.2</v>
      </c>
      <c r="E302" s="4">
        <v>35728</v>
      </c>
      <c r="F302" s="4">
        <v>2012</v>
      </c>
      <c r="G302" s="4"/>
      <c r="H302" s="4"/>
    </row>
    <row r="303" spans="1:8" x14ac:dyDescent="0.35">
      <c r="A303" s="4" t="s">
        <v>1913</v>
      </c>
      <c r="B303" s="4" t="s">
        <v>1914</v>
      </c>
      <c r="C303" s="4" t="s">
        <v>1098</v>
      </c>
      <c r="D303" s="4">
        <v>5.0999999999999996</v>
      </c>
      <c r="E303" s="4">
        <v>35718</v>
      </c>
      <c r="F303" s="4">
        <v>2005</v>
      </c>
      <c r="G303" s="4"/>
      <c r="H303" s="4"/>
    </row>
    <row r="304" spans="1:8" x14ac:dyDescent="0.35">
      <c r="A304" s="4" t="s">
        <v>268</v>
      </c>
      <c r="B304" s="4" t="s">
        <v>269</v>
      </c>
      <c r="C304" s="4" t="s">
        <v>270</v>
      </c>
      <c r="D304" s="4">
        <v>3</v>
      </c>
      <c r="E304" s="4">
        <v>35335</v>
      </c>
      <c r="F304" s="4">
        <v>1990</v>
      </c>
      <c r="G304" s="4"/>
      <c r="H304" s="4"/>
    </row>
    <row r="305" spans="1:8" x14ac:dyDescent="0.35">
      <c r="A305" s="4" t="s">
        <v>1573</v>
      </c>
      <c r="B305" s="4" t="s">
        <v>1574</v>
      </c>
      <c r="C305" s="4" t="s">
        <v>146</v>
      </c>
      <c r="D305" s="4">
        <v>4.9000000000000004</v>
      </c>
      <c r="E305" s="4">
        <v>35175</v>
      </c>
      <c r="F305" s="4">
        <v>1998</v>
      </c>
      <c r="G305" s="4"/>
      <c r="H305" s="4"/>
    </row>
    <row r="306" spans="1:8" x14ac:dyDescent="0.35">
      <c r="A306" s="4" t="s">
        <v>1369</v>
      </c>
      <c r="B306" s="4" t="s">
        <v>1370</v>
      </c>
      <c r="C306" s="4" t="s">
        <v>217</v>
      </c>
      <c r="D306" s="4">
        <v>4.8</v>
      </c>
      <c r="E306" s="4">
        <v>35096</v>
      </c>
      <c r="F306" s="4">
        <v>2005</v>
      </c>
      <c r="G306" s="4"/>
      <c r="H306" s="4"/>
    </row>
    <row r="307" spans="1:8" x14ac:dyDescent="0.35">
      <c r="A307" s="4" t="s">
        <v>1717</v>
      </c>
      <c r="B307" s="4" t="s">
        <v>1718</v>
      </c>
      <c r="C307" s="4" t="s">
        <v>143</v>
      </c>
      <c r="D307" s="4">
        <v>5</v>
      </c>
      <c r="E307" s="4">
        <v>35093</v>
      </c>
      <c r="F307" s="4">
        <v>1989</v>
      </c>
      <c r="G307" s="4"/>
      <c r="H307" s="4"/>
    </row>
    <row r="308" spans="1:8" x14ac:dyDescent="0.35">
      <c r="A308" s="4" t="s">
        <v>247</v>
      </c>
      <c r="B308" s="4" t="s">
        <v>248</v>
      </c>
      <c r="C308" s="4" t="s">
        <v>249</v>
      </c>
      <c r="D308" s="4">
        <v>2.9</v>
      </c>
      <c r="E308" s="4">
        <v>34925</v>
      </c>
      <c r="F308" s="4">
        <v>2011</v>
      </c>
      <c r="G308" s="4"/>
      <c r="H308" s="4"/>
    </row>
    <row r="309" spans="1:8" x14ac:dyDescent="0.35">
      <c r="A309" s="4" t="s">
        <v>1719</v>
      </c>
      <c r="B309" s="4" t="s">
        <v>1720</v>
      </c>
      <c r="C309" s="4" t="s">
        <v>682</v>
      </c>
      <c r="D309" s="4">
        <v>5</v>
      </c>
      <c r="E309" s="4">
        <v>34756</v>
      </c>
      <c r="F309" s="4">
        <v>2009</v>
      </c>
      <c r="G309" s="4"/>
      <c r="H309" s="4"/>
    </row>
    <row r="310" spans="1:8" x14ac:dyDescent="0.35">
      <c r="A310" s="4" t="s">
        <v>1202</v>
      </c>
      <c r="B310" s="4" t="s">
        <v>1203</v>
      </c>
      <c r="C310" s="4" t="s">
        <v>1204</v>
      </c>
      <c r="D310" s="4">
        <v>4.7</v>
      </c>
      <c r="E310" s="4">
        <v>34737</v>
      </c>
      <c r="F310" s="4">
        <v>2011</v>
      </c>
      <c r="G310" s="4"/>
      <c r="H310" s="4"/>
    </row>
    <row r="311" spans="1:8" x14ac:dyDescent="0.35">
      <c r="A311" s="4" t="s">
        <v>1915</v>
      </c>
      <c r="B311" s="4" t="s">
        <v>1916</v>
      </c>
      <c r="C311" s="4" t="s">
        <v>31</v>
      </c>
      <c r="D311" s="4">
        <v>5.0999999999999996</v>
      </c>
      <c r="E311" s="4">
        <v>34730</v>
      </c>
      <c r="F311" s="4">
        <v>1993</v>
      </c>
      <c r="G311" s="4"/>
      <c r="H311" s="4"/>
    </row>
    <row r="312" spans="1:8" x14ac:dyDescent="0.35">
      <c r="A312" s="4" t="s">
        <v>1057</v>
      </c>
      <c r="B312" s="4" t="s">
        <v>1058</v>
      </c>
      <c r="C312" s="4" t="s">
        <v>1059</v>
      </c>
      <c r="D312" s="4">
        <v>4.5999999999999996</v>
      </c>
      <c r="E312" s="4">
        <v>34690</v>
      </c>
      <c r="F312" s="4">
        <v>1994</v>
      </c>
      <c r="G312" s="4"/>
      <c r="H312" s="4"/>
    </row>
    <row r="313" spans="1:8" x14ac:dyDescent="0.35">
      <c r="A313" s="4" t="s">
        <v>1205</v>
      </c>
      <c r="B313" s="4" t="s">
        <v>1206</v>
      </c>
      <c r="C313" s="4" t="s">
        <v>122</v>
      </c>
      <c r="D313" s="4">
        <v>4.7</v>
      </c>
      <c r="E313" s="4">
        <v>34619</v>
      </c>
      <c r="F313" s="4">
        <v>2004</v>
      </c>
      <c r="G313" s="4"/>
      <c r="H313" s="4"/>
    </row>
    <row r="314" spans="1:8" x14ac:dyDescent="0.35">
      <c r="A314" s="4" t="s">
        <v>952</v>
      </c>
      <c r="B314" s="4" t="s">
        <v>953</v>
      </c>
      <c r="C314" s="4" t="s">
        <v>568</v>
      </c>
      <c r="D314" s="4">
        <v>4.5</v>
      </c>
      <c r="E314" s="4">
        <v>34529</v>
      </c>
      <c r="F314" s="4">
        <v>2024</v>
      </c>
      <c r="G314" s="4"/>
      <c r="H314" s="4"/>
    </row>
    <row r="315" spans="1:8" x14ac:dyDescent="0.35">
      <c r="A315" s="4" t="s">
        <v>1721</v>
      </c>
      <c r="B315" s="4" t="s">
        <v>1722</v>
      </c>
      <c r="C315" s="4" t="s">
        <v>915</v>
      </c>
      <c r="D315" s="4">
        <v>5</v>
      </c>
      <c r="E315" s="4">
        <v>34517</v>
      </c>
      <c r="F315" s="4">
        <v>2006</v>
      </c>
      <c r="G315" s="4"/>
      <c r="H315" s="4"/>
    </row>
    <row r="316" spans="1:8" x14ac:dyDescent="0.35">
      <c r="A316" s="4" t="s">
        <v>598</v>
      </c>
      <c r="B316" s="4" t="s">
        <v>599</v>
      </c>
      <c r="C316" s="4" t="s">
        <v>448</v>
      </c>
      <c r="D316" s="4">
        <v>4</v>
      </c>
      <c r="E316" s="4">
        <v>34414</v>
      </c>
      <c r="F316" s="4">
        <v>2008</v>
      </c>
      <c r="G316" s="4"/>
      <c r="H316" s="4"/>
    </row>
    <row r="317" spans="1:8" x14ac:dyDescent="0.35">
      <c r="A317" s="4" t="s">
        <v>954</v>
      </c>
      <c r="B317" s="4" t="s">
        <v>955</v>
      </c>
      <c r="C317" s="4" t="s">
        <v>178</v>
      </c>
      <c r="D317" s="4">
        <v>4.5</v>
      </c>
      <c r="E317" s="4">
        <v>34299</v>
      </c>
      <c r="F317" s="4">
        <v>2003</v>
      </c>
      <c r="G317" s="4"/>
      <c r="H317" s="4"/>
    </row>
    <row r="318" spans="1:8" x14ac:dyDescent="0.35">
      <c r="A318" s="4" t="s">
        <v>1917</v>
      </c>
      <c r="B318" s="4" t="s">
        <v>1918</v>
      </c>
      <c r="C318" s="4" t="s">
        <v>549</v>
      </c>
      <c r="D318" s="4">
        <v>5.0999999999999996</v>
      </c>
      <c r="E318" s="4">
        <v>34036</v>
      </c>
      <c r="F318" s="4">
        <v>1992</v>
      </c>
      <c r="G318" s="4"/>
      <c r="H318" s="4"/>
    </row>
    <row r="319" spans="1:8" x14ac:dyDescent="0.35">
      <c r="A319" s="4" t="s">
        <v>1723</v>
      </c>
      <c r="B319" s="4" t="s">
        <v>1724</v>
      </c>
      <c r="C319" s="4" t="s">
        <v>915</v>
      </c>
      <c r="D319" s="4">
        <v>5</v>
      </c>
      <c r="E319" s="4">
        <v>33993</v>
      </c>
      <c r="F319" s="4">
        <v>2003</v>
      </c>
      <c r="G319" s="4"/>
      <c r="H319" s="4"/>
    </row>
    <row r="320" spans="1:8" x14ac:dyDescent="0.35">
      <c r="A320" s="4" t="s">
        <v>1371</v>
      </c>
      <c r="B320" s="4" t="s">
        <v>1372</v>
      </c>
      <c r="C320" s="4" t="s">
        <v>933</v>
      </c>
      <c r="D320" s="4">
        <v>4.8</v>
      </c>
      <c r="E320" s="4">
        <v>33903</v>
      </c>
      <c r="F320" s="4">
        <v>2018</v>
      </c>
      <c r="G320" s="4"/>
      <c r="H320" s="4"/>
    </row>
    <row r="321" spans="1:8" x14ac:dyDescent="0.35">
      <c r="A321" s="4" t="s">
        <v>851</v>
      </c>
      <c r="B321" s="4" t="s">
        <v>852</v>
      </c>
      <c r="C321" s="4" t="s">
        <v>214</v>
      </c>
      <c r="D321" s="4">
        <v>4.4000000000000004</v>
      </c>
      <c r="E321" s="4">
        <v>33689</v>
      </c>
      <c r="F321" s="4">
        <v>1989</v>
      </c>
      <c r="G321" s="4"/>
      <c r="H321" s="4"/>
    </row>
    <row r="322" spans="1:8" x14ac:dyDescent="0.35">
      <c r="A322" s="4" t="s">
        <v>370</v>
      </c>
      <c r="B322" s="4" t="s">
        <v>371</v>
      </c>
      <c r="C322" s="4" t="s">
        <v>26</v>
      </c>
      <c r="D322" s="4">
        <v>3.5</v>
      </c>
      <c r="E322" s="4">
        <v>33641</v>
      </c>
      <c r="F322" s="4">
        <v>2017</v>
      </c>
      <c r="G322" s="4"/>
      <c r="H322" s="4"/>
    </row>
    <row r="323" spans="1:8" x14ac:dyDescent="0.35">
      <c r="A323" s="4" t="s">
        <v>1919</v>
      </c>
      <c r="B323" s="4" t="s">
        <v>1920</v>
      </c>
      <c r="C323" s="4" t="s">
        <v>44</v>
      </c>
      <c r="D323" s="4">
        <v>5.0999999999999996</v>
      </c>
      <c r="E323" s="4">
        <v>33518</v>
      </c>
      <c r="F323" s="4">
        <v>2012</v>
      </c>
      <c r="G323" s="4"/>
      <c r="H323" s="4"/>
    </row>
    <row r="324" spans="1:8" x14ac:dyDescent="0.35">
      <c r="A324" s="4" t="s">
        <v>1921</v>
      </c>
      <c r="B324" s="4" t="s">
        <v>1922</v>
      </c>
      <c r="C324" s="4" t="s">
        <v>44</v>
      </c>
      <c r="D324" s="4">
        <v>5.0999999999999996</v>
      </c>
      <c r="E324" s="4">
        <v>33502</v>
      </c>
      <c r="F324" s="4">
        <v>2006</v>
      </c>
      <c r="G324" s="4"/>
      <c r="H324" s="4"/>
    </row>
    <row r="325" spans="1:8" x14ac:dyDescent="0.35">
      <c r="A325" s="4" t="s">
        <v>2190</v>
      </c>
      <c r="B325" s="4" t="s">
        <v>2191</v>
      </c>
      <c r="C325" s="4" t="s">
        <v>217</v>
      </c>
      <c r="D325" s="4">
        <v>5.2</v>
      </c>
      <c r="E325" s="4">
        <v>33131</v>
      </c>
      <c r="F325" s="4">
        <v>2008</v>
      </c>
      <c r="G325" s="4"/>
      <c r="H325" s="4"/>
    </row>
    <row r="326" spans="1:8" x14ac:dyDescent="0.35">
      <c r="A326" s="4" t="s">
        <v>1725</v>
      </c>
      <c r="B326" s="4" t="s">
        <v>1726</v>
      </c>
      <c r="C326" s="4" t="s">
        <v>11</v>
      </c>
      <c r="D326" s="4">
        <v>5</v>
      </c>
      <c r="E326" s="4">
        <v>33071</v>
      </c>
      <c r="F326" s="4">
        <v>1967</v>
      </c>
      <c r="G326" s="4"/>
      <c r="H326" s="4"/>
    </row>
    <row r="327" spans="1:8" x14ac:dyDescent="0.35">
      <c r="A327" s="4" t="s">
        <v>2192</v>
      </c>
      <c r="B327" s="4" t="s">
        <v>2193</v>
      </c>
      <c r="C327" s="4" t="s">
        <v>82</v>
      </c>
      <c r="D327" s="4">
        <v>5.2</v>
      </c>
      <c r="E327" s="4">
        <v>33002</v>
      </c>
      <c r="F327" s="4">
        <v>2012</v>
      </c>
      <c r="G327" s="4"/>
      <c r="H327" s="4"/>
    </row>
    <row r="328" spans="1:8" x14ac:dyDescent="0.35">
      <c r="A328" s="4" t="s">
        <v>700</v>
      </c>
      <c r="B328" s="4" t="s">
        <v>701</v>
      </c>
      <c r="C328" s="4" t="s">
        <v>565</v>
      </c>
      <c r="D328" s="4">
        <v>4.2</v>
      </c>
      <c r="E328" s="4">
        <v>32959</v>
      </c>
      <c r="F328" s="4">
        <v>2005</v>
      </c>
      <c r="G328" s="4"/>
      <c r="H328" s="4"/>
    </row>
    <row r="329" spans="1:8" x14ac:dyDescent="0.35">
      <c r="A329" s="4" t="s">
        <v>407</v>
      </c>
      <c r="B329" s="4" t="s">
        <v>408</v>
      </c>
      <c r="C329" s="4" t="s">
        <v>14</v>
      </c>
      <c r="D329" s="4">
        <v>3.6</v>
      </c>
      <c r="E329" s="4">
        <v>32880</v>
      </c>
      <c r="F329" s="4">
        <v>2020</v>
      </c>
      <c r="G329" s="4"/>
      <c r="H329" s="4"/>
    </row>
    <row r="330" spans="1:8" x14ac:dyDescent="0.35">
      <c r="A330" s="4" t="s">
        <v>1923</v>
      </c>
      <c r="B330" s="4" t="s">
        <v>1924</v>
      </c>
      <c r="C330" s="4" t="s">
        <v>448</v>
      </c>
      <c r="D330" s="4">
        <v>5.0999999999999996</v>
      </c>
      <c r="E330" s="4">
        <v>32865</v>
      </c>
      <c r="F330" s="4">
        <v>2009</v>
      </c>
      <c r="G330" s="4"/>
      <c r="H330" s="4"/>
    </row>
    <row r="331" spans="1:8" x14ac:dyDescent="0.35">
      <c r="A331" s="4" t="s">
        <v>1207</v>
      </c>
      <c r="B331" s="4" t="s">
        <v>1208</v>
      </c>
      <c r="C331" s="4" t="s">
        <v>125</v>
      </c>
      <c r="D331" s="4">
        <v>4.7</v>
      </c>
      <c r="E331" s="4">
        <v>32768</v>
      </c>
      <c r="F331" s="4">
        <v>2019</v>
      </c>
      <c r="G331" s="4"/>
      <c r="H331" s="4"/>
    </row>
    <row r="332" spans="1:8" x14ac:dyDescent="0.35">
      <c r="A332" s="4" t="s">
        <v>1575</v>
      </c>
      <c r="B332" s="4" t="s">
        <v>1576</v>
      </c>
      <c r="C332" s="4" t="s">
        <v>11</v>
      </c>
      <c r="D332" s="4">
        <v>4.9000000000000004</v>
      </c>
      <c r="E332" s="4">
        <v>32630</v>
      </c>
      <c r="F332" s="4">
        <v>2002</v>
      </c>
      <c r="G332" s="4"/>
      <c r="H332" s="4"/>
    </row>
    <row r="333" spans="1:8" x14ac:dyDescent="0.35">
      <c r="A333" s="4" t="s">
        <v>1373</v>
      </c>
      <c r="B333" s="4" t="s">
        <v>1374</v>
      </c>
      <c r="C333" s="4" t="s">
        <v>11</v>
      </c>
      <c r="D333" s="4">
        <v>4.8</v>
      </c>
      <c r="E333" s="4">
        <v>32589</v>
      </c>
      <c r="F333" s="4">
        <v>2004</v>
      </c>
      <c r="G333" s="4"/>
      <c r="H333" s="4"/>
    </row>
    <row r="334" spans="1:8" x14ac:dyDescent="0.35">
      <c r="A334" s="4" t="s">
        <v>2194</v>
      </c>
      <c r="B334" s="4" t="s">
        <v>2195</v>
      </c>
      <c r="C334" s="4" t="s">
        <v>395</v>
      </c>
      <c r="D334" s="4">
        <v>5.2</v>
      </c>
      <c r="E334" s="4">
        <v>32479</v>
      </c>
      <c r="F334" s="4">
        <v>2024</v>
      </c>
      <c r="G334" s="4"/>
      <c r="H334" s="4"/>
    </row>
    <row r="335" spans="1:8" x14ac:dyDescent="0.35">
      <c r="A335" s="4" t="s">
        <v>1727</v>
      </c>
      <c r="B335" s="4" t="s">
        <v>1728</v>
      </c>
      <c r="C335" s="4" t="s">
        <v>1160</v>
      </c>
      <c r="D335" s="4">
        <v>5</v>
      </c>
      <c r="E335" s="4">
        <v>32368</v>
      </c>
      <c r="F335" s="4">
        <v>2011</v>
      </c>
      <c r="G335" s="4"/>
      <c r="H335" s="4"/>
    </row>
    <row r="336" spans="1:8" x14ac:dyDescent="0.35">
      <c r="A336" s="4" t="s">
        <v>956</v>
      </c>
      <c r="B336" s="4" t="s">
        <v>957</v>
      </c>
      <c r="C336" s="4" t="s">
        <v>155</v>
      </c>
      <c r="D336" s="4">
        <v>4.5</v>
      </c>
      <c r="E336" s="4">
        <v>32271</v>
      </c>
      <c r="F336" s="4">
        <v>1998</v>
      </c>
      <c r="G336" s="4"/>
      <c r="H336" s="4"/>
    </row>
    <row r="337" spans="1:8" x14ac:dyDescent="0.35">
      <c r="A337" s="4" t="s">
        <v>1729</v>
      </c>
      <c r="B337" s="4" t="s">
        <v>1730</v>
      </c>
      <c r="C337" s="4" t="s">
        <v>1731</v>
      </c>
      <c r="D337" s="4">
        <v>5</v>
      </c>
      <c r="E337" s="4">
        <v>32153</v>
      </c>
      <c r="F337" s="4">
        <v>2020</v>
      </c>
      <c r="G337" s="4"/>
      <c r="H337" s="4"/>
    </row>
    <row r="338" spans="1:8" x14ac:dyDescent="0.35">
      <c r="A338" s="4" t="s">
        <v>1209</v>
      </c>
      <c r="B338" s="4" t="s">
        <v>1210</v>
      </c>
      <c r="C338" s="4" t="s">
        <v>291</v>
      </c>
      <c r="D338" s="4">
        <v>4.7</v>
      </c>
      <c r="E338" s="4">
        <v>31927</v>
      </c>
      <c r="F338" s="4">
        <v>2004</v>
      </c>
      <c r="G338" s="4"/>
      <c r="H338" s="4"/>
    </row>
    <row r="339" spans="1:8" x14ac:dyDescent="0.35">
      <c r="A339" s="4" t="s">
        <v>57</v>
      </c>
      <c r="B339" s="4" t="s">
        <v>58</v>
      </c>
      <c r="C339" s="4" t="s">
        <v>59</v>
      </c>
      <c r="D339" s="4">
        <v>1.5</v>
      </c>
      <c r="E339" s="4">
        <v>31809</v>
      </c>
      <c r="F339" s="4">
        <v>2004</v>
      </c>
      <c r="G339" s="4"/>
      <c r="H339" s="4"/>
    </row>
    <row r="340" spans="1:8" x14ac:dyDescent="0.35">
      <c r="A340" s="4" t="s">
        <v>250</v>
      </c>
      <c r="B340" s="4" t="s">
        <v>251</v>
      </c>
      <c r="C340" s="4" t="s">
        <v>76</v>
      </c>
      <c r="D340" s="4">
        <v>2.9</v>
      </c>
      <c r="E340" s="4">
        <v>31766</v>
      </c>
      <c r="F340" s="4">
        <v>2023</v>
      </c>
      <c r="G340" s="4"/>
      <c r="H340" s="4"/>
    </row>
    <row r="341" spans="1:8" x14ac:dyDescent="0.35">
      <c r="A341" s="4" t="s">
        <v>252</v>
      </c>
      <c r="B341" s="4" t="s">
        <v>253</v>
      </c>
      <c r="C341" s="4" t="s">
        <v>254</v>
      </c>
      <c r="D341" s="4">
        <v>2.9</v>
      </c>
      <c r="E341" s="4">
        <v>31725</v>
      </c>
      <c r="F341" s="4">
        <v>2007</v>
      </c>
      <c r="G341" s="4"/>
      <c r="H341" s="4"/>
    </row>
    <row r="342" spans="1:8" x14ac:dyDescent="0.35">
      <c r="A342" s="4" t="s">
        <v>372</v>
      </c>
      <c r="B342" s="4" t="s">
        <v>373</v>
      </c>
      <c r="C342" s="4" t="s">
        <v>172</v>
      </c>
      <c r="D342" s="4">
        <v>3.5</v>
      </c>
      <c r="E342" s="4">
        <v>31722</v>
      </c>
      <c r="F342" s="4">
        <v>1996</v>
      </c>
      <c r="G342" s="4"/>
      <c r="H342" s="4"/>
    </row>
    <row r="343" spans="1:8" x14ac:dyDescent="0.35">
      <c r="A343" s="4" t="s">
        <v>1732</v>
      </c>
      <c r="B343" s="4" t="s">
        <v>1733</v>
      </c>
      <c r="C343" s="4" t="s">
        <v>1734</v>
      </c>
      <c r="D343" s="4">
        <v>5</v>
      </c>
      <c r="E343" s="4">
        <v>31684</v>
      </c>
      <c r="F343" s="4">
        <v>2019</v>
      </c>
      <c r="G343" s="4"/>
      <c r="H343" s="4"/>
    </row>
    <row r="344" spans="1:8" x14ac:dyDescent="0.35">
      <c r="A344" s="4" t="s">
        <v>958</v>
      </c>
      <c r="B344" s="4" t="s">
        <v>959</v>
      </c>
      <c r="C344" s="4" t="s">
        <v>125</v>
      </c>
      <c r="D344" s="4">
        <v>4.5</v>
      </c>
      <c r="E344" s="4">
        <v>31620</v>
      </c>
      <c r="F344" s="4">
        <v>2023</v>
      </c>
      <c r="G344" s="4"/>
      <c r="H344" s="4"/>
    </row>
    <row r="345" spans="1:8" x14ac:dyDescent="0.35">
      <c r="A345" s="4" t="s">
        <v>1060</v>
      </c>
      <c r="B345" s="4" t="s">
        <v>1061</v>
      </c>
      <c r="C345" s="4" t="s">
        <v>448</v>
      </c>
      <c r="D345" s="4">
        <v>4.5999999999999996</v>
      </c>
      <c r="E345" s="4">
        <v>31383</v>
      </c>
      <c r="F345" s="4">
        <v>2015</v>
      </c>
      <c r="G345" s="4"/>
      <c r="H345" s="4"/>
    </row>
    <row r="346" spans="1:8" x14ac:dyDescent="0.35">
      <c r="A346" s="4" t="s">
        <v>853</v>
      </c>
      <c r="B346" s="4" t="s">
        <v>854</v>
      </c>
      <c r="C346" s="4" t="s">
        <v>455</v>
      </c>
      <c r="D346" s="4">
        <v>4.4000000000000004</v>
      </c>
      <c r="E346" s="4">
        <v>31357</v>
      </c>
      <c r="F346" s="4">
        <v>1993</v>
      </c>
      <c r="G346" s="4"/>
      <c r="H346" s="4"/>
    </row>
    <row r="347" spans="1:8" x14ac:dyDescent="0.35">
      <c r="A347" s="4" t="s">
        <v>1062</v>
      </c>
      <c r="B347" s="4" t="s">
        <v>1063</v>
      </c>
      <c r="C347" s="4" t="s">
        <v>178</v>
      </c>
      <c r="D347" s="4">
        <v>4.5999999999999996</v>
      </c>
      <c r="E347" s="4">
        <v>31263</v>
      </c>
      <c r="F347" s="4">
        <v>2024</v>
      </c>
      <c r="G347" s="4"/>
      <c r="H347" s="4"/>
    </row>
    <row r="348" spans="1:8" x14ac:dyDescent="0.35">
      <c r="A348" s="4" t="s">
        <v>409</v>
      </c>
      <c r="B348" s="4" t="s">
        <v>410</v>
      </c>
      <c r="C348" s="4" t="s">
        <v>175</v>
      </c>
      <c r="D348" s="4">
        <v>3.6</v>
      </c>
      <c r="E348" s="4">
        <v>31257</v>
      </c>
      <c r="F348" s="4">
        <v>2007</v>
      </c>
      <c r="G348" s="4"/>
      <c r="H348" s="4"/>
    </row>
    <row r="349" spans="1:8" x14ac:dyDescent="0.35">
      <c r="A349" s="4" t="s">
        <v>1211</v>
      </c>
      <c r="B349" s="4" t="s">
        <v>1212</v>
      </c>
      <c r="C349" s="4" t="s">
        <v>474</v>
      </c>
      <c r="D349" s="4">
        <v>4.7</v>
      </c>
      <c r="E349" s="4">
        <v>31247</v>
      </c>
      <c r="F349" s="4">
        <v>2006</v>
      </c>
      <c r="G349" s="4"/>
      <c r="H349" s="4"/>
    </row>
    <row r="350" spans="1:8" x14ac:dyDescent="0.35">
      <c r="A350" s="4" t="s">
        <v>1375</v>
      </c>
      <c r="B350" s="4" t="s">
        <v>1376</v>
      </c>
      <c r="C350" s="4" t="s">
        <v>270</v>
      </c>
      <c r="D350" s="4">
        <v>4.8</v>
      </c>
      <c r="E350" s="4">
        <v>31239</v>
      </c>
      <c r="F350" s="4">
        <v>1993</v>
      </c>
      <c r="G350" s="4"/>
      <c r="H350" s="4"/>
    </row>
    <row r="351" spans="1:8" x14ac:dyDescent="0.35">
      <c r="A351" s="4" t="s">
        <v>855</v>
      </c>
      <c r="B351" s="4" t="s">
        <v>856</v>
      </c>
      <c r="C351" s="4" t="s">
        <v>122</v>
      </c>
      <c r="D351" s="4">
        <v>4.4000000000000004</v>
      </c>
      <c r="E351" s="4">
        <v>31224</v>
      </c>
      <c r="F351" s="4">
        <v>2016</v>
      </c>
      <c r="G351" s="4"/>
      <c r="H351" s="4"/>
    </row>
    <row r="352" spans="1:8" x14ac:dyDescent="0.35">
      <c r="A352" s="4" t="s">
        <v>702</v>
      </c>
      <c r="B352" s="4" t="s">
        <v>703</v>
      </c>
      <c r="C352" s="4" t="s">
        <v>172</v>
      </c>
      <c r="D352" s="4">
        <v>4.2</v>
      </c>
      <c r="E352" s="4">
        <v>31116</v>
      </c>
      <c r="F352" s="4">
        <v>1999</v>
      </c>
      <c r="G352" s="4"/>
      <c r="H352" s="4"/>
    </row>
    <row r="353" spans="1:8" x14ac:dyDescent="0.35">
      <c r="A353" s="4" t="s">
        <v>1213</v>
      </c>
      <c r="B353" s="4" t="s">
        <v>380</v>
      </c>
      <c r="C353" s="4" t="s">
        <v>76</v>
      </c>
      <c r="D353" s="4">
        <v>4.7</v>
      </c>
      <c r="E353" s="4">
        <v>31102</v>
      </c>
      <c r="F353" s="4">
        <v>2006</v>
      </c>
      <c r="G353" s="4"/>
      <c r="H353" s="4"/>
    </row>
    <row r="354" spans="1:8" x14ac:dyDescent="0.35">
      <c r="A354" s="4" t="s">
        <v>1735</v>
      </c>
      <c r="B354" s="4" t="s">
        <v>1736</v>
      </c>
      <c r="C354" s="4" t="s">
        <v>211</v>
      </c>
      <c r="D354" s="4">
        <v>5</v>
      </c>
      <c r="E354" s="4">
        <v>30918</v>
      </c>
      <c r="F354" s="4">
        <v>2024</v>
      </c>
      <c r="G354" s="4"/>
      <c r="H354" s="4"/>
    </row>
    <row r="355" spans="1:8" x14ac:dyDescent="0.35">
      <c r="A355" s="4" t="s">
        <v>1214</v>
      </c>
      <c r="B355" s="4" t="s">
        <v>1215</v>
      </c>
      <c r="C355" s="4" t="s">
        <v>116</v>
      </c>
      <c r="D355" s="4">
        <v>4.7</v>
      </c>
      <c r="E355" s="4">
        <v>30886</v>
      </c>
      <c r="F355" s="4">
        <v>2003</v>
      </c>
      <c r="G355" s="4"/>
      <c r="H355" s="4"/>
    </row>
    <row r="356" spans="1:8" x14ac:dyDescent="0.35">
      <c r="A356" s="4" t="s">
        <v>763</v>
      </c>
      <c r="B356" s="4" t="s">
        <v>764</v>
      </c>
      <c r="C356" s="4" t="s">
        <v>90</v>
      </c>
      <c r="D356" s="4">
        <v>4.3</v>
      </c>
      <c r="E356" s="4">
        <v>30755</v>
      </c>
      <c r="F356" s="4">
        <v>2020</v>
      </c>
      <c r="G356" s="4"/>
      <c r="H356" s="4"/>
    </row>
    <row r="357" spans="1:8" x14ac:dyDescent="0.35">
      <c r="A357" s="4" t="s">
        <v>1577</v>
      </c>
      <c r="B357" s="4" t="s">
        <v>1578</v>
      </c>
      <c r="C357" s="4" t="s">
        <v>175</v>
      </c>
      <c r="D357" s="4">
        <v>4.9000000000000004</v>
      </c>
      <c r="E357" s="4">
        <v>30687</v>
      </c>
      <c r="F357" s="4">
        <v>2001</v>
      </c>
      <c r="G357" s="4"/>
      <c r="H357" s="4"/>
    </row>
    <row r="358" spans="1:8" x14ac:dyDescent="0.35">
      <c r="A358" s="4" t="s">
        <v>1737</v>
      </c>
      <c r="B358" s="4" t="s">
        <v>1738</v>
      </c>
      <c r="C358" s="4" t="s">
        <v>155</v>
      </c>
      <c r="D358" s="4">
        <v>5</v>
      </c>
      <c r="E358" s="4">
        <v>30458</v>
      </c>
      <c r="F358" s="4">
        <v>1999</v>
      </c>
      <c r="G358" s="4"/>
      <c r="H358" s="4"/>
    </row>
    <row r="359" spans="1:8" x14ac:dyDescent="0.35">
      <c r="A359" s="4" t="s">
        <v>857</v>
      </c>
      <c r="B359" s="4" t="s">
        <v>858</v>
      </c>
      <c r="C359" s="4" t="s">
        <v>859</v>
      </c>
      <c r="D359" s="4">
        <v>4.4000000000000004</v>
      </c>
      <c r="E359" s="4">
        <v>30284</v>
      </c>
      <c r="F359" s="4">
        <v>2019</v>
      </c>
      <c r="G359" s="4"/>
      <c r="H359" s="4"/>
    </row>
    <row r="360" spans="1:8" x14ac:dyDescent="0.35">
      <c r="A360" s="4" t="s">
        <v>860</v>
      </c>
      <c r="B360" s="4" t="s">
        <v>861</v>
      </c>
      <c r="C360" s="4" t="s">
        <v>11</v>
      </c>
      <c r="D360" s="4">
        <v>4.4000000000000004</v>
      </c>
      <c r="E360" s="4">
        <v>30265</v>
      </c>
      <c r="F360" s="4">
        <v>1996</v>
      </c>
      <c r="G360" s="4"/>
      <c r="H360" s="4"/>
    </row>
    <row r="361" spans="1:8" x14ac:dyDescent="0.35">
      <c r="A361" s="4" t="s">
        <v>1739</v>
      </c>
      <c r="B361" s="4" t="s">
        <v>1740</v>
      </c>
      <c r="C361" s="4" t="s">
        <v>455</v>
      </c>
      <c r="D361" s="4">
        <v>5</v>
      </c>
      <c r="E361" s="4">
        <v>30157</v>
      </c>
      <c r="F361" s="4">
        <v>1993</v>
      </c>
      <c r="G361" s="4"/>
      <c r="H361" s="4"/>
    </row>
    <row r="362" spans="1:8" x14ac:dyDescent="0.35">
      <c r="A362" s="4" t="s">
        <v>284</v>
      </c>
      <c r="B362" s="4" t="s">
        <v>285</v>
      </c>
      <c r="C362" s="4" t="s">
        <v>286</v>
      </c>
      <c r="D362" s="4">
        <v>3.1</v>
      </c>
      <c r="E362" s="4">
        <v>30005</v>
      </c>
      <c r="F362" s="4">
        <v>2002</v>
      </c>
      <c r="G362" s="4"/>
      <c r="H362" s="4"/>
    </row>
    <row r="363" spans="1:8" x14ac:dyDescent="0.35">
      <c r="A363" s="4" t="s">
        <v>960</v>
      </c>
      <c r="B363" s="4" t="s">
        <v>961</v>
      </c>
      <c r="C363" s="4" t="s">
        <v>146</v>
      </c>
      <c r="D363" s="4">
        <v>4.5</v>
      </c>
      <c r="E363" s="4">
        <v>29987</v>
      </c>
      <c r="F363" s="4">
        <v>2011</v>
      </c>
      <c r="G363" s="4"/>
      <c r="H363" s="4"/>
    </row>
    <row r="364" spans="1:8" x14ac:dyDescent="0.35">
      <c r="A364" s="4" t="s">
        <v>1377</v>
      </c>
      <c r="B364" s="4" t="s">
        <v>1378</v>
      </c>
      <c r="C364" s="4" t="s">
        <v>584</v>
      </c>
      <c r="D364" s="4">
        <v>4.8</v>
      </c>
      <c r="E364" s="4">
        <v>29879</v>
      </c>
      <c r="F364" s="4">
        <v>2014</v>
      </c>
      <c r="G364" s="4"/>
      <c r="H364" s="4"/>
    </row>
    <row r="365" spans="1:8" x14ac:dyDescent="0.35">
      <c r="A365" s="4" t="s">
        <v>1064</v>
      </c>
      <c r="B365" s="4" t="s">
        <v>1065</v>
      </c>
      <c r="C365" s="4" t="s">
        <v>597</v>
      </c>
      <c r="D365" s="4">
        <v>4.5999999999999996</v>
      </c>
      <c r="E365" s="4">
        <v>29806</v>
      </c>
      <c r="F365" s="4">
        <v>2009</v>
      </c>
      <c r="G365" s="4"/>
      <c r="H365" s="4"/>
    </row>
    <row r="366" spans="1:8" x14ac:dyDescent="0.35">
      <c r="A366" s="4" t="s">
        <v>640</v>
      </c>
      <c r="B366" s="4" t="s">
        <v>641</v>
      </c>
      <c r="C366" s="4" t="s">
        <v>146</v>
      </c>
      <c r="D366" s="4">
        <v>4.0999999999999996</v>
      </c>
      <c r="E366" s="4">
        <v>29795</v>
      </c>
      <c r="F366" s="4">
        <v>2004</v>
      </c>
      <c r="G366" s="4"/>
      <c r="H366" s="4"/>
    </row>
    <row r="367" spans="1:8" x14ac:dyDescent="0.35">
      <c r="A367" s="4" t="s">
        <v>862</v>
      </c>
      <c r="B367" s="4" t="s">
        <v>863</v>
      </c>
      <c r="C367" s="4" t="s">
        <v>116</v>
      </c>
      <c r="D367" s="4">
        <v>4.4000000000000004</v>
      </c>
      <c r="E367" s="4">
        <v>29652</v>
      </c>
      <c r="F367" s="4">
        <v>2021</v>
      </c>
      <c r="G367" s="4"/>
      <c r="H367" s="4"/>
    </row>
    <row r="368" spans="1:8" x14ac:dyDescent="0.35">
      <c r="A368" s="4" t="s">
        <v>1579</v>
      </c>
      <c r="B368" s="4" t="s">
        <v>1580</v>
      </c>
      <c r="C368" s="4" t="s">
        <v>11</v>
      </c>
      <c r="D368" s="4">
        <v>4.9000000000000004</v>
      </c>
      <c r="E368" s="4">
        <v>29491</v>
      </c>
      <c r="F368" s="4">
        <v>2008</v>
      </c>
      <c r="G368" s="4"/>
      <c r="H368" s="4"/>
    </row>
    <row r="369" spans="1:8" x14ac:dyDescent="0.35">
      <c r="A369" s="4" t="s">
        <v>1741</v>
      </c>
      <c r="B369" s="4" t="s">
        <v>1742</v>
      </c>
      <c r="C369" s="4" t="s">
        <v>571</v>
      </c>
      <c r="D369" s="4">
        <v>5</v>
      </c>
      <c r="E369" s="4">
        <v>29436</v>
      </c>
      <c r="F369" s="4">
        <v>2006</v>
      </c>
      <c r="G369" s="4"/>
      <c r="H369" s="4"/>
    </row>
    <row r="370" spans="1:8" x14ac:dyDescent="0.35">
      <c r="A370" s="4" t="s">
        <v>1581</v>
      </c>
      <c r="B370" s="4" t="s">
        <v>1582</v>
      </c>
      <c r="C370" s="4" t="s">
        <v>190</v>
      </c>
      <c r="D370" s="4">
        <v>4.9000000000000004</v>
      </c>
      <c r="E370" s="4">
        <v>29411</v>
      </c>
      <c r="F370" s="4">
        <v>2022</v>
      </c>
      <c r="G370" s="4"/>
      <c r="H370" s="4"/>
    </row>
    <row r="371" spans="1:8" x14ac:dyDescent="0.35">
      <c r="A371" s="4" t="s">
        <v>1583</v>
      </c>
      <c r="B371" s="4" t="s">
        <v>1584</v>
      </c>
      <c r="C371" s="4" t="s">
        <v>163</v>
      </c>
      <c r="D371" s="4">
        <v>4.9000000000000004</v>
      </c>
      <c r="E371" s="4">
        <v>29336</v>
      </c>
      <c r="F371" s="4">
        <v>2017</v>
      </c>
      <c r="G371" s="4"/>
      <c r="H371" s="4"/>
    </row>
    <row r="372" spans="1:8" x14ac:dyDescent="0.35">
      <c r="A372" s="4" t="s">
        <v>1743</v>
      </c>
      <c r="B372" s="4" t="s">
        <v>1744</v>
      </c>
      <c r="C372" s="4" t="s">
        <v>474</v>
      </c>
      <c r="D372" s="4">
        <v>5</v>
      </c>
      <c r="E372" s="4">
        <v>29234</v>
      </c>
      <c r="F372" s="4">
        <v>2024</v>
      </c>
      <c r="G372" s="4"/>
      <c r="H372" s="4"/>
    </row>
    <row r="373" spans="1:8" x14ac:dyDescent="0.35">
      <c r="A373" s="4" t="s">
        <v>496</v>
      </c>
      <c r="B373" s="4" t="s">
        <v>497</v>
      </c>
      <c r="C373" s="4" t="s">
        <v>76</v>
      </c>
      <c r="D373" s="4">
        <v>3.8</v>
      </c>
      <c r="E373" s="4">
        <v>29122</v>
      </c>
      <c r="F373" s="4">
        <v>1977</v>
      </c>
      <c r="G373" s="4"/>
      <c r="H373" s="4"/>
    </row>
    <row r="374" spans="1:8" x14ac:dyDescent="0.35">
      <c r="A374" s="4" t="s">
        <v>1216</v>
      </c>
      <c r="B374" s="4" t="s">
        <v>1217</v>
      </c>
      <c r="C374" s="4" t="s">
        <v>11</v>
      </c>
      <c r="D374" s="4">
        <v>4.7</v>
      </c>
      <c r="E374" s="4">
        <v>29113</v>
      </c>
      <c r="F374" s="4">
        <v>2022</v>
      </c>
      <c r="G374" s="4"/>
      <c r="H374" s="4"/>
    </row>
    <row r="375" spans="1:8" x14ac:dyDescent="0.35">
      <c r="A375" s="4" t="s">
        <v>411</v>
      </c>
      <c r="B375" s="4" t="s">
        <v>412</v>
      </c>
      <c r="C375" s="4" t="s">
        <v>178</v>
      </c>
      <c r="D375" s="4">
        <v>3.6</v>
      </c>
      <c r="E375" s="4">
        <v>29008</v>
      </c>
      <c r="F375" s="4">
        <v>2011</v>
      </c>
      <c r="G375" s="4"/>
      <c r="H375" s="4"/>
    </row>
    <row r="376" spans="1:8" x14ac:dyDescent="0.35">
      <c r="A376" s="4" t="s">
        <v>1745</v>
      </c>
      <c r="B376" s="4" t="s">
        <v>1746</v>
      </c>
      <c r="C376" s="4" t="s">
        <v>352</v>
      </c>
      <c r="D376" s="4">
        <v>5</v>
      </c>
      <c r="E376" s="4">
        <v>28881</v>
      </c>
      <c r="F376" s="4">
        <v>2017</v>
      </c>
      <c r="G376" s="4"/>
      <c r="H376" s="4"/>
    </row>
    <row r="377" spans="1:8" x14ac:dyDescent="0.35">
      <c r="A377" s="4" t="s">
        <v>1925</v>
      </c>
      <c r="B377" s="4" t="s">
        <v>1926</v>
      </c>
      <c r="C377" s="4" t="s">
        <v>565</v>
      </c>
      <c r="D377" s="4">
        <v>5.0999999999999996</v>
      </c>
      <c r="E377" s="4">
        <v>28873</v>
      </c>
      <c r="F377" s="4">
        <v>2021</v>
      </c>
      <c r="G377" s="4"/>
      <c r="H377" s="4"/>
    </row>
    <row r="378" spans="1:8" x14ac:dyDescent="0.35">
      <c r="A378" s="4" t="s">
        <v>962</v>
      </c>
      <c r="B378" s="4" t="s">
        <v>963</v>
      </c>
      <c r="C378" s="4" t="s">
        <v>649</v>
      </c>
      <c r="D378" s="4">
        <v>4.5</v>
      </c>
      <c r="E378" s="4">
        <v>28833</v>
      </c>
      <c r="F378" s="4">
        <v>2011</v>
      </c>
      <c r="G378" s="4"/>
      <c r="H378" s="4"/>
    </row>
    <row r="379" spans="1:8" x14ac:dyDescent="0.35">
      <c r="A379" s="4" t="s">
        <v>542</v>
      </c>
      <c r="B379" s="4" t="s">
        <v>543</v>
      </c>
      <c r="C379" s="4" t="s">
        <v>544</v>
      </c>
      <c r="D379" s="4">
        <v>3.9</v>
      </c>
      <c r="E379" s="4">
        <v>28830</v>
      </c>
      <c r="F379" s="4">
        <v>2004</v>
      </c>
      <c r="G379" s="4"/>
      <c r="H379" s="4"/>
    </row>
    <row r="380" spans="1:8" x14ac:dyDescent="0.35">
      <c r="A380" s="4" t="s">
        <v>1379</v>
      </c>
      <c r="B380" s="4" t="s">
        <v>1380</v>
      </c>
      <c r="C380" s="4" t="s">
        <v>56</v>
      </c>
      <c r="D380" s="4">
        <v>4.8</v>
      </c>
      <c r="E380" s="4">
        <v>28817</v>
      </c>
      <c r="F380" s="4">
        <v>2010</v>
      </c>
      <c r="G380" s="4"/>
      <c r="H380" s="4"/>
    </row>
    <row r="381" spans="1:8" x14ac:dyDescent="0.35">
      <c r="A381" s="4" t="s">
        <v>704</v>
      </c>
      <c r="B381" s="4" t="s">
        <v>705</v>
      </c>
      <c r="C381" s="4" t="s">
        <v>706</v>
      </c>
      <c r="D381" s="4">
        <v>4.2</v>
      </c>
      <c r="E381" s="4">
        <v>28726</v>
      </c>
      <c r="F381" s="4">
        <v>2014</v>
      </c>
      <c r="G381" s="4"/>
      <c r="H381" s="4"/>
    </row>
    <row r="382" spans="1:8" x14ac:dyDescent="0.35">
      <c r="A382" s="4" t="s">
        <v>864</v>
      </c>
      <c r="B382" s="4" t="s">
        <v>865</v>
      </c>
      <c r="C382" s="4" t="s">
        <v>90</v>
      </c>
      <c r="D382" s="4">
        <v>4.4000000000000004</v>
      </c>
      <c r="E382" s="4">
        <v>28639</v>
      </c>
      <c r="F382" s="4">
        <v>2023</v>
      </c>
      <c r="G382" s="4"/>
      <c r="H382" s="4"/>
    </row>
    <row r="383" spans="1:8" x14ac:dyDescent="0.35">
      <c r="A383" s="4" t="s">
        <v>1927</v>
      </c>
      <c r="B383" s="4" t="s">
        <v>1928</v>
      </c>
      <c r="C383" s="4" t="s">
        <v>128</v>
      </c>
      <c r="D383" s="4">
        <v>5.0999999999999996</v>
      </c>
      <c r="E383" s="4">
        <v>28618</v>
      </c>
      <c r="F383" s="4">
        <v>2004</v>
      </c>
      <c r="G383" s="4"/>
      <c r="H383" s="4"/>
    </row>
    <row r="384" spans="1:8" x14ac:dyDescent="0.35">
      <c r="A384" s="4" t="s">
        <v>1218</v>
      </c>
      <c r="B384" s="4" t="s">
        <v>1219</v>
      </c>
      <c r="C384" s="4" t="s">
        <v>125</v>
      </c>
      <c r="D384" s="4">
        <v>4.7</v>
      </c>
      <c r="E384" s="4">
        <v>28381</v>
      </c>
      <c r="F384" s="4">
        <v>2011</v>
      </c>
      <c r="G384" s="4"/>
      <c r="H384" s="4"/>
    </row>
    <row r="385" spans="1:8" x14ac:dyDescent="0.35">
      <c r="A385" s="4" t="s">
        <v>1220</v>
      </c>
      <c r="B385" s="4" t="s">
        <v>1221</v>
      </c>
      <c r="C385" s="4" t="s">
        <v>1222</v>
      </c>
      <c r="D385" s="4">
        <v>4.7</v>
      </c>
      <c r="E385" s="4">
        <v>28236</v>
      </c>
      <c r="F385" s="4">
        <v>2021</v>
      </c>
      <c r="G385" s="4"/>
      <c r="H385" s="4"/>
    </row>
    <row r="386" spans="1:8" x14ac:dyDescent="0.35">
      <c r="A386" s="4" t="s">
        <v>1929</v>
      </c>
      <c r="B386" s="4" t="s">
        <v>1930</v>
      </c>
      <c r="C386" s="4" t="s">
        <v>448</v>
      </c>
      <c r="D386" s="4">
        <v>5.0999999999999996</v>
      </c>
      <c r="E386" s="4">
        <v>28225</v>
      </c>
      <c r="F386" s="4">
        <v>2012</v>
      </c>
      <c r="G386" s="4"/>
      <c r="H386" s="4"/>
    </row>
    <row r="387" spans="1:8" x14ac:dyDescent="0.35">
      <c r="A387" s="4" t="s">
        <v>1931</v>
      </c>
      <c r="B387" s="4" t="s">
        <v>1932</v>
      </c>
      <c r="C387" s="4" t="s">
        <v>11</v>
      </c>
      <c r="D387" s="4">
        <v>5.0999999999999996</v>
      </c>
      <c r="E387" s="4">
        <v>28077</v>
      </c>
      <c r="F387" s="4">
        <v>1991</v>
      </c>
      <c r="G387" s="4"/>
      <c r="H387" s="4"/>
    </row>
    <row r="388" spans="1:8" x14ac:dyDescent="0.35">
      <c r="A388" s="4" t="s">
        <v>1223</v>
      </c>
      <c r="B388" s="4" t="s">
        <v>1224</v>
      </c>
      <c r="C388" s="4" t="s">
        <v>93</v>
      </c>
      <c r="D388" s="4">
        <v>4.7</v>
      </c>
      <c r="E388" s="4">
        <v>27979</v>
      </c>
      <c r="F388" s="4">
        <v>2022</v>
      </c>
      <c r="G388" s="4"/>
      <c r="H388" s="4"/>
    </row>
    <row r="389" spans="1:8" x14ac:dyDescent="0.35">
      <c r="A389" s="4" t="s">
        <v>1933</v>
      </c>
      <c r="B389" s="4" t="s">
        <v>1934</v>
      </c>
      <c r="C389" s="4" t="s">
        <v>762</v>
      </c>
      <c r="D389" s="4">
        <v>5.0999999999999996</v>
      </c>
      <c r="E389" s="4">
        <v>27917</v>
      </c>
      <c r="F389" s="4">
        <v>1990</v>
      </c>
      <c r="G389" s="4"/>
      <c r="H389" s="4"/>
    </row>
    <row r="390" spans="1:8" x14ac:dyDescent="0.35">
      <c r="A390" s="4" t="s">
        <v>194</v>
      </c>
      <c r="B390" s="4" t="s">
        <v>195</v>
      </c>
      <c r="C390" s="4" t="s">
        <v>193</v>
      </c>
      <c r="D390" s="4">
        <v>2.6</v>
      </c>
      <c r="E390" s="4">
        <v>27849</v>
      </c>
      <c r="F390" s="4">
        <v>1999</v>
      </c>
      <c r="G390" s="4"/>
      <c r="H390" s="4"/>
    </row>
    <row r="391" spans="1:8" x14ac:dyDescent="0.35">
      <c r="A391" s="4" t="s">
        <v>144</v>
      </c>
      <c r="B391" s="4" t="s">
        <v>145</v>
      </c>
      <c r="C391" s="4" t="s">
        <v>146</v>
      </c>
      <c r="D391" s="4">
        <v>2.2999999999999998</v>
      </c>
      <c r="E391" s="4">
        <v>27734</v>
      </c>
      <c r="F391" s="4">
        <v>2022</v>
      </c>
      <c r="G391" s="4"/>
      <c r="H391" s="4"/>
    </row>
    <row r="392" spans="1:8" x14ac:dyDescent="0.35">
      <c r="A392" s="4" t="s">
        <v>345</v>
      </c>
      <c r="B392" s="4" t="s">
        <v>346</v>
      </c>
      <c r="C392" s="4" t="s">
        <v>217</v>
      </c>
      <c r="D392" s="4">
        <v>3.4</v>
      </c>
      <c r="E392" s="4">
        <v>27733</v>
      </c>
      <c r="F392" s="4">
        <v>2002</v>
      </c>
      <c r="G392" s="4"/>
      <c r="H392" s="4"/>
    </row>
    <row r="393" spans="1:8" x14ac:dyDescent="0.35">
      <c r="A393" s="4" t="s">
        <v>1066</v>
      </c>
      <c r="B393" s="4" t="s">
        <v>1067</v>
      </c>
      <c r="C393" s="4" t="s">
        <v>175</v>
      </c>
      <c r="D393" s="4">
        <v>4.5999999999999996</v>
      </c>
      <c r="E393" s="4">
        <v>27732</v>
      </c>
      <c r="F393" s="4">
        <v>2014</v>
      </c>
      <c r="G393" s="4"/>
      <c r="H393" s="4"/>
    </row>
    <row r="394" spans="1:8" x14ac:dyDescent="0.35">
      <c r="A394" s="4" t="s">
        <v>1585</v>
      </c>
      <c r="B394" s="4" t="s">
        <v>1586</v>
      </c>
      <c r="C394" s="4" t="s">
        <v>175</v>
      </c>
      <c r="D394" s="4">
        <v>4.9000000000000004</v>
      </c>
      <c r="E394" s="4">
        <v>27687</v>
      </c>
      <c r="F394" s="4">
        <v>2010</v>
      </c>
      <c r="G394" s="4"/>
      <c r="H394" s="4"/>
    </row>
    <row r="395" spans="1:8" x14ac:dyDescent="0.35">
      <c r="A395" s="4" t="s">
        <v>1935</v>
      </c>
      <c r="B395" s="4" t="s">
        <v>1936</v>
      </c>
      <c r="C395" s="4" t="s">
        <v>270</v>
      </c>
      <c r="D395" s="4">
        <v>5.0999999999999996</v>
      </c>
      <c r="E395" s="4">
        <v>27665</v>
      </c>
      <c r="F395" s="4">
        <v>1997</v>
      </c>
      <c r="G395" s="4"/>
      <c r="H395" s="4"/>
    </row>
    <row r="396" spans="1:8" x14ac:dyDescent="0.35">
      <c r="A396" s="4" t="s">
        <v>77</v>
      </c>
      <c r="B396" s="4" t="s">
        <v>78</v>
      </c>
      <c r="C396" s="4" t="s">
        <v>79</v>
      </c>
      <c r="D396" s="4">
        <v>1.7</v>
      </c>
      <c r="E396" s="4">
        <v>27591</v>
      </c>
      <c r="F396" s="4">
        <v>2015</v>
      </c>
      <c r="G396" s="4"/>
      <c r="H396" s="4"/>
    </row>
    <row r="397" spans="1:8" x14ac:dyDescent="0.35">
      <c r="A397" s="4" t="s">
        <v>642</v>
      </c>
      <c r="B397" s="4" t="s">
        <v>643</v>
      </c>
      <c r="C397" s="4" t="s">
        <v>571</v>
      </c>
      <c r="D397" s="4">
        <v>4.0999999999999996</v>
      </c>
      <c r="E397" s="4">
        <v>27444</v>
      </c>
      <c r="F397" s="4">
        <v>2011</v>
      </c>
      <c r="G397" s="4"/>
      <c r="H397" s="4"/>
    </row>
    <row r="398" spans="1:8" x14ac:dyDescent="0.35">
      <c r="A398" s="4" t="s">
        <v>545</v>
      </c>
      <c r="B398" s="4" t="s">
        <v>546</v>
      </c>
      <c r="C398" s="4" t="s">
        <v>62</v>
      </c>
      <c r="D398" s="4">
        <v>3.9</v>
      </c>
      <c r="E398" s="4">
        <v>27338</v>
      </c>
      <c r="F398" s="4">
        <v>2002</v>
      </c>
      <c r="G398" s="4"/>
      <c r="H398" s="4"/>
    </row>
    <row r="399" spans="1:8" x14ac:dyDescent="0.35">
      <c r="A399" s="4" t="s">
        <v>1747</v>
      </c>
      <c r="B399" s="4" t="s">
        <v>1748</v>
      </c>
      <c r="C399" s="4" t="s">
        <v>565</v>
      </c>
      <c r="D399" s="4">
        <v>5</v>
      </c>
      <c r="E399" s="4">
        <v>27196</v>
      </c>
      <c r="F399" s="4">
        <v>2005</v>
      </c>
      <c r="G399" s="4"/>
      <c r="H399" s="4"/>
    </row>
    <row r="400" spans="1:8" x14ac:dyDescent="0.35">
      <c r="A400" s="4" t="s">
        <v>107</v>
      </c>
      <c r="B400" s="4" t="s">
        <v>108</v>
      </c>
      <c r="C400" s="4" t="s">
        <v>109</v>
      </c>
      <c r="D400" s="4">
        <v>1.9</v>
      </c>
      <c r="E400" s="4">
        <v>27123</v>
      </c>
      <c r="F400" s="4">
        <v>2003</v>
      </c>
      <c r="G400" s="4"/>
      <c r="H400" s="4"/>
    </row>
    <row r="401" spans="1:8" x14ac:dyDescent="0.35">
      <c r="A401" s="4" t="s">
        <v>1587</v>
      </c>
      <c r="B401" s="4" t="s">
        <v>1588</v>
      </c>
      <c r="C401" s="4" t="s">
        <v>93</v>
      </c>
      <c r="D401" s="4">
        <v>4.9000000000000004</v>
      </c>
      <c r="E401" s="4">
        <v>26968</v>
      </c>
      <c r="F401" s="4">
        <v>2021</v>
      </c>
      <c r="G401" s="4"/>
      <c r="H401" s="4"/>
    </row>
    <row r="402" spans="1:8" x14ac:dyDescent="0.35">
      <c r="A402" s="4" t="s">
        <v>1381</v>
      </c>
      <c r="B402" s="4" t="s">
        <v>1382</v>
      </c>
      <c r="C402" s="4" t="s">
        <v>584</v>
      </c>
      <c r="D402" s="4">
        <v>4.8</v>
      </c>
      <c r="E402" s="4">
        <v>26839</v>
      </c>
      <c r="F402" s="4">
        <v>2022</v>
      </c>
      <c r="G402" s="4"/>
      <c r="H402" s="4"/>
    </row>
    <row r="403" spans="1:8" x14ac:dyDescent="0.35">
      <c r="A403" s="4" t="s">
        <v>347</v>
      </c>
      <c r="B403" s="4" t="s">
        <v>348</v>
      </c>
      <c r="C403" s="4" t="s">
        <v>349</v>
      </c>
      <c r="D403" s="4">
        <v>3.4</v>
      </c>
      <c r="E403" s="4">
        <v>26805</v>
      </c>
      <c r="F403" s="4">
        <v>1994</v>
      </c>
      <c r="G403" s="4"/>
      <c r="H403" s="4"/>
    </row>
    <row r="404" spans="1:8" x14ac:dyDescent="0.35">
      <c r="A404" s="4" t="s">
        <v>1383</v>
      </c>
      <c r="B404" s="4" t="s">
        <v>1384</v>
      </c>
      <c r="C404" s="4" t="s">
        <v>376</v>
      </c>
      <c r="D404" s="4">
        <v>4.8</v>
      </c>
      <c r="E404" s="4">
        <v>26734</v>
      </c>
      <c r="F404" s="4">
        <v>2004</v>
      </c>
      <c r="G404" s="4"/>
      <c r="H404" s="4"/>
    </row>
    <row r="405" spans="1:8" x14ac:dyDescent="0.35">
      <c r="A405" s="4" t="s">
        <v>765</v>
      </c>
      <c r="B405" s="4" t="s">
        <v>766</v>
      </c>
      <c r="C405" s="4" t="s">
        <v>400</v>
      </c>
      <c r="D405" s="4">
        <v>4.3</v>
      </c>
      <c r="E405" s="4">
        <v>26593</v>
      </c>
      <c r="F405" s="4">
        <v>2017</v>
      </c>
      <c r="G405" s="4"/>
      <c r="H405" s="4"/>
    </row>
    <row r="406" spans="1:8" x14ac:dyDescent="0.35">
      <c r="A406" s="4" t="s">
        <v>1385</v>
      </c>
      <c r="B406" s="4" t="s">
        <v>1386</v>
      </c>
      <c r="C406" s="4" t="s">
        <v>178</v>
      </c>
      <c r="D406" s="4">
        <v>4.8</v>
      </c>
      <c r="E406" s="4">
        <v>26542</v>
      </c>
      <c r="F406" s="4">
        <v>2001</v>
      </c>
      <c r="G406" s="4"/>
      <c r="H406" s="4"/>
    </row>
    <row r="407" spans="1:8" x14ac:dyDescent="0.35">
      <c r="A407" s="4" t="s">
        <v>1225</v>
      </c>
      <c r="B407" s="4" t="s">
        <v>1226</v>
      </c>
      <c r="C407" s="4" t="s">
        <v>508</v>
      </c>
      <c r="D407" s="4">
        <v>4.7</v>
      </c>
      <c r="E407" s="4">
        <v>26511</v>
      </c>
      <c r="F407" s="4">
        <v>2022</v>
      </c>
      <c r="G407" s="4"/>
      <c r="H407" s="4"/>
    </row>
    <row r="408" spans="1:8" x14ac:dyDescent="0.35">
      <c r="A408" s="4" t="s">
        <v>547</v>
      </c>
      <c r="B408" s="4" t="s">
        <v>548</v>
      </c>
      <c r="C408" s="4" t="s">
        <v>549</v>
      </c>
      <c r="D408" s="4">
        <v>3.9</v>
      </c>
      <c r="E408" s="4">
        <v>26296</v>
      </c>
      <c r="F408" s="4">
        <v>2008</v>
      </c>
      <c r="G408" s="4"/>
      <c r="H408" s="4"/>
    </row>
    <row r="409" spans="1:8" x14ac:dyDescent="0.35">
      <c r="A409" s="4" t="s">
        <v>644</v>
      </c>
      <c r="B409" s="4" t="s">
        <v>645</v>
      </c>
      <c r="C409" s="4" t="s">
        <v>646</v>
      </c>
      <c r="D409" s="4">
        <v>4.0999999999999996</v>
      </c>
      <c r="E409" s="4">
        <v>26229</v>
      </c>
      <c r="F409" s="4">
        <v>2011</v>
      </c>
      <c r="G409" s="4"/>
      <c r="H409" s="4"/>
    </row>
    <row r="410" spans="1:8" x14ac:dyDescent="0.35">
      <c r="A410" s="4" t="s">
        <v>287</v>
      </c>
      <c r="B410" s="4" t="s">
        <v>288</v>
      </c>
      <c r="C410" s="4" t="s">
        <v>140</v>
      </c>
      <c r="D410" s="4">
        <v>3.1</v>
      </c>
      <c r="E410" s="4">
        <v>25970</v>
      </c>
      <c r="F410" s="4">
        <v>1996</v>
      </c>
      <c r="G410" s="4"/>
      <c r="H410" s="4"/>
    </row>
    <row r="411" spans="1:8" x14ac:dyDescent="0.35">
      <c r="A411" s="4" t="s">
        <v>453</v>
      </c>
      <c r="B411" s="4" t="s">
        <v>454</v>
      </c>
      <c r="C411" s="4" t="s">
        <v>455</v>
      </c>
      <c r="D411" s="4">
        <v>3.7</v>
      </c>
      <c r="E411" s="4">
        <v>25926</v>
      </c>
      <c r="F411" s="4">
        <v>2000</v>
      </c>
      <c r="G411" s="4"/>
      <c r="H411" s="4"/>
    </row>
    <row r="412" spans="1:8" x14ac:dyDescent="0.35">
      <c r="A412" s="4" t="s">
        <v>456</v>
      </c>
      <c r="B412" s="4" t="s">
        <v>457</v>
      </c>
      <c r="C412" s="4" t="s">
        <v>93</v>
      </c>
      <c r="D412" s="4">
        <v>3.7</v>
      </c>
      <c r="E412" s="4">
        <v>25920</v>
      </c>
      <c r="F412" s="4">
        <v>2024</v>
      </c>
      <c r="G412" s="4"/>
      <c r="H412" s="4"/>
    </row>
    <row r="413" spans="1:8" x14ac:dyDescent="0.35">
      <c r="A413" s="4" t="s">
        <v>1068</v>
      </c>
      <c r="B413" s="4" t="s">
        <v>1069</v>
      </c>
      <c r="C413" s="4" t="s">
        <v>134</v>
      </c>
      <c r="D413" s="4">
        <v>4.5999999999999996</v>
      </c>
      <c r="E413" s="4">
        <v>25861</v>
      </c>
      <c r="F413" s="4">
        <v>1994</v>
      </c>
      <c r="G413" s="4"/>
      <c r="H413" s="4"/>
    </row>
    <row r="414" spans="1:8" x14ac:dyDescent="0.35">
      <c r="A414" s="4" t="s">
        <v>1937</v>
      </c>
      <c r="B414" s="4" t="s">
        <v>1938</v>
      </c>
      <c r="C414" s="4" t="s">
        <v>477</v>
      </c>
      <c r="D414" s="4">
        <v>5.0999999999999996</v>
      </c>
      <c r="E414" s="4">
        <v>25853</v>
      </c>
      <c r="F414" s="4">
        <v>2006</v>
      </c>
      <c r="G414" s="4"/>
      <c r="H414" s="4"/>
    </row>
    <row r="415" spans="1:8" x14ac:dyDescent="0.35">
      <c r="A415" s="4" t="s">
        <v>80</v>
      </c>
      <c r="B415" s="4" t="s">
        <v>81</v>
      </c>
      <c r="C415" s="4" t="s">
        <v>82</v>
      </c>
      <c r="D415" s="4">
        <v>1.7</v>
      </c>
      <c r="E415" s="4">
        <v>25843</v>
      </c>
      <c r="F415" s="4">
        <v>2010</v>
      </c>
      <c r="G415" s="4"/>
      <c r="H415" s="4"/>
    </row>
    <row r="416" spans="1:8" x14ac:dyDescent="0.35">
      <c r="A416" s="4" t="s">
        <v>1749</v>
      </c>
      <c r="B416" s="4" t="s">
        <v>1750</v>
      </c>
      <c r="C416" s="4" t="s">
        <v>294</v>
      </c>
      <c r="D416" s="4">
        <v>5</v>
      </c>
      <c r="E416" s="4">
        <v>25793</v>
      </c>
      <c r="F416" s="4">
        <v>2014</v>
      </c>
      <c r="G416" s="4"/>
      <c r="H416" s="4"/>
    </row>
    <row r="417" spans="1:8" x14ac:dyDescent="0.35">
      <c r="A417" s="4" t="s">
        <v>1227</v>
      </c>
      <c r="B417" s="4" t="s">
        <v>1228</v>
      </c>
      <c r="C417" s="4" t="s">
        <v>93</v>
      </c>
      <c r="D417" s="4">
        <v>4.7</v>
      </c>
      <c r="E417" s="4">
        <v>25779</v>
      </c>
      <c r="F417" s="4">
        <v>2024</v>
      </c>
      <c r="G417" s="4"/>
      <c r="H417" s="4"/>
    </row>
    <row r="418" spans="1:8" x14ac:dyDescent="0.35">
      <c r="A418" s="4" t="s">
        <v>1229</v>
      </c>
      <c r="B418" s="4" t="s">
        <v>1230</v>
      </c>
      <c r="C418" s="4" t="s">
        <v>175</v>
      </c>
      <c r="D418" s="4">
        <v>4.7</v>
      </c>
      <c r="E418" s="4">
        <v>25702</v>
      </c>
      <c r="F418" s="4">
        <v>2012</v>
      </c>
      <c r="G418" s="4"/>
      <c r="H418" s="4"/>
    </row>
    <row r="419" spans="1:8" x14ac:dyDescent="0.35">
      <c r="A419" s="4" t="s">
        <v>1231</v>
      </c>
      <c r="B419" s="4" t="s">
        <v>1232</v>
      </c>
      <c r="C419" s="4" t="s">
        <v>270</v>
      </c>
      <c r="D419" s="4">
        <v>4.7</v>
      </c>
      <c r="E419" s="4">
        <v>25626</v>
      </c>
      <c r="F419" s="4">
        <v>1995</v>
      </c>
      <c r="G419" s="4"/>
      <c r="H419" s="4"/>
    </row>
    <row r="420" spans="1:8" x14ac:dyDescent="0.35">
      <c r="A420" s="4" t="s">
        <v>458</v>
      </c>
      <c r="B420" s="4" t="s">
        <v>459</v>
      </c>
      <c r="C420" s="4" t="s">
        <v>338</v>
      </c>
      <c r="D420" s="4">
        <v>3.7</v>
      </c>
      <c r="E420" s="4">
        <v>25594</v>
      </c>
      <c r="F420" s="4">
        <v>2009</v>
      </c>
      <c r="G420" s="4"/>
      <c r="H420" s="4"/>
    </row>
    <row r="421" spans="1:8" x14ac:dyDescent="0.35">
      <c r="A421" s="4" t="s">
        <v>1387</v>
      </c>
      <c r="B421" s="4" t="s">
        <v>1388</v>
      </c>
      <c r="C421" s="4" t="s">
        <v>568</v>
      </c>
      <c r="D421" s="4">
        <v>4.8</v>
      </c>
      <c r="E421" s="4">
        <v>25593</v>
      </c>
      <c r="F421" s="4">
        <v>2022</v>
      </c>
      <c r="G421" s="4"/>
      <c r="H421" s="4"/>
    </row>
    <row r="422" spans="1:8" x14ac:dyDescent="0.35">
      <c r="A422" s="4" t="s">
        <v>374</v>
      </c>
      <c r="B422" s="4" t="s">
        <v>375</v>
      </c>
      <c r="C422" s="4" t="s">
        <v>376</v>
      </c>
      <c r="D422" s="4">
        <v>3.5</v>
      </c>
      <c r="E422" s="4">
        <v>25539</v>
      </c>
      <c r="F422" s="4">
        <v>2007</v>
      </c>
      <c r="G422" s="4"/>
      <c r="H422" s="4"/>
    </row>
    <row r="423" spans="1:8" x14ac:dyDescent="0.35">
      <c r="A423" s="4" t="s">
        <v>1389</v>
      </c>
      <c r="B423" s="4" t="s">
        <v>1390</v>
      </c>
      <c r="C423" s="4" t="s">
        <v>76</v>
      </c>
      <c r="D423" s="4">
        <v>4.8</v>
      </c>
      <c r="E423" s="4">
        <v>25522</v>
      </c>
      <c r="F423" s="4">
        <v>2024</v>
      </c>
      <c r="G423" s="4"/>
      <c r="H423" s="4"/>
    </row>
    <row r="424" spans="1:8" x14ac:dyDescent="0.35">
      <c r="A424" s="4" t="s">
        <v>866</v>
      </c>
      <c r="B424" s="4" t="s">
        <v>867</v>
      </c>
      <c r="C424" s="4" t="s">
        <v>294</v>
      </c>
      <c r="D424" s="4">
        <v>4.4000000000000004</v>
      </c>
      <c r="E424" s="4">
        <v>25450</v>
      </c>
      <c r="F424" s="4">
        <v>2013</v>
      </c>
      <c r="G424" s="4"/>
      <c r="H424" s="4"/>
    </row>
    <row r="425" spans="1:8" x14ac:dyDescent="0.35">
      <c r="A425" s="4" t="s">
        <v>1391</v>
      </c>
      <c r="B425" s="4" t="s">
        <v>1392</v>
      </c>
      <c r="C425" s="4" t="s">
        <v>87</v>
      </c>
      <c r="D425" s="4">
        <v>4.8</v>
      </c>
      <c r="E425" s="4">
        <v>25429</v>
      </c>
      <c r="F425" s="4">
        <v>1992</v>
      </c>
      <c r="G425" s="4"/>
      <c r="H425" s="4"/>
    </row>
    <row r="426" spans="1:8" x14ac:dyDescent="0.35">
      <c r="A426" s="4" t="s">
        <v>206</v>
      </c>
      <c r="B426" s="4" t="s">
        <v>207</v>
      </c>
      <c r="C426" s="4" t="s">
        <v>208</v>
      </c>
      <c r="D426" s="4">
        <v>2.7</v>
      </c>
      <c r="E426" s="4">
        <v>25301</v>
      </c>
      <c r="F426" s="4">
        <v>2022</v>
      </c>
      <c r="G426" s="4"/>
      <c r="H426" s="4"/>
    </row>
    <row r="427" spans="1:8" x14ac:dyDescent="0.35">
      <c r="A427" s="4" t="s">
        <v>1589</v>
      </c>
      <c r="B427" s="4" t="s">
        <v>1590</v>
      </c>
      <c r="C427" s="4" t="s">
        <v>1591</v>
      </c>
      <c r="D427" s="4">
        <v>4.9000000000000004</v>
      </c>
      <c r="E427" s="4">
        <v>25286</v>
      </c>
      <c r="F427" s="4">
        <v>2004</v>
      </c>
      <c r="G427" s="4"/>
      <c r="H427" s="4"/>
    </row>
    <row r="428" spans="1:8" x14ac:dyDescent="0.35">
      <c r="A428" s="4" t="s">
        <v>1939</v>
      </c>
      <c r="B428" s="4" t="s">
        <v>1940</v>
      </c>
      <c r="C428" s="4" t="s">
        <v>98</v>
      </c>
      <c r="D428" s="4">
        <v>5.0999999999999996</v>
      </c>
      <c r="E428" s="4">
        <v>25248</v>
      </c>
      <c r="F428" s="4">
        <v>1996</v>
      </c>
      <c r="G428" s="4"/>
      <c r="H428" s="4"/>
    </row>
    <row r="429" spans="1:8" x14ac:dyDescent="0.35">
      <c r="A429" s="4" t="s">
        <v>1941</v>
      </c>
      <c r="B429" s="4" t="s">
        <v>1942</v>
      </c>
      <c r="C429" s="4" t="s">
        <v>1075</v>
      </c>
      <c r="D429" s="4">
        <v>5.0999999999999996</v>
      </c>
      <c r="E429" s="4">
        <v>25219</v>
      </c>
      <c r="F429" s="4">
        <v>1989</v>
      </c>
      <c r="G429" s="4"/>
      <c r="H429" s="4"/>
    </row>
    <row r="430" spans="1:8" x14ac:dyDescent="0.35">
      <c r="A430" s="4" t="s">
        <v>1592</v>
      </c>
      <c r="B430" s="4" t="s">
        <v>1593</v>
      </c>
      <c r="C430" s="4" t="s">
        <v>116</v>
      </c>
      <c r="D430" s="4">
        <v>4.9000000000000004</v>
      </c>
      <c r="E430" s="4">
        <v>25175</v>
      </c>
      <c r="F430" s="4">
        <v>2024</v>
      </c>
      <c r="G430" s="4"/>
      <c r="H430" s="4"/>
    </row>
    <row r="431" spans="1:8" x14ac:dyDescent="0.35">
      <c r="A431" s="4" t="s">
        <v>1751</v>
      </c>
      <c r="B431" s="4" t="s">
        <v>1752</v>
      </c>
      <c r="C431" s="4" t="s">
        <v>846</v>
      </c>
      <c r="D431" s="4">
        <v>5</v>
      </c>
      <c r="E431" s="4">
        <v>25165</v>
      </c>
      <c r="F431" s="4">
        <v>2003</v>
      </c>
      <c r="G431" s="4"/>
      <c r="H431" s="4"/>
    </row>
    <row r="432" spans="1:8" x14ac:dyDescent="0.35">
      <c r="A432" s="4" t="s">
        <v>767</v>
      </c>
      <c r="B432" s="4" t="s">
        <v>768</v>
      </c>
      <c r="C432" s="4" t="s">
        <v>68</v>
      </c>
      <c r="D432" s="4">
        <v>4.3</v>
      </c>
      <c r="E432" s="4">
        <v>25148</v>
      </c>
      <c r="F432" s="4">
        <v>2013</v>
      </c>
      <c r="G432" s="4"/>
      <c r="H432" s="4"/>
    </row>
    <row r="433" spans="1:8" x14ac:dyDescent="0.35">
      <c r="A433" s="4" t="s">
        <v>289</v>
      </c>
      <c r="B433" s="4" t="s">
        <v>290</v>
      </c>
      <c r="C433" s="4" t="s">
        <v>291</v>
      </c>
      <c r="D433" s="4">
        <v>3.1</v>
      </c>
      <c r="E433" s="4">
        <v>25105</v>
      </c>
      <c r="F433" s="4">
        <v>2007</v>
      </c>
      <c r="G433" s="4"/>
      <c r="H433" s="4"/>
    </row>
    <row r="434" spans="1:8" x14ac:dyDescent="0.35">
      <c r="A434" s="4" t="s">
        <v>550</v>
      </c>
      <c r="B434" s="4" t="s">
        <v>551</v>
      </c>
      <c r="C434" s="4" t="s">
        <v>76</v>
      </c>
      <c r="D434" s="4">
        <v>3.9</v>
      </c>
      <c r="E434" s="4">
        <v>25083</v>
      </c>
      <c r="F434" s="4">
        <v>2017</v>
      </c>
      <c r="G434" s="4"/>
      <c r="H434" s="4"/>
    </row>
    <row r="435" spans="1:8" x14ac:dyDescent="0.35">
      <c r="A435" s="4" t="s">
        <v>707</v>
      </c>
      <c r="B435" s="4" t="s">
        <v>708</v>
      </c>
      <c r="C435" s="4" t="s">
        <v>709</v>
      </c>
      <c r="D435" s="4">
        <v>4.2</v>
      </c>
      <c r="E435" s="4">
        <v>25030</v>
      </c>
      <c r="F435" s="4">
        <v>2021</v>
      </c>
      <c r="G435" s="4"/>
      <c r="H435" s="4"/>
    </row>
    <row r="436" spans="1:8" x14ac:dyDescent="0.35">
      <c r="A436" s="4" t="s">
        <v>1233</v>
      </c>
      <c r="B436" s="4" t="s">
        <v>1234</v>
      </c>
      <c r="C436" s="4" t="s">
        <v>82</v>
      </c>
      <c r="D436" s="4">
        <v>4.7</v>
      </c>
      <c r="E436" s="4">
        <v>25006</v>
      </c>
      <c r="F436" s="4">
        <v>2024</v>
      </c>
      <c r="G436" s="4"/>
      <c r="H436" s="4"/>
    </row>
    <row r="437" spans="1:8" x14ac:dyDescent="0.35">
      <c r="A437" s="4" t="s">
        <v>964</v>
      </c>
      <c r="B437" s="4" t="s">
        <v>965</v>
      </c>
      <c r="C437" s="4" t="s">
        <v>11</v>
      </c>
      <c r="D437" s="4">
        <v>4.5</v>
      </c>
      <c r="E437" s="4">
        <v>24952</v>
      </c>
      <c r="F437" s="4">
        <v>2004</v>
      </c>
      <c r="G437" s="4"/>
      <c r="H437" s="4"/>
    </row>
    <row r="438" spans="1:8" x14ac:dyDescent="0.35">
      <c r="A438" s="4" t="s">
        <v>769</v>
      </c>
      <c r="B438" s="4" t="s">
        <v>770</v>
      </c>
      <c r="C438" s="4" t="s">
        <v>163</v>
      </c>
      <c r="D438" s="4">
        <v>4.3</v>
      </c>
      <c r="E438" s="4">
        <v>24871</v>
      </c>
      <c r="F438" s="4">
        <v>2008</v>
      </c>
      <c r="G438" s="4"/>
      <c r="H438" s="4"/>
    </row>
    <row r="439" spans="1:8" x14ac:dyDescent="0.35">
      <c r="A439" s="4" t="s">
        <v>966</v>
      </c>
      <c r="B439" s="4" t="s">
        <v>967</v>
      </c>
      <c r="C439" s="4" t="s">
        <v>508</v>
      </c>
      <c r="D439" s="4">
        <v>4.5</v>
      </c>
      <c r="E439" s="4">
        <v>24829</v>
      </c>
      <c r="F439" s="4">
        <v>2019</v>
      </c>
      <c r="G439" s="4"/>
      <c r="H439" s="4"/>
    </row>
    <row r="440" spans="1:8" x14ac:dyDescent="0.35">
      <c r="A440" s="4" t="s">
        <v>413</v>
      </c>
      <c r="B440" s="4" t="s">
        <v>414</v>
      </c>
      <c r="C440" s="4" t="s">
        <v>122</v>
      </c>
      <c r="D440" s="4">
        <v>3.6</v>
      </c>
      <c r="E440" s="4">
        <v>24800</v>
      </c>
      <c r="F440" s="4">
        <v>2004</v>
      </c>
      <c r="G440" s="4"/>
      <c r="H440" s="4"/>
    </row>
    <row r="441" spans="1:8" x14ac:dyDescent="0.35">
      <c r="A441" s="4" t="s">
        <v>552</v>
      </c>
      <c r="B441" s="4" t="s">
        <v>553</v>
      </c>
      <c r="C441" s="4" t="s">
        <v>554</v>
      </c>
      <c r="D441" s="4">
        <v>3.9</v>
      </c>
      <c r="E441" s="4">
        <v>24718</v>
      </c>
      <c r="F441" s="4">
        <v>2009</v>
      </c>
      <c r="G441" s="4"/>
      <c r="H441" s="4"/>
    </row>
    <row r="442" spans="1:8" x14ac:dyDescent="0.35">
      <c r="A442" s="4" t="s">
        <v>968</v>
      </c>
      <c r="B442" s="4" t="s">
        <v>969</v>
      </c>
      <c r="C442" s="4" t="s">
        <v>146</v>
      </c>
      <c r="D442" s="4">
        <v>4.5</v>
      </c>
      <c r="E442" s="4">
        <v>24501</v>
      </c>
      <c r="F442" s="4">
        <v>2007</v>
      </c>
      <c r="G442" s="4"/>
      <c r="H442" s="4"/>
    </row>
    <row r="443" spans="1:8" x14ac:dyDescent="0.35">
      <c r="A443" s="4" t="s">
        <v>868</v>
      </c>
      <c r="B443" s="4" t="s">
        <v>869</v>
      </c>
      <c r="C443" s="4" t="s">
        <v>166</v>
      </c>
      <c r="D443" s="4">
        <v>4.4000000000000004</v>
      </c>
      <c r="E443" s="4">
        <v>24457</v>
      </c>
      <c r="F443" s="4">
        <v>1984</v>
      </c>
      <c r="G443" s="4"/>
      <c r="H443" s="4"/>
    </row>
    <row r="444" spans="1:8" x14ac:dyDescent="0.35">
      <c r="A444" s="4" t="s">
        <v>1943</v>
      </c>
      <c r="B444" s="4" t="s">
        <v>1944</v>
      </c>
      <c r="C444" s="4" t="s">
        <v>294</v>
      </c>
      <c r="D444" s="4">
        <v>5.0999999999999996</v>
      </c>
      <c r="E444" s="4">
        <v>24451</v>
      </c>
      <c r="F444" s="4">
        <v>2019</v>
      </c>
      <c r="G444" s="4"/>
      <c r="H444" s="4"/>
    </row>
    <row r="445" spans="1:8" x14ac:dyDescent="0.35">
      <c r="A445" s="4" t="s">
        <v>1235</v>
      </c>
      <c r="B445" s="4" t="s">
        <v>1236</v>
      </c>
      <c r="C445" s="4" t="s">
        <v>338</v>
      </c>
      <c r="D445" s="4">
        <v>4.7</v>
      </c>
      <c r="E445" s="4">
        <v>24427</v>
      </c>
      <c r="F445" s="4">
        <v>2024</v>
      </c>
      <c r="G445" s="4"/>
      <c r="H445" s="4"/>
    </row>
    <row r="446" spans="1:8" x14ac:dyDescent="0.35">
      <c r="A446" s="4" t="s">
        <v>1237</v>
      </c>
      <c r="B446" s="4" t="s">
        <v>1238</v>
      </c>
      <c r="C446" s="4" t="s">
        <v>158</v>
      </c>
      <c r="D446" s="4">
        <v>4.7</v>
      </c>
      <c r="E446" s="4">
        <v>24366</v>
      </c>
      <c r="F446" s="4">
        <v>2004</v>
      </c>
      <c r="G446" s="4"/>
      <c r="H446" s="4"/>
    </row>
    <row r="447" spans="1:8" x14ac:dyDescent="0.35">
      <c r="A447" s="4" t="s">
        <v>970</v>
      </c>
      <c r="B447" s="4" t="s">
        <v>971</v>
      </c>
      <c r="C447" s="4" t="s">
        <v>568</v>
      </c>
      <c r="D447" s="4">
        <v>4.5</v>
      </c>
      <c r="E447" s="4">
        <v>24338</v>
      </c>
      <c r="F447" s="4">
        <v>2021</v>
      </c>
      <c r="G447" s="4"/>
      <c r="H447" s="4"/>
    </row>
    <row r="448" spans="1:8" x14ac:dyDescent="0.35">
      <c r="A448" s="4" t="s">
        <v>1393</v>
      </c>
      <c r="B448" s="4" t="s">
        <v>1394</v>
      </c>
      <c r="C448" s="4" t="s">
        <v>116</v>
      </c>
      <c r="D448" s="4">
        <v>4.8</v>
      </c>
      <c r="E448" s="4">
        <v>24209</v>
      </c>
      <c r="F448" s="4">
        <v>2006</v>
      </c>
      <c r="G448" s="4"/>
      <c r="H448" s="4"/>
    </row>
    <row r="449" spans="1:8" x14ac:dyDescent="0.35">
      <c r="A449" s="4" t="s">
        <v>156</v>
      </c>
      <c r="B449" s="4" t="s">
        <v>157</v>
      </c>
      <c r="C449" s="4" t="s">
        <v>158</v>
      </c>
      <c r="D449" s="4">
        <v>2.4</v>
      </c>
      <c r="E449" s="4">
        <v>24198</v>
      </c>
      <c r="F449" s="4">
        <v>2001</v>
      </c>
      <c r="G449" s="4"/>
      <c r="H449" s="4"/>
    </row>
    <row r="450" spans="1:8" x14ac:dyDescent="0.35">
      <c r="A450" s="4" t="s">
        <v>1594</v>
      </c>
      <c r="B450" s="4" t="s">
        <v>1595</v>
      </c>
      <c r="C450" s="4" t="s">
        <v>44</v>
      </c>
      <c r="D450" s="4">
        <v>4.9000000000000004</v>
      </c>
      <c r="E450" s="4">
        <v>24124</v>
      </c>
      <c r="F450" s="4">
        <v>1991</v>
      </c>
      <c r="G450" s="4"/>
      <c r="H450" s="4"/>
    </row>
    <row r="451" spans="1:8" x14ac:dyDescent="0.35">
      <c r="A451" s="4" t="s">
        <v>1596</v>
      </c>
      <c r="B451" s="4" t="s">
        <v>1597</v>
      </c>
      <c r="C451" s="4" t="s">
        <v>639</v>
      </c>
      <c r="D451" s="4">
        <v>4.9000000000000004</v>
      </c>
      <c r="E451" s="4">
        <v>23991</v>
      </c>
      <c r="F451" s="4">
        <v>1992</v>
      </c>
      <c r="G451" s="4"/>
      <c r="H451" s="4"/>
    </row>
    <row r="452" spans="1:8" x14ac:dyDescent="0.35">
      <c r="A452" s="4" t="s">
        <v>870</v>
      </c>
      <c r="B452" s="4" t="s">
        <v>871</v>
      </c>
      <c r="C452" s="4" t="s">
        <v>205</v>
      </c>
      <c r="D452" s="4">
        <v>4.4000000000000004</v>
      </c>
      <c r="E452" s="4">
        <v>23967</v>
      </c>
      <c r="F452" s="4">
        <v>2015</v>
      </c>
      <c r="G452" s="4"/>
      <c r="H452" s="4"/>
    </row>
    <row r="453" spans="1:8" x14ac:dyDescent="0.35">
      <c r="A453" s="4" t="s">
        <v>771</v>
      </c>
      <c r="B453" s="4" t="s">
        <v>772</v>
      </c>
      <c r="C453" s="4" t="s">
        <v>646</v>
      </c>
      <c r="D453" s="4">
        <v>4.3</v>
      </c>
      <c r="E453" s="4">
        <v>23940</v>
      </c>
      <c r="F453" s="4">
        <v>2022</v>
      </c>
      <c r="G453" s="4"/>
      <c r="H453" s="4"/>
    </row>
    <row r="454" spans="1:8" x14ac:dyDescent="0.35">
      <c r="A454" s="4" t="s">
        <v>1239</v>
      </c>
      <c r="B454" s="4" t="s">
        <v>1240</v>
      </c>
      <c r="C454" s="4" t="s">
        <v>270</v>
      </c>
      <c r="D454" s="4">
        <v>4.7</v>
      </c>
      <c r="E454" s="4">
        <v>23931</v>
      </c>
      <c r="F454" s="4">
        <v>2014</v>
      </c>
      <c r="G454" s="4"/>
      <c r="H454" s="4"/>
    </row>
    <row r="455" spans="1:8" x14ac:dyDescent="0.35">
      <c r="A455" s="4" t="s">
        <v>1070</v>
      </c>
      <c r="B455" s="4" t="s">
        <v>1071</v>
      </c>
      <c r="C455" s="4" t="s">
        <v>1072</v>
      </c>
      <c r="D455" s="4">
        <v>4.5999999999999996</v>
      </c>
      <c r="E455" s="4">
        <v>23858</v>
      </c>
      <c r="F455" s="4">
        <v>2007</v>
      </c>
      <c r="G455" s="4"/>
      <c r="H455" s="4"/>
    </row>
    <row r="456" spans="1:8" x14ac:dyDescent="0.35">
      <c r="A456" s="4" t="s">
        <v>1073</v>
      </c>
      <c r="B456" s="4" t="s">
        <v>1074</v>
      </c>
      <c r="C456" s="4" t="s">
        <v>1075</v>
      </c>
      <c r="D456" s="4">
        <v>4.5999999999999996</v>
      </c>
      <c r="E456" s="4">
        <v>23801</v>
      </c>
      <c r="F456" s="4">
        <v>2022</v>
      </c>
      <c r="G456" s="4"/>
      <c r="H456" s="4"/>
    </row>
    <row r="457" spans="1:8" x14ac:dyDescent="0.35">
      <c r="A457" s="4" t="s">
        <v>1076</v>
      </c>
      <c r="B457" s="4" t="s">
        <v>1077</v>
      </c>
      <c r="C457" s="4" t="s">
        <v>65</v>
      </c>
      <c r="D457" s="4">
        <v>4.5999999999999996</v>
      </c>
      <c r="E457" s="4">
        <v>23739</v>
      </c>
      <c r="F457" s="4">
        <v>2010</v>
      </c>
      <c r="G457" s="4"/>
      <c r="H457" s="4"/>
    </row>
    <row r="458" spans="1:8" x14ac:dyDescent="0.35">
      <c r="A458" s="4" t="s">
        <v>647</v>
      </c>
      <c r="B458" s="4" t="s">
        <v>648</v>
      </c>
      <c r="C458" s="4" t="s">
        <v>649</v>
      </c>
      <c r="D458" s="4">
        <v>4.0999999999999996</v>
      </c>
      <c r="E458" s="4">
        <v>23717</v>
      </c>
      <c r="F458" s="4">
        <v>2012</v>
      </c>
      <c r="G458" s="4"/>
      <c r="H458" s="4"/>
    </row>
    <row r="459" spans="1:8" x14ac:dyDescent="0.35">
      <c r="A459" s="4" t="s">
        <v>1241</v>
      </c>
      <c r="B459" s="4" t="s">
        <v>1242</v>
      </c>
      <c r="C459" s="4" t="s">
        <v>1243</v>
      </c>
      <c r="D459" s="4">
        <v>4.7</v>
      </c>
      <c r="E459" s="4">
        <v>23690</v>
      </c>
      <c r="F459" s="4">
        <v>2020</v>
      </c>
      <c r="G459" s="4"/>
      <c r="H459" s="4"/>
    </row>
    <row r="460" spans="1:8" x14ac:dyDescent="0.35">
      <c r="A460" s="4" t="s">
        <v>1945</v>
      </c>
      <c r="B460" s="4" t="s">
        <v>1946</v>
      </c>
      <c r="C460" s="4" t="s">
        <v>1947</v>
      </c>
      <c r="D460" s="4">
        <v>5.0999999999999996</v>
      </c>
      <c r="E460" s="4">
        <v>23649</v>
      </c>
      <c r="F460" s="4">
        <v>2022</v>
      </c>
      <c r="G460" s="4"/>
      <c r="H460" s="4"/>
    </row>
    <row r="461" spans="1:8" x14ac:dyDescent="0.35">
      <c r="A461" s="4" t="s">
        <v>1948</v>
      </c>
      <c r="B461" s="4">
        <v>31</v>
      </c>
      <c r="C461" s="4" t="s">
        <v>82</v>
      </c>
      <c r="D461" s="4">
        <v>5.0999999999999996</v>
      </c>
      <c r="E461" s="4">
        <v>23633</v>
      </c>
      <c r="F461" s="4">
        <v>2016</v>
      </c>
      <c r="G461" s="4"/>
      <c r="H461" s="4"/>
    </row>
    <row r="462" spans="1:8" x14ac:dyDescent="0.35">
      <c r="A462" s="4" t="s">
        <v>377</v>
      </c>
      <c r="B462" s="4" t="s">
        <v>378</v>
      </c>
      <c r="C462" s="4" t="s">
        <v>11</v>
      </c>
      <c r="D462" s="4">
        <v>3.5</v>
      </c>
      <c r="E462" s="4">
        <v>23615</v>
      </c>
      <c r="F462" s="4">
        <v>2016</v>
      </c>
      <c r="G462" s="4"/>
      <c r="H462" s="4"/>
    </row>
    <row r="463" spans="1:8" x14ac:dyDescent="0.35">
      <c r="A463" s="4" t="s">
        <v>1753</v>
      </c>
      <c r="B463" s="4" t="s">
        <v>1754</v>
      </c>
      <c r="C463" s="4" t="s">
        <v>646</v>
      </c>
      <c r="D463" s="4">
        <v>5</v>
      </c>
      <c r="E463" s="4">
        <v>23466</v>
      </c>
      <c r="F463" s="4">
        <v>2008</v>
      </c>
      <c r="G463" s="4"/>
      <c r="H463" s="4"/>
    </row>
    <row r="464" spans="1:8" x14ac:dyDescent="0.35">
      <c r="A464" s="4" t="s">
        <v>1949</v>
      </c>
      <c r="B464" s="4" t="s">
        <v>1950</v>
      </c>
      <c r="C464" s="4" t="s">
        <v>400</v>
      </c>
      <c r="D464" s="4">
        <v>5.0999999999999996</v>
      </c>
      <c r="E464" s="4">
        <v>23465</v>
      </c>
      <c r="F464" s="4">
        <v>2017</v>
      </c>
      <c r="G464" s="4"/>
      <c r="H464" s="4"/>
    </row>
    <row r="465" spans="1:8" x14ac:dyDescent="0.35">
      <c r="A465" s="4" t="s">
        <v>1395</v>
      </c>
      <c r="B465" s="4" t="s">
        <v>1396</v>
      </c>
      <c r="C465" s="4" t="s">
        <v>508</v>
      </c>
      <c r="D465" s="4">
        <v>4.8</v>
      </c>
      <c r="E465" s="4">
        <v>23460</v>
      </c>
      <c r="F465" s="4">
        <v>2013</v>
      </c>
      <c r="G465" s="4"/>
      <c r="H465" s="4"/>
    </row>
    <row r="466" spans="1:8" x14ac:dyDescent="0.35">
      <c r="A466" s="4" t="s">
        <v>1755</v>
      </c>
      <c r="B466" s="4" t="s">
        <v>1756</v>
      </c>
      <c r="C466" s="4" t="s">
        <v>951</v>
      </c>
      <c r="D466" s="4">
        <v>5</v>
      </c>
      <c r="E466" s="4">
        <v>23421</v>
      </c>
      <c r="F466" s="4">
        <v>2018</v>
      </c>
      <c r="G466" s="4"/>
      <c r="H466" s="4"/>
    </row>
    <row r="467" spans="1:8" x14ac:dyDescent="0.35">
      <c r="A467" s="4" t="s">
        <v>1598</v>
      </c>
      <c r="B467" s="4" t="s">
        <v>1599</v>
      </c>
      <c r="C467" s="4" t="s">
        <v>217</v>
      </c>
      <c r="D467" s="4">
        <v>4.9000000000000004</v>
      </c>
      <c r="E467" s="4">
        <v>23360</v>
      </c>
      <c r="F467" s="4">
        <v>2015</v>
      </c>
      <c r="G467" s="4"/>
      <c r="H467" s="4"/>
    </row>
    <row r="468" spans="1:8" x14ac:dyDescent="0.35">
      <c r="A468" s="4" t="s">
        <v>1951</v>
      </c>
      <c r="B468" s="4" t="s">
        <v>1952</v>
      </c>
      <c r="C468" s="4" t="s">
        <v>93</v>
      </c>
      <c r="D468" s="4">
        <v>5.0999999999999996</v>
      </c>
      <c r="E468" s="4">
        <v>23343</v>
      </c>
      <c r="F468" s="4">
        <v>2024</v>
      </c>
      <c r="G468" s="4"/>
      <c r="H468" s="4"/>
    </row>
    <row r="469" spans="1:8" x14ac:dyDescent="0.35">
      <c r="A469" s="4" t="s">
        <v>1397</v>
      </c>
      <c r="B469" s="4" t="s">
        <v>1398</v>
      </c>
      <c r="C469" s="4" t="s">
        <v>116</v>
      </c>
      <c r="D469" s="4">
        <v>4.8</v>
      </c>
      <c r="E469" s="4">
        <v>23297</v>
      </c>
      <c r="F469" s="4">
        <v>2021</v>
      </c>
      <c r="G469" s="4"/>
      <c r="H469" s="4"/>
    </row>
    <row r="470" spans="1:8" x14ac:dyDescent="0.35">
      <c r="A470" s="4" t="s">
        <v>972</v>
      </c>
      <c r="B470" s="4" t="s">
        <v>973</v>
      </c>
      <c r="C470" s="4" t="s">
        <v>11</v>
      </c>
      <c r="D470" s="4">
        <v>4.5</v>
      </c>
      <c r="E470" s="4">
        <v>23286</v>
      </c>
      <c r="F470" s="4">
        <v>2009</v>
      </c>
      <c r="G470" s="4"/>
      <c r="H470" s="4"/>
    </row>
    <row r="471" spans="1:8" x14ac:dyDescent="0.35">
      <c r="A471" s="4" t="s">
        <v>872</v>
      </c>
      <c r="B471" s="4" t="s">
        <v>873</v>
      </c>
      <c r="C471" s="4" t="s">
        <v>568</v>
      </c>
      <c r="D471" s="4">
        <v>4.4000000000000004</v>
      </c>
      <c r="E471" s="4">
        <v>23267</v>
      </c>
      <c r="F471" s="4">
        <v>2023</v>
      </c>
      <c r="G471" s="4"/>
      <c r="H471" s="4"/>
    </row>
    <row r="472" spans="1:8" x14ac:dyDescent="0.35">
      <c r="A472" s="4" t="s">
        <v>1953</v>
      </c>
      <c r="B472" s="4" t="s">
        <v>1954</v>
      </c>
      <c r="C472" s="4" t="s">
        <v>128</v>
      </c>
      <c r="D472" s="4">
        <v>5.0999999999999996</v>
      </c>
      <c r="E472" s="4">
        <v>23205</v>
      </c>
      <c r="F472" s="4">
        <v>2017</v>
      </c>
      <c r="G472" s="4"/>
      <c r="H472" s="4"/>
    </row>
    <row r="473" spans="1:8" x14ac:dyDescent="0.35">
      <c r="A473" s="4" t="s">
        <v>159</v>
      </c>
      <c r="B473" s="4" t="s">
        <v>160</v>
      </c>
      <c r="C473" s="4" t="s">
        <v>8</v>
      </c>
      <c r="D473" s="4">
        <v>2.4</v>
      </c>
      <c r="E473" s="4">
        <v>23140</v>
      </c>
      <c r="F473" s="4">
        <v>2018</v>
      </c>
      <c r="G473" s="4"/>
      <c r="H473" s="4"/>
    </row>
    <row r="474" spans="1:8" x14ac:dyDescent="0.35">
      <c r="A474" s="4" t="s">
        <v>874</v>
      </c>
      <c r="B474" s="4" t="s">
        <v>875</v>
      </c>
      <c r="C474" s="4" t="s">
        <v>178</v>
      </c>
      <c r="D474" s="4">
        <v>4.4000000000000004</v>
      </c>
      <c r="E474" s="4">
        <v>23135</v>
      </c>
      <c r="F474" s="4">
        <v>2006</v>
      </c>
      <c r="G474" s="4"/>
      <c r="H474" s="4"/>
    </row>
    <row r="475" spans="1:8" x14ac:dyDescent="0.35">
      <c r="A475" s="4" t="s">
        <v>196</v>
      </c>
      <c r="B475" s="4" t="s">
        <v>197</v>
      </c>
      <c r="C475" s="4" t="s">
        <v>198</v>
      </c>
      <c r="D475" s="4">
        <v>2.6</v>
      </c>
      <c r="E475" s="4">
        <v>23076</v>
      </c>
      <c r="F475" s="4">
        <v>2019</v>
      </c>
      <c r="G475" s="4"/>
      <c r="H475" s="4"/>
    </row>
    <row r="476" spans="1:8" x14ac:dyDescent="0.35">
      <c r="A476" s="4" t="s">
        <v>350</v>
      </c>
      <c r="B476" s="4" t="s">
        <v>351</v>
      </c>
      <c r="C476" s="4" t="s">
        <v>352</v>
      </c>
      <c r="D476" s="4">
        <v>3.4</v>
      </c>
      <c r="E476" s="4">
        <v>23043</v>
      </c>
      <c r="F476" s="4">
        <v>2002</v>
      </c>
      <c r="G476" s="4"/>
      <c r="H476" s="4"/>
    </row>
    <row r="477" spans="1:8" x14ac:dyDescent="0.35">
      <c r="A477" s="4" t="s">
        <v>1399</v>
      </c>
      <c r="B477" s="4" t="s">
        <v>1400</v>
      </c>
      <c r="C477" s="4" t="s">
        <v>178</v>
      </c>
      <c r="D477" s="4">
        <v>4.8</v>
      </c>
      <c r="E477" s="4">
        <v>23019</v>
      </c>
      <c r="F477" s="4">
        <v>2007</v>
      </c>
      <c r="G477" s="4"/>
      <c r="H477" s="4"/>
    </row>
    <row r="478" spans="1:8" x14ac:dyDescent="0.35">
      <c r="A478" s="4" t="s">
        <v>123</v>
      </c>
      <c r="B478" s="4" t="s">
        <v>124</v>
      </c>
      <c r="C478" s="4" t="s">
        <v>125</v>
      </c>
      <c r="D478" s="4">
        <v>2.2000000000000002</v>
      </c>
      <c r="E478" s="4">
        <v>22954</v>
      </c>
      <c r="F478" s="4">
        <v>2019</v>
      </c>
      <c r="G478" s="4"/>
      <c r="H478" s="4"/>
    </row>
    <row r="479" spans="1:8" x14ac:dyDescent="0.35">
      <c r="A479" s="4" t="s">
        <v>297</v>
      </c>
      <c r="B479" s="4" t="s">
        <v>298</v>
      </c>
      <c r="C479" s="4" t="s">
        <v>299</v>
      </c>
      <c r="D479" s="4">
        <v>3.2</v>
      </c>
      <c r="E479" s="4">
        <v>22908</v>
      </c>
      <c r="F479" s="4">
        <v>2013</v>
      </c>
      <c r="G479" s="4"/>
      <c r="H479" s="4"/>
    </row>
    <row r="480" spans="1:8" x14ac:dyDescent="0.35">
      <c r="A480" s="4" t="s">
        <v>773</v>
      </c>
      <c r="B480" s="4" t="s">
        <v>774</v>
      </c>
      <c r="C480" s="4" t="s">
        <v>44</v>
      </c>
      <c r="D480" s="4">
        <v>4.3</v>
      </c>
      <c r="E480" s="4">
        <v>22904</v>
      </c>
      <c r="F480" s="4">
        <v>2007</v>
      </c>
      <c r="G480" s="4"/>
      <c r="H480" s="4"/>
    </row>
    <row r="481" spans="1:8" x14ac:dyDescent="0.35">
      <c r="A481" s="4" t="s">
        <v>1955</v>
      </c>
      <c r="B481" s="4" t="s">
        <v>1956</v>
      </c>
      <c r="C481" s="4" t="s">
        <v>93</v>
      </c>
      <c r="D481" s="4">
        <v>5.0999999999999996</v>
      </c>
      <c r="E481" s="4">
        <v>22895</v>
      </c>
      <c r="F481" s="4">
        <v>2023</v>
      </c>
      <c r="G481" s="4"/>
      <c r="H481" s="4"/>
    </row>
    <row r="482" spans="1:8" x14ac:dyDescent="0.35">
      <c r="A482" s="4" t="s">
        <v>600</v>
      </c>
      <c r="B482" s="4" t="s">
        <v>601</v>
      </c>
      <c r="C482" s="4" t="s">
        <v>455</v>
      </c>
      <c r="D482" s="4">
        <v>4</v>
      </c>
      <c r="E482" s="4">
        <v>22857</v>
      </c>
      <c r="F482" s="4">
        <v>2006</v>
      </c>
      <c r="G482" s="4"/>
      <c r="H482" s="4"/>
    </row>
    <row r="483" spans="1:8" x14ac:dyDescent="0.35">
      <c r="A483" s="4" t="s">
        <v>1401</v>
      </c>
      <c r="B483" s="4" t="s">
        <v>1402</v>
      </c>
      <c r="C483" s="4" t="s">
        <v>1403</v>
      </c>
      <c r="D483" s="4">
        <v>4.8</v>
      </c>
      <c r="E483" s="4">
        <v>22810</v>
      </c>
      <c r="F483" s="4">
        <v>2009</v>
      </c>
      <c r="G483" s="4"/>
      <c r="H483" s="4"/>
    </row>
    <row r="484" spans="1:8" x14ac:dyDescent="0.35">
      <c r="A484" s="4" t="s">
        <v>1957</v>
      </c>
      <c r="B484" s="4" t="s">
        <v>1958</v>
      </c>
      <c r="C484" s="4" t="s">
        <v>275</v>
      </c>
      <c r="D484" s="4">
        <v>5.0999999999999996</v>
      </c>
      <c r="E484" s="4">
        <v>22787</v>
      </c>
      <c r="F484" s="4">
        <v>2018</v>
      </c>
      <c r="G484" s="4"/>
      <c r="H484" s="4"/>
    </row>
    <row r="485" spans="1:8" x14ac:dyDescent="0.35">
      <c r="A485" s="4" t="s">
        <v>1078</v>
      </c>
      <c r="B485" s="4" t="s">
        <v>1079</v>
      </c>
      <c r="C485" s="4" t="s">
        <v>338</v>
      </c>
      <c r="D485" s="4">
        <v>4.5999999999999996</v>
      </c>
      <c r="E485" s="4">
        <v>22517</v>
      </c>
      <c r="F485" s="4">
        <v>1996</v>
      </c>
      <c r="G485" s="4"/>
      <c r="H485" s="4"/>
    </row>
    <row r="486" spans="1:8" x14ac:dyDescent="0.35">
      <c r="A486" s="4" t="s">
        <v>1757</v>
      </c>
      <c r="B486" s="4" t="s">
        <v>1758</v>
      </c>
      <c r="C486" s="4" t="s">
        <v>116</v>
      </c>
      <c r="D486" s="4">
        <v>5</v>
      </c>
      <c r="E486" s="4">
        <v>22425</v>
      </c>
      <c r="F486" s="4">
        <v>2009</v>
      </c>
      <c r="G486" s="4"/>
      <c r="H486" s="4"/>
    </row>
    <row r="487" spans="1:8" x14ac:dyDescent="0.35">
      <c r="A487" s="4" t="s">
        <v>974</v>
      </c>
      <c r="B487" s="4" t="s">
        <v>975</v>
      </c>
      <c r="C487" s="4" t="s">
        <v>976</v>
      </c>
      <c r="D487" s="4">
        <v>4.5</v>
      </c>
      <c r="E487" s="4">
        <v>22416</v>
      </c>
      <c r="F487" s="4">
        <v>1994</v>
      </c>
      <c r="G487" s="4"/>
      <c r="H487" s="4"/>
    </row>
    <row r="488" spans="1:8" x14ac:dyDescent="0.35">
      <c r="A488" s="4" t="s">
        <v>775</v>
      </c>
      <c r="B488" s="4" t="s">
        <v>776</v>
      </c>
      <c r="C488" s="4" t="s">
        <v>777</v>
      </c>
      <c r="D488" s="4">
        <v>4.3</v>
      </c>
      <c r="E488" s="4">
        <v>22352</v>
      </c>
      <c r="F488" s="4">
        <v>2002</v>
      </c>
      <c r="G488" s="4"/>
      <c r="H488" s="4"/>
    </row>
    <row r="489" spans="1:8" x14ac:dyDescent="0.35">
      <c r="A489" s="4" t="s">
        <v>650</v>
      </c>
      <c r="B489" s="4" t="s">
        <v>651</v>
      </c>
      <c r="C489" s="4" t="s">
        <v>565</v>
      </c>
      <c r="D489" s="4">
        <v>4.0999999999999996</v>
      </c>
      <c r="E489" s="4">
        <v>22267</v>
      </c>
      <c r="F489" s="4">
        <v>2019</v>
      </c>
      <c r="G489" s="4"/>
      <c r="H489" s="4"/>
    </row>
    <row r="490" spans="1:8" x14ac:dyDescent="0.35">
      <c r="A490" s="4" t="s">
        <v>652</v>
      </c>
      <c r="B490" s="4" t="s">
        <v>653</v>
      </c>
      <c r="C490" s="4" t="s">
        <v>654</v>
      </c>
      <c r="D490" s="4">
        <v>4.0999999999999996</v>
      </c>
      <c r="E490" s="4">
        <v>22226</v>
      </c>
      <c r="F490" s="4">
        <v>2018</v>
      </c>
      <c r="G490" s="4"/>
      <c r="H490" s="4"/>
    </row>
    <row r="491" spans="1:8" x14ac:dyDescent="0.35">
      <c r="A491" s="4" t="s">
        <v>1404</v>
      </c>
      <c r="B491" s="4" t="s">
        <v>1405</v>
      </c>
      <c r="C491" s="4" t="s">
        <v>143</v>
      </c>
      <c r="D491" s="4">
        <v>4.8</v>
      </c>
      <c r="E491" s="4">
        <v>22108</v>
      </c>
      <c r="F491" s="4">
        <v>2016</v>
      </c>
      <c r="G491" s="4"/>
      <c r="H491" s="4"/>
    </row>
    <row r="492" spans="1:8" x14ac:dyDescent="0.35">
      <c r="A492" s="4" t="s">
        <v>555</v>
      </c>
      <c r="B492" s="4" t="s">
        <v>556</v>
      </c>
      <c r="C492" s="4" t="s">
        <v>557</v>
      </c>
      <c r="D492" s="4">
        <v>3.9</v>
      </c>
      <c r="E492" s="4">
        <v>22055</v>
      </c>
      <c r="F492" s="4">
        <v>2017</v>
      </c>
      <c r="G492" s="4"/>
      <c r="H492" s="4"/>
    </row>
    <row r="493" spans="1:8" x14ac:dyDescent="0.35">
      <c r="A493" s="4" t="s">
        <v>977</v>
      </c>
      <c r="B493" s="4" t="s">
        <v>978</v>
      </c>
      <c r="C493" s="4" t="s">
        <v>155</v>
      </c>
      <c r="D493" s="4">
        <v>4.5</v>
      </c>
      <c r="E493" s="4">
        <v>22037</v>
      </c>
      <c r="F493" s="4">
        <v>2008</v>
      </c>
      <c r="G493" s="4"/>
      <c r="H493" s="4"/>
    </row>
    <row r="494" spans="1:8" x14ac:dyDescent="0.35">
      <c r="A494" s="4" t="s">
        <v>1406</v>
      </c>
      <c r="B494" s="4" t="s">
        <v>1407</v>
      </c>
      <c r="C494" s="4" t="s">
        <v>175</v>
      </c>
      <c r="D494" s="4">
        <v>4.8</v>
      </c>
      <c r="E494" s="4">
        <v>21937</v>
      </c>
      <c r="F494" s="4">
        <v>2010</v>
      </c>
      <c r="G494" s="4"/>
      <c r="H494" s="4"/>
    </row>
    <row r="495" spans="1:8" x14ac:dyDescent="0.35">
      <c r="A495" s="4" t="s">
        <v>876</v>
      </c>
      <c r="B495" s="4" t="s">
        <v>877</v>
      </c>
      <c r="C495" s="4" t="s">
        <v>56</v>
      </c>
      <c r="D495" s="4">
        <v>4.4000000000000004</v>
      </c>
      <c r="E495" s="4">
        <v>21913</v>
      </c>
      <c r="F495" s="4">
        <v>2011</v>
      </c>
      <c r="G495" s="4"/>
      <c r="H495" s="4"/>
    </row>
    <row r="496" spans="1:8" x14ac:dyDescent="0.35">
      <c r="A496" s="4" t="s">
        <v>710</v>
      </c>
      <c r="B496" s="4" t="s">
        <v>711</v>
      </c>
      <c r="C496" s="4" t="s">
        <v>175</v>
      </c>
      <c r="D496" s="4">
        <v>4.2</v>
      </c>
      <c r="E496" s="4">
        <v>21872</v>
      </c>
      <c r="F496" s="4">
        <v>2015</v>
      </c>
      <c r="G496" s="4"/>
      <c r="H496" s="4"/>
    </row>
    <row r="497" spans="1:8" x14ac:dyDescent="0.35">
      <c r="A497" s="4" t="s">
        <v>778</v>
      </c>
      <c r="B497" s="4" t="s">
        <v>779</v>
      </c>
      <c r="C497" s="4" t="s">
        <v>11</v>
      </c>
      <c r="D497" s="4">
        <v>4.3</v>
      </c>
      <c r="E497" s="4">
        <v>21719</v>
      </c>
      <c r="F497" s="4">
        <v>2010</v>
      </c>
      <c r="G497" s="4"/>
      <c r="H497" s="4"/>
    </row>
    <row r="498" spans="1:8" x14ac:dyDescent="0.35">
      <c r="A498" s="4" t="s">
        <v>1080</v>
      </c>
      <c r="B498" s="4" t="s">
        <v>1081</v>
      </c>
      <c r="C498" s="4" t="s">
        <v>93</v>
      </c>
      <c r="D498" s="4">
        <v>4.5999999999999996</v>
      </c>
      <c r="E498" s="4">
        <v>21671</v>
      </c>
      <c r="F498" s="4">
        <v>2003</v>
      </c>
      <c r="G498" s="4"/>
      <c r="H498" s="4"/>
    </row>
    <row r="499" spans="1:8" x14ac:dyDescent="0.35">
      <c r="A499" s="4" t="s">
        <v>1959</v>
      </c>
      <c r="B499" s="4" t="s">
        <v>1960</v>
      </c>
      <c r="C499" s="4" t="s">
        <v>1778</v>
      </c>
      <c r="D499" s="4">
        <v>5.0999999999999996</v>
      </c>
      <c r="E499" s="4">
        <v>21613</v>
      </c>
      <c r="F499" s="4">
        <v>2012</v>
      </c>
      <c r="G499" s="4"/>
      <c r="H499" s="4"/>
    </row>
    <row r="500" spans="1:8" x14ac:dyDescent="0.35">
      <c r="A500" s="4" t="s">
        <v>1600</v>
      </c>
      <c r="B500" s="4" t="s">
        <v>1601</v>
      </c>
      <c r="C500" s="4" t="s">
        <v>951</v>
      </c>
      <c r="D500" s="4">
        <v>4.9000000000000004</v>
      </c>
      <c r="E500" s="4">
        <v>21611</v>
      </c>
      <c r="F500" s="4">
        <v>2021</v>
      </c>
      <c r="G500" s="4"/>
      <c r="H500" s="4"/>
    </row>
    <row r="501" spans="1:8" x14ac:dyDescent="0.35">
      <c r="A501" s="4" t="s">
        <v>1408</v>
      </c>
      <c r="B501" s="4" t="s">
        <v>1409</v>
      </c>
      <c r="C501" s="4" t="s">
        <v>208</v>
      </c>
      <c r="D501" s="4">
        <v>4.8</v>
      </c>
      <c r="E501" s="4">
        <v>21536</v>
      </c>
      <c r="F501" s="4">
        <v>2021</v>
      </c>
      <c r="G501" s="4"/>
      <c r="H501" s="4"/>
    </row>
    <row r="502" spans="1:8" x14ac:dyDescent="0.35">
      <c r="A502" s="4" t="s">
        <v>1082</v>
      </c>
      <c r="B502" s="4" t="s">
        <v>1083</v>
      </c>
      <c r="C502" s="4" t="s">
        <v>166</v>
      </c>
      <c r="D502" s="4">
        <v>4.5999999999999996</v>
      </c>
      <c r="E502" s="4">
        <v>21523</v>
      </c>
      <c r="F502" s="4">
        <v>2000</v>
      </c>
      <c r="G502" s="4"/>
      <c r="H502" s="4"/>
    </row>
    <row r="503" spans="1:8" x14ac:dyDescent="0.35">
      <c r="A503" s="4" t="s">
        <v>1961</v>
      </c>
      <c r="B503" s="4" t="s">
        <v>1962</v>
      </c>
      <c r="C503" s="4" t="s">
        <v>31</v>
      </c>
      <c r="D503" s="4">
        <v>5.0999999999999996</v>
      </c>
      <c r="E503" s="4">
        <v>21512</v>
      </c>
      <c r="F503" s="4">
        <v>2002</v>
      </c>
      <c r="G503" s="4"/>
      <c r="H503" s="4"/>
    </row>
    <row r="504" spans="1:8" x14ac:dyDescent="0.35">
      <c r="A504" s="4" t="s">
        <v>1759</v>
      </c>
      <c r="B504" s="4" t="s">
        <v>1760</v>
      </c>
      <c r="C504" s="4" t="s">
        <v>146</v>
      </c>
      <c r="D504" s="4">
        <v>5</v>
      </c>
      <c r="E504" s="4">
        <v>21455</v>
      </c>
      <c r="F504" s="4">
        <v>2012</v>
      </c>
      <c r="G504" s="4"/>
      <c r="H504" s="4"/>
    </row>
    <row r="505" spans="1:8" x14ac:dyDescent="0.35">
      <c r="A505" s="4" t="s">
        <v>1963</v>
      </c>
      <c r="B505" s="4" t="s">
        <v>1964</v>
      </c>
      <c r="C505" s="4" t="s">
        <v>175</v>
      </c>
      <c r="D505" s="4">
        <v>5.0999999999999996</v>
      </c>
      <c r="E505" s="4">
        <v>21420</v>
      </c>
      <c r="F505" s="4">
        <v>2014</v>
      </c>
      <c r="G505" s="4"/>
      <c r="H505" s="4"/>
    </row>
    <row r="506" spans="1:8" x14ac:dyDescent="0.35">
      <c r="A506" s="4" t="s">
        <v>780</v>
      </c>
      <c r="B506" s="4" t="s">
        <v>781</v>
      </c>
      <c r="C506" s="4" t="s">
        <v>217</v>
      </c>
      <c r="D506" s="4">
        <v>4.3</v>
      </c>
      <c r="E506" s="4">
        <v>21396</v>
      </c>
      <c r="F506" s="4">
        <v>2000</v>
      </c>
      <c r="G506" s="4"/>
      <c r="H506" s="4"/>
    </row>
    <row r="507" spans="1:8" x14ac:dyDescent="0.35">
      <c r="A507" s="4" t="s">
        <v>1761</v>
      </c>
      <c r="B507" s="4" t="s">
        <v>1762</v>
      </c>
      <c r="C507" s="4" t="s">
        <v>116</v>
      </c>
      <c r="D507" s="4">
        <v>5</v>
      </c>
      <c r="E507" s="4">
        <v>21350</v>
      </c>
      <c r="F507" s="4">
        <v>2011</v>
      </c>
      <c r="G507" s="4"/>
      <c r="H507" s="4"/>
    </row>
    <row r="508" spans="1:8" x14ac:dyDescent="0.35">
      <c r="A508" s="4" t="s">
        <v>460</v>
      </c>
      <c r="B508" s="4" t="s">
        <v>461</v>
      </c>
      <c r="C508" s="4" t="s">
        <v>462</v>
      </c>
      <c r="D508" s="4">
        <v>3.7</v>
      </c>
      <c r="E508" s="4">
        <v>21267</v>
      </c>
      <c r="F508" s="4">
        <v>2002</v>
      </c>
      <c r="G508" s="4"/>
      <c r="H508" s="4"/>
    </row>
    <row r="509" spans="1:8" x14ac:dyDescent="0.35">
      <c r="A509" s="4" t="s">
        <v>1244</v>
      </c>
      <c r="B509" s="4" t="s">
        <v>1245</v>
      </c>
      <c r="C509" s="4" t="s">
        <v>565</v>
      </c>
      <c r="D509" s="4">
        <v>4.7</v>
      </c>
      <c r="E509" s="4">
        <v>21253</v>
      </c>
      <c r="F509" s="4">
        <v>2020</v>
      </c>
      <c r="G509" s="4"/>
      <c r="H509" s="4"/>
    </row>
    <row r="510" spans="1:8" x14ac:dyDescent="0.35">
      <c r="A510" s="4" t="s">
        <v>1246</v>
      </c>
      <c r="B510" s="4" t="s">
        <v>1247</v>
      </c>
      <c r="C510" s="4" t="s">
        <v>82</v>
      </c>
      <c r="D510" s="4">
        <v>4.7</v>
      </c>
      <c r="E510" s="4">
        <v>21211</v>
      </c>
      <c r="F510" s="4">
        <v>1988</v>
      </c>
      <c r="G510" s="4"/>
      <c r="H510" s="4"/>
    </row>
    <row r="511" spans="1:8" x14ac:dyDescent="0.35">
      <c r="A511" s="4" t="s">
        <v>878</v>
      </c>
      <c r="B511" s="4" t="s">
        <v>879</v>
      </c>
      <c r="C511" s="4" t="s">
        <v>736</v>
      </c>
      <c r="D511" s="4">
        <v>4.4000000000000004</v>
      </c>
      <c r="E511" s="4">
        <v>21193</v>
      </c>
      <c r="F511" s="4">
        <v>2019</v>
      </c>
      <c r="G511" s="4"/>
      <c r="H511" s="4"/>
    </row>
    <row r="512" spans="1:8" x14ac:dyDescent="0.35">
      <c r="A512" s="4" t="s">
        <v>1763</v>
      </c>
      <c r="B512" s="4" t="s">
        <v>1764</v>
      </c>
      <c r="C512" s="4" t="s">
        <v>646</v>
      </c>
      <c r="D512" s="4">
        <v>5</v>
      </c>
      <c r="E512" s="4">
        <v>21173</v>
      </c>
      <c r="F512" s="4">
        <v>1998</v>
      </c>
      <c r="G512" s="4"/>
      <c r="H512" s="4"/>
    </row>
    <row r="513" spans="1:8" x14ac:dyDescent="0.35">
      <c r="A513" s="4" t="s">
        <v>1602</v>
      </c>
      <c r="B513" s="4" t="s">
        <v>1603</v>
      </c>
      <c r="C513" s="4" t="s">
        <v>1422</v>
      </c>
      <c r="D513" s="4">
        <v>4.9000000000000004</v>
      </c>
      <c r="E513" s="4">
        <v>21157</v>
      </c>
      <c r="F513" s="4">
        <v>2022</v>
      </c>
      <c r="G513" s="4"/>
      <c r="H513" s="4"/>
    </row>
    <row r="514" spans="1:8" x14ac:dyDescent="0.35">
      <c r="A514" s="4" t="s">
        <v>1604</v>
      </c>
      <c r="B514" s="4" t="s">
        <v>1605</v>
      </c>
      <c r="C514" s="4" t="s">
        <v>232</v>
      </c>
      <c r="D514" s="4">
        <v>4.9000000000000004</v>
      </c>
      <c r="E514" s="4">
        <v>21128</v>
      </c>
      <c r="F514" s="4">
        <v>2008</v>
      </c>
      <c r="G514" s="4"/>
      <c r="H514" s="4"/>
    </row>
    <row r="515" spans="1:8" x14ac:dyDescent="0.35">
      <c r="A515" s="4" t="s">
        <v>1765</v>
      </c>
      <c r="B515" s="4" t="s">
        <v>1766</v>
      </c>
      <c r="C515" s="4" t="s">
        <v>26</v>
      </c>
      <c r="D515" s="4">
        <v>5</v>
      </c>
      <c r="E515" s="4">
        <v>21086</v>
      </c>
      <c r="F515" s="4">
        <v>2014</v>
      </c>
      <c r="G515" s="4"/>
      <c r="H515" s="4"/>
    </row>
    <row r="516" spans="1:8" x14ac:dyDescent="0.35">
      <c r="A516" s="4" t="s">
        <v>1965</v>
      </c>
      <c r="B516" s="4" t="s">
        <v>1966</v>
      </c>
      <c r="C516" s="4" t="s">
        <v>1967</v>
      </c>
      <c r="D516" s="4">
        <v>5.0999999999999996</v>
      </c>
      <c r="E516" s="4">
        <v>21067</v>
      </c>
      <c r="F516" s="4">
        <v>2009</v>
      </c>
      <c r="G516" s="4"/>
      <c r="H516" s="4"/>
    </row>
    <row r="517" spans="1:8" x14ac:dyDescent="0.35">
      <c r="A517" s="4" t="s">
        <v>1410</v>
      </c>
      <c r="B517" s="4" t="s">
        <v>1411</v>
      </c>
      <c r="C517" s="4" t="s">
        <v>211</v>
      </c>
      <c r="D517" s="4">
        <v>4.8</v>
      </c>
      <c r="E517" s="4">
        <v>21038</v>
      </c>
      <c r="F517" s="4">
        <v>2014</v>
      </c>
      <c r="G517" s="4"/>
      <c r="H517" s="4"/>
    </row>
    <row r="518" spans="1:8" x14ac:dyDescent="0.35">
      <c r="A518" s="4" t="s">
        <v>602</v>
      </c>
      <c r="B518" s="4" t="s">
        <v>603</v>
      </c>
      <c r="C518" s="4" t="s">
        <v>178</v>
      </c>
      <c r="D518" s="4">
        <v>4</v>
      </c>
      <c r="E518" s="4">
        <v>20873</v>
      </c>
      <c r="F518" s="4">
        <v>2014</v>
      </c>
      <c r="G518" s="4"/>
      <c r="H518" s="4"/>
    </row>
    <row r="519" spans="1:8" x14ac:dyDescent="0.35">
      <c r="A519" s="4" t="s">
        <v>1084</v>
      </c>
      <c r="B519" s="4" t="s">
        <v>1085</v>
      </c>
      <c r="C519" s="4" t="s">
        <v>166</v>
      </c>
      <c r="D519" s="4">
        <v>4.5999999999999996</v>
      </c>
      <c r="E519" s="4">
        <v>20856</v>
      </c>
      <c r="F519" s="4">
        <v>2016</v>
      </c>
      <c r="G519" s="4"/>
      <c r="H519" s="4"/>
    </row>
    <row r="520" spans="1:8" x14ac:dyDescent="0.35">
      <c r="A520" s="4" t="s">
        <v>655</v>
      </c>
      <c r="B520" s="4" t="s">
        <v>656</v>
      </c>
      <c r="C520" s="4" t="s">
        <v>82</v>
      </c>
      <c r="D520" s="4">
        <v>4.0999999999999996</v>
      </c>
      <c r="E520" s="4">
        <v>20797</v>
      </c>
      <c r="F520" s="4">
        <v>2012</v>
      </c>
      <c r="G520" s="4"/>
      <c r="H520" s="4"/>
    </row>
    <row r="521" spans="1:8" x14ac:dyDescent="0.35">
      <c r="A521" s="4" t="s">
        <v>415</v>
      </c>
      <c r="B521" s="4" t="s">
        <v>416</v>
      </c>
      <c r="C521" s="4" t="s">
        <v>193</v>
      </c>
      <c r="D521" s="4">
        <v>3.6</v>
      </c>
      <c r="E521" s="4">
        <v>20763</v>
      </c>
      <c r="F521" s="4">
        <v>2021</v>
      </c>
      <c r="G521" s="4"/>
      <c r="H521" s="4"/>
    </row>
    <row r="522" spans="1:8" x14ac:dyDescent="0.35">
      <c r="A522" s="4" t="s">
        <v>712</v>
      </c>
      <c r="B522" s="4" t="s">
        <v>713</v>
      </c>
      <c r="C522" s="4" t="s">
        <v>122</v>
      </c>
      <c r="D522" s="4">
        <v>4.2</v>
      </c>
      <c r="E522" s="4">
        <v>20755</v>
      </c>
      <c r="F522" s="4">
        <v>2005</v>
      </c>
      <c r="G522" s="4"/>
      <c r="H522" s="4"/>
    </row>
    <row r="523" spans="1:8" x14ac:dyDescent="0.35">
      <c r="A523" s="4" t="s">
        <v>558</v>
      </c>
      <c r="B523" s="4" t="s">
        <v>559</v>
      </c>
      <c r="C523" s="4" t="s">
        <v>560</v>
      </c>
      <c r="D523" s="4">
        <v>3.9</v>
      </c>
      <c r="E523" s="4">
        <v>20749</v>
      </c>
      <c r="F523" s="4">
        <v>2011</v>
      </c>
      <c r="G523" s="4"/>
      <c r="H523" s="4"/>
    </row>
    <row r="524" spans="1:8" x14ac:dyDescent="0.35">
      <c r="A524" s="4" t="s">
        <v>1248</v>
      </c>
      <c r="B524" s="4" t="s">
        <v>1249</v>
      </c>
      <c r="C524" s="4" t="s">
        <v>211</v>
      </c>
      <c r="D524" s="4">
        <v>4.7</v>
      </c>
      <c r="E524" s="4">
        <v>20720</v>
      </c>
      <c r="F524" s="4">
        <v>2012</v>
      </c>
      <c r="G524" s="4"/>
      <c r="H524" s="4"/>
    </row>
    <row r="525" spans="1:8" x14ac:dyDescent="0.35">
      <c r="A525" s="4" t="s">
        <v>32</v>
      </c>
      <c r="B525" s="4" t="s">
        <v>33</v>
      </c>
      <c r="C525" s="4" t="s">
        <v>34</v>
      </c>
      <c r="D525" s="4">
        <v>1.2</v>
      </c>
      <c r="E525" s="4">
        <v>20687</v>
      </c>
      <c r="F525" s="4">
        <v>2021</v>
      </c>
      <c r="G525" s="4"/>
      <c r="H525" s="4"/>
    </row>
    <row r="526" spans="1:8" x14ac:dyDescent="0.35">
      <c r="A526" s="4" t="s">
        <v>271</v>
      </c>
      <c r="B526" s="4" t="s">
        <v>272</v>
      </c>
      <c r="C526" s="4" t="s">
        <v>146</v>
      </c>
      <c r="D526" s="4">
        <v>3</v>
      </c>
      <c r="E526" s="4">
        <v>20580</v>
      </c>
      <c r="F526" s="4">
        <v>2019</v>
      </c>
      <c r="G526" s="4"/>
      <c r="H526" s="4"/>
    </row>
    <row r="527" spans="1:8" x14ac:dyDescent="0.35">
      <c r="A527" s="4" t="s">
        <v>209</v>
      </c>
      <c r="B527" s="4" t="s">
        <v>210</v>
      </c>
      <c r="C527" s="4" t="s">
        <v>211</v>
      </c>
      <c r="D527" s="4">
        <v>2.7</v>
      </c>
      <c r="E527" s="4">
        <v>20548</v>
      </c>
      <c r="F527" s="4">
        <v>2015</v>
      </c>
      <c r="G527" s="4"/>
      <c r="H527" s="4"/>
    </row>
    <row r="528" spans="1:8" x14ac:dyDescent="0.35">
      <c r="A528" s="4" t="s">
        <v>1606</v>
      </c>
      <c r="B528" s="4" t="s">
        <v>1607</v>
      </c>
      <c r="C528" s="4" t="s">
        <v>175</v>
      </c>
      <c r="D528" s="4">
        <v>4.9000000000000004</v>
      </c>
      <c r="E528" s="4">
        <v>20483</v>
      </c>
      <c r="F528" s="4">
        <v>2021</v>
      </c>
      <c r="G528" s="4"/>
      <c r="H528" s="4"/>
    </row>
    <row r="529" spans="1:8" x14ac:dyDescent="0.35">
      <c r="A529" s="4" t="s">
        <v>1250</v>
      </c>
      <c r="B529" s="4" t="s">
        <v>1251</v>
      </c>
      <c r="C529" s="4" t="s">
        <v>128</v>
      </c>
      <c r="D529" s="4">
        <v>4.7</v>
      </c>
      <c r="E529" s="4">
        <v>20420</v>
      </c>
      <c r="F529" s="4">
        <v>2000</v>
      </c>
      <c r="G529" s="4"/>
      <c r="H529" s="4"/>
    </row>
    <row r="530" spans="1:8" x14ac:dyDescent="0.35">
      <c r="A530" s="4" t="s">
        <v>880</v>
      </c>
      <c r="B530" s="4" t="s">
        <v>881</v>
      </c>
      <c r="C530" s="4" t="s">
        <v>140</v>
      </c>
      <c r="D530" s="4">
        <v>4.4000000000000004</v>
      </c>
      <c r="E530" s="4">
        <v>20411</v>
      </c>
      <c r="F530" s="4">
        <v>2006</v>
      </c>
      <c r="G530" s="4"/>
      <c r="H530" s="4"/>
    </row>
    <row r="531" spans="1:8" x14ac:dyDescent="0.35">
      <c r="A531" s="4" t="s">
        <v>1086</v>
      </c>
      <c r="B531" s="4" t="s">
        <v>1087</v>
      </c>
      <c r="C531" s="4" t="s">
        <v>508</v>
      </c>
      <c r="D531" s="4">
        <v>4.5999999999999996</v>
      </c>
      <c r="E531" s="4">
        <v>20398</v>
      </c>
      <c r="F531" s="4">
        <v>2016</v>
      </c>
      <c r="G531" s="4"/>
      <c r="H531" s="4"/>
    </row>
    <row r="532" spans="1:8" x14ac:dyDescent="0.35">
      <c r="A532" s="4" t="s">
        <v>1412</v>
      </c>
      <c r="B532" s="4" t="s">
        <v>1413</v>
      </c>
      <c r="C532" s="4" t="s">
        <v>146</v>
      </c>
      <c r="D532" s="4">
        <v>4.8</v>
      </c>
      <c r="E532" s="4">
        <v>20256</v>
      </c>
      <c r="F532" s="4">
        <v>2012</v>
      </c>
      <c r="G532" s="4"/>
      <c r="H532" s="4"/>
    </row>
    <row r="533" spans="1:8" x14ac:dyDescent="0.35">
      <c r="A533" s="4" t="s">
        <v>255</v>
      </c>
      <c r="B533" s="4" t="s">
        <v>256</v>
      </c>
      <c r="C533" s="4" t="s">
        <v>155</v>
      </c>
      <c r="D533" s="4">
        <v>2.9</v>
      </c>
      <c r="E533" s="4">
        <v>20235</v>
      </c>
      <c r="F533" s="4">
        <v>2020</v>
      </c>
      <c r="G533" s="4"/>
      <c r="H533" s="4"/>
    </row>
    <row r="534" spans="1:8" x14ac:dyDescent="0.35">
      <c r="A534" s="4" t="s">
        <v>1968</v>
      </c>
      <c r="B534" s="4" t="s">
        <v>1969</v>
      </c>
      <c r="C534" s="4" t="s">
        <v>44</v>
      </c>
      <c r="D534" s="4">
        <v>5.0999999999999996</v>
      </c>
      <c r="E534" s="4">
        <v>20183</v>
      </c>
      <c r="F534" s="4">
        <v>1993</v>
      </c>
      <c r="G534" s="4"/>
      <c r="H534" s="4"/>
    </row>
    <row r="535" spans="1:8" x14ac:dyDescent="0.35">
      <c r="A535" s="4" t="s">
        <v>1608</v>
      </c>
      <c r="B535" s="4" t="s">
        <v>1609</v>
      </c>
      <c r="C535" s="4" t="s">
        <v>181</v>
      </c>
      <c r="D535" s="4">
        <v>4.9000000000000004</v>
      </c>
      <c r="E535" s="4">
        <v>20168</v>
      </c>
      <c r="F535" s="4">
        <v>2011</v>
      </c>
      <c r="G535" s="4"/>
      <c r="H535" s="4"/>
    </row>
    <row r="536" spans="1:8" x14ac:dyDescent="0.35">
      <c r="A536" s="4" t="s">
        <v>714</v>
      </c>
      <c r="B536" s="4" t="s">
        <v>715</v>
      </c>
      <c r="C536" s="4" t="s">
        <v>82</v>
      </c>
      <c r="D536" s="4">
        <v>4.2</v>
      </c>
      <c r="E536" s="4">
        <v>20153</v>
      </c>
      <c r="F536" s="4">
        <v>2014</v>
      </c>
      <c r="G536" s="4"/>
      <c r="H536" s="4"/>
    </row>
    <row r="537" spans="1:8" x14ac:dyDescent="0.35">
      <c r="A537" s="4" t="s">
        <v>782</v>
      </c>
      <c r="B537" s="4" t="s">
        <v>783</v>
      </c>
      <c r="C537" s="4" t="s">
        <v>784</v>
      </c>
      <c r="D537" s="4">
        <v>4.3</v>
      </c>
      <c r="E537" s="4">
        <v>20092</v>
      </c>
      <c r="F537" s="4">
        <v>2019</v>
      </c>
      <c r="G537" s="4"/>
      <c r="H537" s="4"/>
    </row>
    <row r="538" spans="1:8" x14ac:dyDescent="0.35">
      <c r="A538" s="4" t="s">
        <v>1767</v>
      </c>
      <c r="B538" s="4" t="s">
        <v>1768</v>
      </c>
      <c r="C538" s="4" t="s">
        <v>82</v>
      </c>
      <c r="D538" s="4">
        <v>5</v>
      </c>
      <c r="E538" s="4">
        <v>20034</v>
      </c>
      <c r="F538" s="4">
        <v>1990</v>
      </c>
      <c r="G538" s="4"/>
      <c r="H538" s="4"/>
    </row>
    <row r="539" spans="1:8" x14ac:dyDescent="0.35">
      <c r="A539" s="4" t="s">
        <v>1088</v>
      </c>
      <c r="B539" s="4" t="s">
        <v>1089</v>
      </c>
      <c r="C539" s="4" t="s">
        <v>175</v>
      </c>
      <c r="D539" s="4">
        <v>4.5999999999999996</v>
      </c>
      <c r="E539" s="4">
        <v>19971</v>
      </c>
      <c r="F539" s="4">
        <v>2009</v>
      </c>
      <c r="G539" s="4"/>
      <c r="H539" s="4"/>
    </row>
    <row r="540" spans="1:8" x14ac:dyDescent="0.35">
      <c r="A540" s="4" t="s">
        <v>327</v>
      </c>
      <c r="B540" s="4" t="s">
        <v>328</v>
      </c>
      <c r="C540" s="4" t="s">
        <v>152</v>
      </c>
      <c r="D540" s="4">
        <v>3.3</v>
      </c>
      <c r="E540" s="4">
        <v>19892</v>
      </c>
      <c r="F540" s="4">
        <v>1970</v>
      </c>
      <c r="G540" s="4"/>
      <c r="H540" s="4"/>
    </row>
    <row r="541" spans="1:8" x14ac:dyDescent="0.35">
      <c r="A541" s="4" t="s">
        <v>1252</v>
      </c>
      <c r="B541" s="4" t="s">
        <v>1253</v>
      </c>
      <c r="C541" s="4" t="s">
        <v>1254</v>
      </c>
      <c r="D541" s="4">
        <v>4.7</v>
      </c>
      <c r="E541" s="4">
        <v>19875</v>
      </c>
      <c r="F541" s="4">
        <v>2019</v>
      </c>
      <c r="G541" s="4"/>
      <c r="H541" s="4"/>
    </row>
    <row r="542" spans="1:8" x14ac:dyDescent="0.35">
      <c r="A542" s="4" t="s">
        <v>1970</v>
      </c>
      <c r="B542" s="4" t="s">
        <v>1971</v>
      </c>
      <c r="C542" s="4" t="s">
        <v>762</v>
      </c>
      <c r="D542" s="4">
        <v>5.0999999999999996</v>
      </c>
      <c r="E542" s="4">
        <v>19856</v>
      </c>
      <c r="F542" s="4">
        <v>1995</v>
      </c>
      <c r="G542" s="4"/>
      <c r="H542" s="4"/>
    </row>
    <row r="543" spans="1:8" x14ac:dyDescent="0.35">
      <c r="A543" s="4" t="s">
        <v>1414</v>
      </c>
      <c r="B543" s="4" t="s">
        <v>1415</v>
      </c>
      <c r="C543" s="4" t="s">
        <v>474</v>
      </c>
      <c r="D543" s="4">
        <v>4.8</v>
      </c>
      <c r="E543" s="4">
        <v>19765</v>
      </c>
      <c r="F543" s="4">
        <v>2000</v>
      </c>
      <c r="G543" s="4"/>
      <c r="H543" s="4"/>
    </row>
    <row r="544" spans="1:8" x14ac:dyDescent="0.35">
      <c r="A544" s="4" t="s">
        <v>1972</v>
      </c>
      <c r="B544" s="4" t="s">
        <v>1973</v>
      </c>
      <c r="C544" s="4" t="s">
        <v>294</v>
      </c>
      <c r="D544" s="4">
        <v>5.0999999999999996</v>
      </c>
      <c r="E544" s="4">
        <v>19659</v>
      </c>
      <c r="F544" s="4">
        <v>2014</v>
      </c>
      <c r="G544" s="4"/>
      <c r="H544" s="4"/>
    </row>
    <row r="545" spans="1:8" x14ac:dyDescent="0.35">
      <c r="A545" s="4" t="s">
        <v>292</v>
      </c>
      <c r="B545" s="4" t="s">
        <v>293</v>
      </c>
      <c r="C545" s="4" t="s">
        <v>294</v>
      </c>
      <c r="D545" s="4">
        <v>3.1</v>
      </c>
      <c r="E545" s="4">
        <v>19617</v>
      </c>
      <c r="F545" s="4">
        <v>2020</v>
      </c>
      <c r="G545" s="4"/>
      <c r="H545" s="4"/>
    </row>
    <row r="546" spans="1:8" x14ac:dyDescent="0.35">
      <c r="A546" s="4" t="s">
        <v>379</v>
      </c>
      <c r="B546" s="4" t="s">
        <v>380</v>
      </c>
      <c r="C546" s="4" t="s">
        <v>175</v>
      </c>
      <c r="D546" s="4">
        <v>3.5</v>
      </c>
      <c r="E546" s="4">
        <v>19518</v>
      </c>
      <c r="F546" s="4">
        <v>2019</v>
      </c>
      <c r="G546" s="4"/>
      <c r="H546" s="4"/>
    </row>
    <row r="547" spans="1:8" x14ac:dyDescent="0.35">
      <c r="A547" s="4" t="s">
        <v>1255</v>
      </c>
      <c r="B547" s="4" t="s">
        <v>1256</v>
      </c>
      <c r="C547" s="4" t="s">
        <v>82</v>
      </c>
      <c r="D547" s="4">
        <v>4.7</v>
      </c>
      <c r="E547" s="4">
        <v>19462</v>
      </c>
      <c r="F547" s="4">
        <v>2015</v>
      </c>
      <c r="G547" s="4"/>
      <c r="H547" s="4"/>
    </row>
    <row r="548" spans="1:8" x14ac:dyDescent="0.35">
      <c r="A548" s="4" t="s">
        <v>1416</v>
      </c>
      <c r="B548" s="4" t="s">
        <v>1417</v>
      </c>
      <c r="C548" s="4" t="s">
        <v>227</v>
      </c>
      <c r="D548" s="4">
        <v>4.8</v>
      </c>
      <c r="E548" s="4">
        <v>19460</v>
      </c>
      <c r="F548" s="4">
        <v>2001</v>
      </c>
      <c r="G548" s="4"/>
      <c r="H548" s="4"/>
    </row>
    <row r="549" spans="1:8" x14ac:dyDescent="0.35">
      <c r="A549" s="4" t="s">
        <v>1974</v>
      </c>
      <c r="B549" s="4" t="s">
        <v>1975</v>
      </c>
      <c r="C549" s="4" t="s">
        <v>568</v>
      </c>
      <c r="D549" s="4">
        <v>5.0999999999999996</v>
      </c>
      <c r="E549" s="4">
        <v>19398</v>
      </c>
      <c r="F549" s="4">
        <v>1997</v>
      </c>
      <c r="G549" s="4"/>
      <c r="H549" s="4"/>
    </row>
    <row r="550" spans="1:8" x14ac:dyDescent="0.35">
      <c r="A550" s="4" t="s">
        <v>979</v>
      </c>
      <c r="B550" s="4" t="s">
        <v>980</v>
      </c>
      <c r="C550" s="4" t="s">
        <v>682</v>
      </c>
      <c r="D550" s="4">
        <v>4.5</v>
      </c>
      <c r="E550" s="4">
        <v>19385</v>
      </c>
      <c r="F550" s="4">
        <v>2023</v>
      </c>
      <c r="G550" s="4"/>
      <c r="H550" s="4"/>
    </row>
    <row r="551" spans="1:8" x14ac:dyDescent="0.35">
      <c r="A551" s="4" t="s">
        <v>1976</v>
      </c>
      <c r="B551" s="4" t="s">
        <v>1977</v>
      </c>
      <c r="C551" s="4" t="s">
        <v>82</v>
      </c>
      <c r="D551" s="4">
        <v>5.0999999999999996</v>
      </c>
      <c r="E551" s="4">
        <v>19367</v>
      </c>
      <c r="F551" s="4">
        <v>2024</v>
      </c>
      <c r="G551" s="4"/>
      <c r="H551" s="4"/>
    </row>
    <row r="552" spans="1:8" x14ac:dyDescent="0.35">
      <c r="A552" s="4" t="s">
        <v>1090</v>
      </c>
      <c r="B552" s="4" t="s">
        <v>1091</v>
      </c>
      <c r="C552" s="4" t="s">
        <v>294</v>
      </c>
      <c r="D552" s="4">
        <v>4.5999999999999996</v>
      </c>
      <c r="E552" s="4">
        <v>19331</v>
      </c>
      <c r="F552" s="4">
        <v>2014</v>
      </c>
      <c r="G552" s="4"/>
      <c r="H552" s="4"/>
    </row>
    <row r="553" spans="1:8" x14ac:dyDescent="0.35">
      <c r="A553" s="4" t="s">
        <v>882</v>
      </c>
      <c r="B553" s="4" t="s">
        <v>883</v>
      </c>
      <c r="C553" s="4" t="s">
        <v>448</v>
      </c>
      <c r="D553" s="4">
        <v>4.4000000000000004</v>
      </c>
      <c r="E553" s="4">
        <v>19287</v>
      </c>
      <c r="F553" s="4">
        <v>2000</v>
      </c>
      <c r="G553" s="4"/>
      <c r="H553" s="4"/>
    </row>
    <row r="554" spans="1:8" x14ac:dyDescent="0.35">
      <c r="A554" s="4" t="s">
        <v>604</v>
      </c>
      <c r="B554" s="4" t="s">
        <v>605</v>
      </c>
      <c r="C554" s="4" t="s">
        <v>606</v>
      </c>
      <c r="D554" s="4">
        <v>4</v>
      </c>
      <c r="E554" s="4">
        <v>19213</v>
      </c>
      <c r="F554" s="4">
        <v>2020</v>
      </c>
      <c r="G554" s="4"/>
      <c r="H554" s="4"/>
    </row>
    <row r="555" spans="1:8" x14ac:dyDescent="0.35">
      <c r="A555" s="4" t="s">
        <v>1092</v>
      </c>
      <c r="B555" s="4" t="s">
        <v>1093</v>
      </c>
      <c r="C555" s="4" t="s">
        <v>76</v>
      </c>
      <c r="D555" s="4">
        <v>4.5999999999999996</v>
      </c>
      <c r="E555" s="4">
        <v>19176</v>
      </c>
      <c r="F555" s="4">
        <v>2024</v>
      </c>
      <c r="G555" s="4"/>
      <c r="H555" s="4"/>
    </row>
    <row r="556" spans="1:8" x14ac:dyDescent="0.35">
      <c r="A556" s="4" t="s">
        <v>1978</v>
      </c>
      <c r="B556" s="4" t="s">
        <v>1979</v>
      </c>
      <c r="C556" s="4" t="s">
        <v>116</v>
      </c>
      <c r="D556" s="4">
        <v>5.0999999999999996</v>
      </c>
      <c r="E556" s="4">
        <v>19148</v>
      </c>
      <c r="F556" s="4">
        <v>1999</v>
      </c>
      <c r="G556" s="4"/>
      <c r="H556" s="4"/>
    </row>
    <row r="557" spans="1:8" x14ac:dyDescent="0.35">
      <c r="A557" s="4" t="s">
        <v>417</v>
      </c>
      <c r="B557" s="4" t="s">
        <v>418</v>
      </c>
      <c r="C557" s="4" t="s">
        <v>14</v>
      </c>
      <c r="D557" s="4">
        <v>3.6</v>
      </c>
      <c r="E557" s="4">
        <v>19147</v>
      </c>
      <c r="F557" s="4">
        <v>2020</v>
      </c>
      <c r="G557" s="4"/>
      <c r="H557" s="4"/>
    </row>
    <row r="558" spans="1:8" x14ac:dyDescent="0.35">
      <c r="A558" s="4" t="s">
        <v>657</v>
      </c>
      <c r="B558" s="4" t="s">
        <v>658</v>
      </c>
      <c r="C558" s="4" t="s">
        <v>137</v>
      </c>
      <c r="D558" s="4">
        <v>4.0999999999999996</v>
      </c>
      <c r="E558" s="4">
        <v>19131</v>
      </c>
      <c r="F558" s="4">
        <v>2008</v>
      </c>
      <c r="G558" s="4"/>
      <c r="H558" s="4"/>
    </row>
    <row r="559" spans="1:8" x14ac:dyDescent="0.35">
      <c r="A559" s="4" t="s">
        <v>126</v>
      </c>
      <c r="B559" s="4" t="s">
        <v>127</v>
      </c>
      <c r="C559" s="4" t="s">
        <v>128</v>
      </c>
      <c r="D559" s="4">
        <v>2.2000000000000002</v>
      </c>
      <c r="E559" s="4">
        <v>18999</v>
      </c>
      <c r="F559" s="4">
        <v>2022</v>
      </c>
      <c r="G559" s="4"/>
      <c r="H559" s="4"/>
    </row>
    <row r="560" spans="1:8" x14ac:dyDescent="0.35">
      <c r="A560" s="4" t="s">
        <v>1980</v>
      </c>
      <c r="B560" s="4" t="s">
        <v>1981</v>
      </c>
      <c r="C560" s="4" t="s">
        <v>565</v>
      </c>
      <c r="D560" s="4">
        <v>5.0999999999999996</v>
      </c>
      <c r="E560" s="4">
        <v>18991</v>
      </c>
      <c r="F560" s="4">
        <v>2010</v>
      </c>
      <c r="G560" s="4"/>
      <c r="H560" s="4"/>
    </row>
    <row r="561" spans="1:8" x14ac:dyDescent="0.35">
      <c r="A561" s="4" t="s">
        <v>83</v>
      </c>
      <c r="B561" s="4" t="s">
        <v>84</v>
      </c>
      <c r="C561" s="4" t="s">
        <v>11</v>
      </c>
      <c r="D561" s="4">
        <v>1.7</v>
      </c>
      <c r="E561" s="4">
        <v>18975</v>
      </c>
      <c r="F561" s="4">
        <v>2006</v>
      </c>
      <c r="G561" s="4"/>
      <c r="H561" s="4"/>
    </row>
    <row r="562" spans="1:8" x14ac:dyDescent="0.35">
      <c r="A562" s="4" t="s">
        <v>1610</v>
      </c>
      <c r="B562" s="4" t="s">
        <v>1611</v>
      </c>
      <c r="C562" s="4" t="s">
        <v>214</v>
      </c>
      <c r="D562" s="4">
        <v>4.9000000000000004</v>
      </c>
      <c r="E562" s="4">
        <v>18930</v>
      </c>
      <c r="F562" s="4">
        <v>2004</v>
      </c>
      <c r="G562" s="4"/>
      <c r="H562" s="4"/>
    </row>
    <row r="563" spans="1:8" x14ac:dyDescent="0.35">
      <c r="A563" s="4" t="s">
        <v>498</v>
      </c>
      <c r="B563" s="4" t="s">
        <v>499</v>
      </c>
      <c r="C563" s="4" t="s">
        <v>11</v>
      </c>
      <c r="D563" s="4">
        <v>3.8</v>
      </c>
      <c r="E563" s="4">
        <v>18874</v>
      </c>
      <c r="F563" s="4">
        <v>2014</v>
      </c>
      <c r="G563" s="4"/>
      <c r="H563" s="4"/>
    </row>
    <row r="564" spans="1:8" x14ac:dyDescent="0.35">
      <c r="A564" s="4" t="s">
        <v>884</v>
      </c>
      <c r="B564" s="4" t="s">
        <v>885</v>
      </c>
      <c r="C564" s="4" t="s">
        <v>606</v>
      </c>
      <c r="D564" s="4">
        <v>4.4000000000000004</v>
      </c>
      <c r="E564" s="4">
        <v>18776</v>
      </c>
      <c r="F564" s="4">
        <v>2000</v>
      </c>
      <c r="G564" s="4"/>
      <c r="H564" s="4"/>
    </row>
    <row r="565" spans="1:8" x14ac:dyDescent="0.35">
      <c r="A565" s="4" t="s">
        <v>981</v>
      </c>
      <c r="B565" s="4" t="s">
        <v>982</v>
      </c>
      <c r="C565" s="4" t="s">
        <v>983</v>
      </c>
      <c r="D565" s="4">
        <v>4.5</v>
      </c>
      <c r="E565" s="4">
        <v>18677</v>
      </c>
      <c r="F565" s="4">
        <v>2020</v>
      </c>
      <c r="G565" s="4"/>
      <c r="H565" s="4"/>
    </row>
    <row r="566" spans="1:8" x14ac:dyDescent="0.35">
      <c r="A566" s="4" t="s">
        <v>1982</v>
      </c>
      <c r="B566" s="4" t="s">
        <v>1983</v>
      </c>
      <c r="C566" s="4" t="s">
        <v>175</v>
      </c>
      <c r="D566" s="4">
        <v>5.0999999999999996</v>
      </c>
      <c r="E566" s="4">
        <v>18648</v>
      </c>
      <c r="F566" s="4">
        <v>2003</v>
      </c>
      <c r="G566" s="4"/>
      <c r="H566" s="4"/>
    </row>
    <row r="567" spans="1:8" x14ac:dyDescent="0.35">
      <c r="A567" s="4" t="s">
        <v>561</v>
      </c>
      <c r="B567" s="4" t="s">
        <v>562</v>
      </c>
      <c r="C567" s="4" t="s">
        <v>44</v>
      </c>
      <c r="D567" s="4">
        <v>3.9</v>
      </c>
      <c r="E567" s="4">
        <v>18521</v>
      </c>
      <c r="F567" s="4">
        <v>2010</v>
      </c>
      <c r="G567" s="4"/>
      <c r="H567" s="4"/>
    </row>
    <row r="568" spans="1:8" x14ac:dyDescent="0.35">
      <c r="A568" s="4" t="s">
        <v>463</v>
      </c>
      <c r="B568" s="4" t="s">
        <v>464</v>
      </c>
      <c r="C568" s="4" t="s">
        <v>82</v>
      </c>
      <c r="D568" s="4">
        <v>3.7</v>
      </c>
      <c r="E568" s="4">
        <v>18409</v>
      </c>
      <c r="F568" s="4">
        <v>2002</v>
      </c>
      <c r="G568" s="4"/>
      <c r="H568" s="4"/>
    </row>
    <row r="569" spans="1:8" x14ac:dyDescent="0.35">
      <c r="A569" s="4" t="s">
        <v>1418</v>
      </c>
      <c r="B569" s="4" t="s">
        <v>1419</v>
      </c>
      <c r="C569" s="4" t="s">
        <v>1075</v>
      </c>
      <c r="D569" s="4">
        <v>4.8</v>
      </c>
      <c r="E569" s="4">
        <v>18388</v>
      </c>
      <c r="F569" s="4">
        <v>1999</v>
      </c>
      <c r="G569" s="4"/>
      <c r="H569" s="4"/>
    </row>
    <row r="570" spans="1:8" x14ac:dyDescent="0.35">
      <c r="A570" s="4" t="s">
        <v>353</v>
      </c>
      <c r="B570" s="4" t="s">
        <v>354</v>
      </c>
      <c r="C570" s="4" t="s">
        <v>11</v>
      </c>
      <c r="D570" s="4">
        <v>3.4</v>
      </c>
      <c r="E570" s="4">
        <v>18370</v>
      </c>
      <c r="F570" s="4">
        <v>2017</v>
      </c>
      <c r="G570" s="4"/>
      <c r="H570" s="4"/>
    </row>
    <row r="571" spans="1:8" x14ac:dyDescent="0.35">
      <c r="A571" s="4" t="s">
        <v>1420</v>
      </c>
      <c r="B571" s="4" t="s">
        <v>1421</v>
      </c>
      <c r="C571" s="4" t="s">
        <v>1422</v>
      </c>
      <c r="D571" s="4">
        <v>4.8</v>
      </c>
      <c r="E571" s="4">
        <v>18249</v>
      </c>
      <c r="F571" s="4">
        <v>2018</v>
      </c>
      <c r="G571" s="4"/>
      <c r="H571" s="4"/>
    </row>
    <row r="572" spans="1:8" x14ac:dyDescent="0.35">
      <c r="A572" s="4" t="s">
        <v>1984</v>
      </c>
      <c r="B572" s="4" t="s">
        <v>1985</v>
      </c>
      <c r="C572" s="4" t="s">
        <v>56</v>
      </c>
      <c r="D572" s="4">
        <v>5.0999999999999996</v>
      </c>
      <c r="E572" s="4">
        <v>18161</v>
      </c>
      <c r="F572" s="4">
        <v>2011</v>
      </c>
      <c r="G572" s="4"/>
      <c r="H572" s="4"/>
    </row>
    <row r="573" spans="1:8" x14ac:dyDescent="0.35">
      <c r="A573" s="4" t="s">
        <v>300</v>
      </c>
      <c r="B573" s="4" t="s">
        <v>301</v>
      </c>
      <c r="C573" s="4" t="s">
        <v>44</v>
      </c>
      <c r="D573" s="4">
        <v>3.2</v>
      </c>
      <c r="E573" s="4">
        <v>18148</v>
      </c>
      <c r="F573" s="4">
        <v>2007</v>
      </c>
      <c r="G573" s="4"/>
      <c r="H573" s="4"/>
    </row>
    <row r="574" spans="1:8" x14ac:dyDescent="0.35">
      <c r="A574" s="4" t="s">
        <v>419</v>
      </c>
      <c r="B574" s="4" t="s">
        <v>420</v>
      </c>
      <c r="C574" s="4" t="s">
        <v>116</v>
      </c>
      <c r="D574" s="4">
        <v>3.6</v>
      </c>
      <c r="E574" s="4">
        <v>18142</v>
      </c>
      <c r="F574" s="4">
        <v>2002</v>
      </c>
      <c r="G574" s="4"/>
      <c r="H574" s="4"/>
    </row>
    <row r="575" spans="1:8" x14ac:dyDescent="0.35">
      <c r="A575" s="4" t="s">
        <v>659</v>
      </c>
      <c r="B575" s="4" t="s">
        <v>660</v>
      </c>
      <c r="C575" s="4" t="s">
        <v>649</v>
      </c>
      <c r="D575" s="4">
        <v>4.0999999999999996</v>
      </c>
      <c r="E575" s="4">
        <v>18126</v>
      </c>
      <c r="F575" s="4">
        <v>2014</v>
      </c>
      <c r="G575" s="4"/>
      <c r="H575" s="4"/>
    </row>
    <row r="576" spans="1:8" x14ac:dyDescent="0.35">
      <c r="A576" s="4" t="s">
        <v>1986</v>
      </c>
      <c r="B576" s="4" t="s">
        <v>1987</v>
      </c>
      <c r="C576" s="4" t="s">
        <v>1048</v>
      </c>
      <c r="D576" s="4">
        <v>5.0999999999999996</v>
      </c>
      <c r="E576" s="4">
        <v>18086</v>
      </c>
      <c r="F576" s="4">
        <v>2020</v>
      </c>
      <c r="G576" s="4"/>
      <c r="H576" s="4"/>
    </row>
    <row r="577" spans="1:8" x14ac:dyDescent="0.35">
      <c r="A577" s="4" t="s">
        <v>1988</v>
      </c>
      <c r="B577" s="4" t="s">
        <v>1989</v>
      </c>
      <c r="C577" s="4" t="s">
        <v>11</v>
      </c>
      <c r="D577" s="4">
        <v>5.0999999999999996</v>
      </c>
      <c r="E577" s="4">
        <v>18057</v>
      </c>
      <c r="F577" s="4">
        <v>1993</v>
      </c>
      <c r="G577" s="4"/>
      <c r="H577" s="4"/>
    </row>
    <row r="578" spans="1:8" x14ac:dyDescent="0.35">
      <c r="A578" s="4" t="s">
        <v>1094</v>
      </c>
      <c r="B578" s="4" t="s">
        <v>1095</v>
      </c>
      <c r="C578" s="4" t="s">
        <v>294</v>
      </c>
      <c r="D578" s="4">
        <v>4.5999999999999996</v>
      </c>
      <c r="E578" s="4">
        <v>18020</v>
      </c>
      <c r="F578" s="4">
        <v>2011</v>
      </c>
      <c r="G578" s="4"/>
      <c r="H578" s="4"/>
    </row>
    <row r="579" spans="1:8" x14ac:dyDescent="0.35">
      <c r="A579" s="4" t="s">
        <v>716</v>
      </c>
      <c r="B579" s="4" t="s">
        <v>717</v>
      </c>
      <c r="C579" s="4" t="s">
        <v>448</v>
      </c>
      <c r="D579" s="4">
        <v>4.2</v>
      </c>
      <c r="E579" s="4">
        <v>18008</v>
      </c>
      <c r="F579" s="4">
        <v>2014</v>
      </c>
      <c r="G579" s="4"/>
      <c r="H579" s="4"/>
    </row>
    <row r="580" spans="1:8" x14ac:dyDescent="0.35">
      <c r="A580" s="4" t="s">
        <v>66</v>
      </c>
      <c r="B580" s="4" t="s">
        <v>67</v>
      </c>
      <c r="C580" s="4" t="s">
        <v>68</v>
      </c>
      <c r="D580" s="4">
        <v>1.6</v>
      </c>
      <c r="E580" s="4">
        <v>17938</v>
      </c>
      <c r="F580" s="4">
        <v>2013</v>
      </c>
      <c r="G580" s="4"/>
      <c r="H580" s="4"/>
    </row>
    <row r="581" spans="1:8" x14ac:dyDescent="0.35">
      <c r="A581" s="4" t="s">
        <v>1423</v>
      </c>
      <c r="B581" s="4" t="s">
        <v>1424</v>
      </c>
      <c r="C581" s="4" t="s">
        <v>93</v>
      </c>
      <c r="D581" s="4">
        <v>4.8</v>
      </c>
      <c r="E581" s="4">
        <v>17929</v>
      </c>
      <c r="F581" s="4">
        <v>2024</v>
      </c>
      <c r="G581" s="4"/>
      <c r="H581" s="4"/>
    </row>
    <row r="582" spans="1:8" x14ac:dyDescent="0.35">
      <c r="A582" s="4" t="s">
        <v>1096</v>
      </c>
      <c r="B582" s="4" t="s">
        <v>1097</v>
      </c>
      <c r="C582" s="4" t="s">
        <v>1098</v>
      </c>
      <c r="D582" s="4">
        <v>4.5999999999999996</v>
      </c>
      <c r="E582" s="4">
        <v>17918</v>
      </c>
      <c r="F582" s="4">
        <v>2007</v>
      </c>
      <c r="G582" s="4"/>
      <c r="H582" s="4"/>
    </row>
    <row r="583" spans="1:8" x14ac:dyDescent="0.35">
      <c r="A583" s="4" t="s">
        <v>1425</v>
      </c>
      <c r="B583" s="4" t="s">
        <v>1426</v>
      </c>
      <c r="C583" s="4" t="s">
        <v>158</v>
      </c>
      <c r="D583" s="4">
        <v>4.8</v>
      </c>
      <c r="E583" s="4">
        <v>17890</v>
      </c>
      <c r="F583" s="4">
        <v>1983</v>
      </c>
      <c r="G583" s="4"/>
      <c r="H583" s="4"/>
    </row>
    <row r="584" spans="1:8" x14ac:dyDescent="0.35">
      <c r="A584" s="4" t="s">
        <v>785</v>
      </c>
      <c r="B584" s="4" t="s">
        <v>786</v>
      </c>
      <c r="C584" s="4" t="s">
        <v>44</v>
      </c>
      <c r="D584" s="4">
        <v>4.3</v>
      </c>
      <c r="E584" s="4">
        <v>17863</v>
      </c>
      <c r="F584" s="4">
        <v>2010</v>
      </c>
      <c r="G584" s="4"/>
      <c r="H584" s="4"/>
    </row>
    <row r="585" spans="1:8" x14ac:dyDescent="0.35">
      <c r="A585" s="4" t="s">
        <v>1990</v>
      </c>
      <c r="B585" s="4" t="s">
        <v>1991</v>
      </c>
      <c r="C585" s="4" t="s">
        <v>843</v>
      </c>
      <c r="D585" s="4">
        <v>5.0999999999999996</v>
      </c>
      <c r="E585" s="4">
        <v>17772</v>
      </c>
      <c r="F585" s="4">
        <v>1984</v>
      </c>
      <c r="G585" s="4"/>
      <c r="H585" s="4"/>
    </row>
    <row r="586" spans="1:8" x14ac:dyDescent="0.35">
      <c r="A586" s="4" t="s">
        <v>1769</v>
      </c>
      <c r="B586" s="4" t="s">
        <v>1770</v>
      </c>
      <c r="C586" s="4" t="s">
        <v>56</v>
      </c>
      <c r="D586" s="4">
        <v>5</v>
      </c>
      <c r="E586" s="4">
        <v>17764</v>
      </c>
      <c r="F586" s="4">
        <v>2014</v>
      </c>
      <c r="G586" s="4"/>
      <c r="H586" s="4"/>
    </row>
    <row r="587" spans="1:8" x14ac:dyDescent="0.35">
      <c r="A587" s="4" t="s">
        <v>1612</v>
      </c>
      <c r="B587" s="4" t="s">
        <v>1613</v>
      </c>
      <c r="C587" s="4" t="s">
        <v>175</v>
      </c>
      <c r="D587" s="4">
        <v>4.9000000000000004</v>
      </c>
      <c r="E587" s="4">
        <v>17755</v>
      </c>
      <c r="F587" s="4">
        <v>2018</v>
      </c>
      <c r="G587" s="4"/>
      <c r="H587" s="4"/>
    </row>
    <row r="588" spans="1:8" x14ac:dyDescent="0.35">
      <c r="A588" s="4" t="s">
        <v>1427</v>
      </c>
      <c r="B588" s="4" t="s">
        <v>1428</v>
      </c>
      <c r="C588" s="4" t="s">
        <v>1429</v>
      </c>
      <c r="D588" s="4">
        <v>4.8</v>
      </c>
      <c r="E588" s="4">
        <v>17740</v>
      </c>
      <c r="F588" s="4">
        <v>1998</v>
      </c>
      <c r="G588" s="4"/>
      <c r="H588" s="4"/>
    </row>
    <row r="589" spans="1:8" x14ac:dyDescent="0.35">
      <c r="A589" s="4" t="s">
        <v>718</v>
      </c>
      <c r="B589" s="4" t="s">
        <v>719</v>
      </c>
      <c r="C589" s="4" t="s">
        <v>352</v>
      </c>
      <c r="D589" s="4">
        <v>4.2</v>
      </c>
      <c r="E589" s="4">
        <v>17724</v>
      </c>
      <c r="F589" s="4">
        <v>1999</v>
      </c>
      <c r="G589" s="4"/>
      <c r="H589" s="4"/>
    </row>
    <row r="590" spans="1:8" x14ac:dyDescent="0.35">
      <c r="A590" s="4" t="s">
        <v>1614</v>
      </c>
      <c r="B590" s="4" t="s">
        <v>1615</v>
      </c>
      <c r="C590" s="4" t="s">
        <v>606</v>
      </c>
      <c r="D590" s="4">
        <v>4.9000000000000004</v>
      </c>
      <c r="E590" s="4">
        <v>17670</v>
      </c>
      <c r="F590" s="4">
        <v>2008</v>
      </c>
      <c r="G590" s="4"/>
      <c r="H590" s="4"/>
    </row>
    <row r="591" spans="1:8" x14ac:dyDescent="0.35">
      <c r="A591" s="4" t="s">
        <v>1257</v>
      </c>
      <c r="B591" s="4" t="s">
        <v>1258</v>
      </c>
      <c r="C591" s="4" t="s">
        <v>1259</v>
      </c>
      <c r="D591" s="4">
        <v>4.7</v>
      </c>
      <c r="E591" s="4">
        <v>17665</v>
      </c>
      <c r="F591" s="4">
        <v>2020</v>
      </c>
      <c r="G591" s="4"/>
      <c r="H591" s="4"/>
    </row>
    <row r="592" spans="1:8" x14ac:dyDescent="0.35">
      <c r="A592" s="4" t="s">
        <v>886</v>
      </c>
      <c r="B592" s="4" t="s">
        <v>887</v>
      </c>
      <c r="C592" s="4" t="s">
        <v>101</v>
      </c>
      <c r="D592" s="4">
        <v>4.4000000000000004</v>
      </c>
      <c r="E592" s="4">
        <v>17631</v>
      </c>
      <c r="F592" s="4">
        <v>2019</v>
      </c>
      <c r="G592" s="4"/>
      <c r="H592" s="4"/>
    </row>
    <row r="593" spans="1:8" x14ac:dyDescent="0.35">
      <c r="A593" s="4" t="s">
        <v>787</v>
      </c>
      <c r="B593" s="4" t="s">
        <v>788</v>
      </c>
      <c r="C593" s="4" t="s">
        <v>163</v>
      </c>
      <c r="D593" s="4">
        <v>4.3</v>
      </c>
      <c r="E593" s="4">
        <v>17596</v>
      </c>
      <c r="F593" s="4">
        <v>1999</v>
      </c>
      <c r="G593" s="4"/>
      <c r="H593" s="4"/>
    </row>
    <row r="594" spans="1:8" x14ac:dyDescent="0.35">
      <c r="A594" s="4" t="s">
        <v>1099</v>
      </c>
      <c r="B594" s="4" t="s">
        <v>1100</v>
      </c>
      <c r="C594" s="4" t="s">
        <v>101</v>
      </c>
      <c r="D594" s="4">
        <v>4.5999999999999996</v>
      </c>
      <c r="E594" s="4">
        <v>17570</v>
      </c>
      <c r="F594" s="4">
        <v>2024</v>
      </c>
      <c r="G594" s="4"/>
      <c r="H594" s="4"/>
    </row>
    <row r="595" spans="1:8" x14ac:dyDescent="0.35">
      <c r="A595" s="4" t="s">
        <v>69</v>
      </c>
      <c r="B595" s="4" t="s">
        <v>70</v>
      </c>
      <c r="C595" s="4" t="s">
        <v>71</v>
      </c>
      <c r="D595" s="4">
        <v>1.6</v>
      </c>
      <c r="E595" s="4">
        <v>17559</v>
      </c>
      <c r="F595" s="4">
        <v>2009</v>
      </c>
      <c r="G595" s="4"/>
      <c r="H595" s="4"/>
    </row>
    <row r="596" spans="1:8" x14ac:dyDescent="0.35">
      <c r="A596" s="4" t="s">
        <v>984</v>
      </c>
      <c r="B596" s="4" t="s">
        <v>985</v>
      </c>
      <c r="C596" s="4" t="s">
        <v>243</v>
      </c>
      <c r="D596" s="4">
        <v>4.5</v>
      </c>
      <c r="E596" s="4">
        <v>17532</v>
      </c>
      <c r="F596" s="4">
        <v>2018</v>
      </c>
      <c r="G596" s="4"/>
      <c r="H596" s="4"/>
    </row>
    <row r="597" spans="1:8" x14ac:dyDescent="0.35">
      <c r="A597" s="4" t="s">
        <v>1430</v>
      </c>
      <c r="B597" s="4" t="s">
        <v>1431</v>
      </c>
      <c r="C597" s="4" t="s">
        <v>1243</v>
      </c>
      <c r="D597" s="4">
        <v>4.8</v>
      </c>
      <c r="E597" s="4">
        <v>17488</v>
      </c>
      <c r="F597" s="4">
        <v>2018</v>
      </c>
      <c r="G597" s="4"/>
      <c r="H597" s="4"/>
    </row>
    <row r="598" spans="1:8" x14ac:dyDescent="0.35">
      <c r="A598" s="4" t="s">
        <v>789</v>
      </c>
      <c r="B598" s="4" t="s">
        <v>790</v>
      </c>
      <c r="C598" s="4" t="s">
        <v>791</v>
      </c>
      <c r="D598" s="4">
        <v>4.3</v>
      </c>
      <c r="E598" s="4">
        <v>17474</v>
      </c>
      <c r="F598" s="4">
        <v>2018</v>
      </c>
      <c r="G598" s="4"/>
      <c r="H598" s="4"/>
    </row>
    <row r="599" spans="1:8" x14ac:dyDescent="0.35">
      <c r="A599" s="4" t="s">
        <v>1992</v>
      </c>
      <c r="B599" s="4" t="s">
        <v>1993</v>
      </c>
      <c r="C599" s="4" t="s">
        <v>1994</v>
      </c>
      <c r="D599" s="4">
        <v>5.0999999999999996</v>
      </c>
      <c r="E599" s="4">
        <v>17457</v>
      </c>
      <c r="F599" s="4">
        <v>2024</v>
      </c>
      <c r="G599" s="4"/>
      <c r="H599" s="4"/>
    </row>
    <row r="600" spans="1:8" x14ac:dyDescent="0.35">
      <c r="A600" s="4" t="s">
        <v>1432</v>
      </c>
      <c r="B600" s="4" t="s">
        <v>1433</v>
      </c>
      <c r="C600" s="4" t="s">
        <v>1075</v>
      </c>
      <c r="D600" s="4">
        <v>4.8</v>
      </c>
      <c r="E600" s="4">
        <v>17442</v>
      </c>
      <c r="F600" s="4">
        <v>2014</v>
      </c>
      <c r="G600" s="4"/>
      <c r="H600" s="4"/>
    </row>
    <row r="601" spans="1:8" x14ac:dyDescent="0.35">
      <c r="A601" s="4" t="s">
        <v>1771</v>
      </c>
      <c r="B601" s="4" t="s">
        <v>1772</v>
      </c>
      <c r="C601" s="4" t="s">
        <v>178</v>
      </c>
      <c r="D601" s="4">
        <v>5</v>
      </c>
      <c r="E601" s="4">
        <v>17382</v>
      </c>
      <c r="F601" s="4">
        <v>1997</v>
      </c>
      <c r="G601" s="4"/>
      <c r="H601" s="4"/>
    </row>
    <row r="602" spans="1:8" x14ac:dyDescent="0.35">
      <c r="A602" s="4" t="s">
        <v>792</v>
      </c>
      <c r="B602" s="4" t="s">
        <v>793</v>
      </c>
      <c r="C602" s="4" t="s">
        <v>65</v>
      </c>
      <c r="D602" s="4">
        <v>4.3</v>
      </c>
      <c r="E602" s="4">
        <v>17381</v>
      </c>
      <c r="F602" s="4">
        <v>2022</v>
      </c>
      <c r="G602" s="4"/>
      <c r="H602" s="4"/>
    </row>
    <row r="603" spans="1:8" x14ac:dyDescent="0.35">
      <c r="A603" s="4" t="s">
        <v>1434</v>
      </c>
      <c r="B603" s="4" t="s">
        <v>1435</v>
      </c>
      <c r="C603" s="4" t="s">
        <v>448</v>
      </c>
      <c r="D603" s="4">
        <v>4.8</v>
      </c>
      <c r="E603" s="4">
        <v>17348</v>
      </c>
      <c r="F603" s="4">
        <v>2022</v>
      </c>
      <c r="G603" s="4"/>
      <c r="H603" s="4"/>
    </row>
    <row r="604" spans="1:8" x14ac:dyDescent="0.35">
      <c r="A604" s="4" t="s">
        <v>1260</v>
      </c>
      <c r="B604" s="4" t="s">
        <v>1261</v>
      </c>
      <c r="C604" s="4" t="s">
        <v>709</v>
      </c>
      <c r="D604" s="4">
        <v>4.7</v>
      </c>
      <c r="E604" s="4">
        <v>17304</v>
      </c>
      <c r="F604" s="4">
        <v>2021</v>
      </c>
      <c r="G604" s="4"/>
      <c r="H604" s="4"/>
    </row>
    <row r="605" spans="1:8" x14ac:dyDescent="0.35">
      <c r="A605" s="4" t="s">
        <v>986</v>
      </c>
      <c r="B605" s="4" t="s">
        <v>987</v>
      </c>
      <c r="C605" s="4" t="s">
        <v>82</v>
      </c>
      <c r="D605" s="4">
        <v>4.5</v>
      </c>
      <c r="E605" s="4">
        <v>17302</v>
      </c>
      <c r="F605" s="4">
        <v>2016</v>
      </c>
      <c r="G605" s="4"/>
      <c r="H605" s="4"/>
    </row>
    <row r="606" spans="1:8" x14ac:dyDescent="0.35">
      <c r="A606" s="4" t="s">
        <v>421</v>
      </c>
      <c r="B606" s="4" t="s">
        <v>422</v>
      </c>
      <c r="C606" s="4" t="s">
        <v>208</v>
      </c>
      <c r="D606" s="4">
        <v>3.6</v>
      </c>
      <c r="E606" s="4">
        <v>17299</v>
      </c>
      <c r="F606" s="4">
        <v>2019</v>
      </c>
      <c r="G606" s="4"/>
      <c r="H606" s="4"/>
    </row>
    <row r="607" spans="1:8" x14ac:dyDescent="0.35">
      <c r="A607" s="4" t="s">
        <v>1101</v>
      </c>
      <c r="B607" s="4" t="s">
        <v>1102</v>
      </c>
      <c r="C607" s="4" t="s">
        <v>400</v>
      </c>
      <c r="D607" s="4">
        <v>4.5999999999999996</v>
      </c>
      <c r="E607" s="4">
        <v>17285</v>
      </c>
      <c r="F607" s="4">
        <v>2020</v>
      </c>
      <c r="G607" s="4"/>
      <c r="H607" s="4"/>
    </row>
    <row r="608" spans="1:8" x14ac:dyDescent="0.35">
      <c r="A608" s="4" t="s">
        <v>129</v>
      </c>
      <c r="B608" s="4" t="s">
        <v>130</v>
      </c>
      <c r="C608" s="4" t="s">
        <v>131</v>
      </c>
      <c r="D608" s="4">
        <v>2.2000000000000002</v>
      </c>
      <c r="E608" s="4">
        <v>17278</v>
      </c>
      <c r="F608" s="4">
        <v>1978</v>
      </c>
      <c r="G608" s="4"/>
      <c r="H608" s="4"/>
    </row>
    <row r="609" spans="1:8" x14ac:dyDescent="0.35">
      <c r="A609" s="4" t="s">
        <v>1436</v>
      </c>
      <c r="B609" s="4" t="s">
        <v>1437</v>
      </c>
      <c r="C609" s="4" t="s">
        <v>116</v>
      </c>
      <c r="D609" s="4">
        <v>4.8</v>
      </c>
      <c r="E609" s="4">
        <v>17244</v>
      </c>
      <c r="F609" s="4">
        <v>2017</v>
      </c>
      <c r="G609" s="4"/>
      <c r="H609" s="4"/>
    </row>
    <row r="610" spans="1:8" x14ac:dyDescent="0.35">
      <c r="A610" s="4" t="s">
        <v>381</v>
      </c>
      <c r="B610" s="4" t="s">
        <v>382</v>
      </c>
      <c r="C610" s="4" t="s">
        <v>152</v>
      </c>
      <c r="D610" s="4">
        <v>3.5</v>
      </c>
      <c r="E610" s="4">
        <v>17241</v>
      </c>
      <c r="F610" s="4">
        <v>2014</v>
      </c>
      <c r="G610" s="4"/>
      <c r="H610" s="4"/>
    </row>
    <row r="611" spans="1:8" x14ac:dyDescent="0.35">
      <c r="A611" s="4" t="s">
        <v>720</v>
      </c>
      <c r="B611" s="4" t="s">
        <v>721</v>
      </c>
      <c r="C611" s="4" t="s">
        <v>143</v>
      </c>
      <c r="D611" s="4">
        <v>4.2</v>
      </c>
      <c r="E611" s="4">
        <v>17210</v>
      </c>
      <c r="F611" s="4">
        <v>2015</v>
      </c>
      <c r="G611" s="4"/>
      <c r="H611" s="4"/>
    </row>
    <row r="612" spans="1:8" x14ac:dyDescent="0.35">
      <c r="A612" s="4" t="s">
        <v>607</v>
      </c>
      <c r="B612" s="4" t="s">
        <v>608</v>
      </c>
      <c r="C612" s="4" t="s">
        <v>82</v>
      </c>
      <c r="D612" s="4">
        <v>4</v>
      </c>
      <c r="E612" s="4">
        <v>17167</v>
      </c>
      <c r="F612" s="4">
        <v>2013</v>
      </c>
      <c r="G612" s="4"/>
      <c r="H612" s="4"/>
    </row>
    <row r="613" spans="1:8" x14ac:dyDescent="0.35">
      <c r="A613" s="4" t="s">
        <v>794</v>
      </c>
      <c r="B613" s="4" t="s">
        <v>795</v>
      </c>
      <c r="C613" s="4" t="s">
        <v>508</v>
      </c>
      <c r="D613" s="4">
        <v>4.3</v>
      </c>
      <c r="E613" s="4">
        <v>17161</v>
      </c>
      <c r="F613" s="4">
        <v>2016</v>
      </c>
      <c r="G613" s="4"/>
      <c r="H613" s="4"/>
    </row>
    <row r="614" spans="1:8" x14ac:dyDescent="0.35">
      <c r="A614" s="4" t="s">
        <v>1262</v>
      </c>
      <c r="B614" s="4" t="s">
        <v>1263</v>
      </c>
      <c r="C614" s="4" t="s">
        <v>82</v>
      </c>
      <c r="D614" s="4">
        <v>4.7</v>
      </c>
      <c r="E614" s="4">
        <v>17068</v>
      </c>
      <c r="F614" s="4">
        <v>2015</v>
      </c>
      <c r="G614" s="4"/>
      <c r="H614" s="4"/>
    </row>
    <row r="615" spans="1:8" x14ac:dyDescent="0.35">
      <c r="A615" s="4" t="s">
        <v>1773</v>
      </c>
      <c r="B615" s="4" t="s">
        <v>1774</v>
      </c>
      <c r="C615" s="4" t="s">
        <v>1775</v>
      </c>
      <c r="D615" s="4">
        <v>5</v>
      </c>
      <c r="E615" s="4">
        <v>17048</v>
      </c>
      <c r="F615" s="4">
        <v>2009</v>
      </c>
      <c r="G615" s="4"/>
      <c r="H615" s="4"/>
    </row>
    <row r="616" spans="1:8" x14ac:dyDescent="0.35">
      <c r="A616" s="4" t="s">
        <v>1616</v>
      </c>
      <c r="B616" s="4" t="s">
        <v>1617</v>
      </c>
      <c r="C616" s="4" t="s">
        <v>116</v>
      </c>
      <c r="D616" s="4">
        <v>4.9000000000000004</v>
      </c>
      <c r="E616" s="4">
        <v>17031</v>
      </c>
      <c r="F616" s="4">
        <v>2007</v>
      </c>
      <c r="G616" s="4"/>
      <c r="H616" s="4"/>
    </row>
    <row r="617" spans="1:8" x14ac:dyDescent="0.35">
      <c r="A617" s="4" t="s">
        <v>1103</v>
      </c>
      <c r="B617" s="4" t="s">
        <v>1104</v>
      </c>
      <c r="C617" s="4" t="s">
        <v>101</v>
      </c>
      <c r="D617" s="4">
        <v>4.5999999999999996</v>
      </c>
      <c r="E617" s="4">
        <v>17006</v>
      </c>
      <c r="F617" s="4">
        <v>2002</v>
      </c>
      <c r="G617" s="4"/>
      <c r="H617" s="4"/>
    </row>
    <row r="618" spans="1:8" x14ac:dyDescent="0.35">
      <c r="A618" s="4" t="s">
        <v>1105</v>
      </c>
      <c r="B618" s="4" t="s">
        <v>1106</v>
      </c>
      <c r="C618" s="4" t="s">
        <v>584</v>
      </c>
      <c r="D618" s="4">
        <v>4.5999999999999996</v>
      </c>
      <c r="E618" s="4">
        <v>16961</v>
      </c>
      <c r="F618" s="4">
        <v>2011</v>
      </c>
      <c r="G618" s="4"/>
      <c r="H618" s="4"/>
    </row>
    <row r="619" spans="1:8" x14ac:dyDescent="0.35">
      <c r="A619" s="4" t="s">
        <v>888</v>
      </c>
      <c r="B619" s="4" t="s">
        <v>889</v>
      </c>
      <c r="C619" s="4" t="s">
        <v>508</v>
      </c>
      <c r="D619" s="4">
        <v>4.4000000000000004</v>
      </c>
      <c r="E619" s="4">
        <v>16948</v>
      </c>
      <c r="F619" s="4">
        <v>2020</v>
      </c>
      <c r="G619" s="4"/>
      <c r="H619" s="4"/>
    </row>
    <row r="620" spans="1:8" x14ac:dyDescent="0.35">
      <c r="A620" s="4" t="s">
        <v>1776</v>
      </c>
      <c r="B620" s="4" t="s">
        <v>1777</v>
      </c>
      <c r="C620" s="4" t="s">
        <v>1778</v>
      </c>
      <c r="D620" s="4">
        <v>5</v>
      </c>
      <c r="E620" s="4">
        <v>16941</v>
      </c>
      <c r="F620" s="4">
        <v>2014</v>
      </c>
      <c r="G620" s="4"/>
      <c r="H620" s="4"/>
    </row>
    <row r="621" spans="1:8" x14ac:dyDescent="0.35">
      <c r="A621" s="4" t="s">
        <v>1995</v>
      </c>
      <c r="B621" s="4" t="s">
        <v>1996</v>
      </c>
      <c r="C621" s="4" t="s">
        <v>31</v>
      </c>
      <c r="D621" s="4">
        <v>5.0999999999999996</v>
      </c>
      <c r="E621" s="4">
        <v>16938</v>
      </c>
      <c r="F621" s="4">
        <v>2017</v>
      </c>
      <c r="G621" s="4"/>
      <c r="H621" s="4"/>
    </row>
    <row r="622" spans="1:8" x14ac:dyDescent="0.35">
      <c r="A622" s="4" t="s">
        <v>1618</v>
      </c>
      <c r="B622" s="4" t="s">
        <v>1619</v>
      </c>
      <c r="C622" s="4" t="s">
        <v>14</v>
      </c>
      <c r="D622" s="4">
        <v>4.9000000000000004</v>
      </c>
      <c r="E622" s="4">
        <v>16896</v>
      </c>
      <c r="F622" s="4">
        <v>2003</v>
      </c>
      <c r="G622" s="4"/>
      <c r="H622" s="4"/>
    </row>
    <row r="623" spans="1:8" x14ac:dyDescent="0.35">
      <c r="A623" s="4" t="s">
        <v>1997</v>
      </c>
      <c r="B623" s="4" t="s">
        <v>1998</v>
      </c>
      <c r="C623" s="4" t="s">
        <v>44</v>
      </c>
      <c r="D623" s="4">
        <v>5.0999999999999996</v>
      </c>
      <c r="E623" s="4">
        <v>16869</v>
      </c>
      <c r="F623" s="4">
        <v>2019</v>
      </c>
      <c r="G623" s="4"/>
      <c r="H623" s="4"/>
    </row>
    <row r="624" spans="1:8" x14ac:dyDescent="0.35">
      <c r="A624" s="4" t="s">
        <v>42</v>
      </c>
      <c r="B624" s="4" t="s">
        <v>43</v>
      </c>
      <c r="C624" s="4" t="s">
        <v>44</v>
      </c>
      <c r="D624" s="4">
        <v>1.3</v>
      </c>
      <c r="E624" s="4">
        <v>16868</v>
      </c>
      <c r="F624" s="4">
        <v>2014</v>
      </c>
      <c r="G624" s="4"/>
      <c r="H624" s="4"/>
    </row>
    <row r="625" spans="1:8" x14ac:dyDescent="0.35">
      <c r="A625" s="4" t="s">
        <v>796</v>
      </c>
      <c r="B625" s="4" t="s">
        <v>797</v>
      </c>
      <c r="C625" s="4" t="s">
        <v>549</v>
      </c>
      <c r="D625" s="4">
        <v>4.3</v>
      </c>
      <c r="E625" s="4">
        <v>16854</v>
      </c>
      <c r="F625" s="4">
        <v>2008</v>
      </c>
      <c r="G625" s="4"/>
      <c r="H625" s="4"/>
    </row>
    <row r="626" spans="1:8" x14ac:dyDescent="0.35">
      <c r="A626" s="4" t="s">
        <v>60</v>
      </c>
      <c r="B626" s="4" t="s">
        <v>61</v>
      </c>
      <c r="C626" s="4" t="s">
        <v>62</v>
      </c>
      <c r="D626" s="4">
        <v>1.5</v>
      </c>
      <c r="E626" s="4">
        <v>16829</v>
      </c>
      <c r="F626" s="4">
        <v>2006</v>
      </c>
      <c r="G626" s="4"/>
      <c r="H626" s="4"/>
    </row>
    <row r="627" spans="1:8" x14ac:dyDescent="0.35">
      <c r="A627" s="4" t="s">
        <v>1999</v>
      </c>
      <c r="B627" s="4" t="s">
        <v>2000</v>
      </c>
      <c r="C627" s="4" t="s">
        <v>128</v>
      </c>
      <c r="D627" s="4">
        <v>5.0999999999999996</v>
      </c>
      <c r="E627" s="4">
        <v>16811</v>
      </c>
      <c r="F627" s="4">
        <v>2001</v>
      </c>
      <c r="G627" s="4"/>
      <c r="H627" s="4"/>
    </row>
    <row r="628" spans="1:8" x14ac:dyDescent="0.35">
      <c r="A628" s="4" t="s">
        <v>1107</v>
      </c>
      <c r="B628" s="4" t="s">
        <v>1108</v>
      </c>
      <c r="C628" s="4" t="s">
        <v>565</v>
      </c>
      <c r="D628" s="4">
        <v>4.5999999999999996</v>
      </c>
      <c r="E628" s="4">
        <v>16725</v>
      </c>
      <c r="F628" s="4">
        <v>2016</v>
      </c>
      <c r="G628" s="4"/>
      <c r="H628" s="4"/>
    </row>
    <row r="629" spans="1:8" x14ac:dyDescent="0.35">
      <c r="A629" s="4" t="s">
        <v>1109</v>
      </c>
      <c r="B629" s="4" t="s">
        <v>1110</v>
      </c>
      <c r="C629" s="4" t="s">
        <v>31</v>
      </c>
      <c r="D629" s="4">
        <v>4.5999999999999996</v>
      </c>
      <c r="E629" s="4">
        <v>16708</v>
      </c>
      <c r="F629" s="4">
        <v>1993</v>
      </c>
      <c r="G629" s="4"/>
      <c r="H629" s="4"/>
    </row>
    <row r="630" spans="1:8" x14ac:dyDescent="0.35">
      <c r="A630" s="4" t="s">
        <v>500</v>
      </c>
      <c r="B630" s="4" t="s">
        <v>501</v>
      </c>
      <c r="C630" s="4" t="s">
        <v>149</v>
      </c>
      <c r="D630" s="4">
        <v>3.8</v>
      </c>
      <c r="E630" s="4">
        <v>16700</v>
      </c>
      <c r="F630" s="4">
        <v>1988</v>
      </c>
      <c r="G630" s="4"/>
      <c r="H630" s="4"/>
    </row>
    <row r="631" spans="1:8" x14ac:dyDescent="0.35">
      <c r="A631" s="4" t="s">
        <v>1620</v>
      </c>
      <c r="B631" s="4" t="s">
        <v>1621</v>
      </c>
      <c r="C631" s="4" t="s">
        <v>101</v>
      </c>
      <c r="D631" s="4">
        <v>4.9000000000000004</v>
      </c>
      <c r="E631" s="4">
        <v>16691</v>
      </c>
      <c r="F631" s="4">
        <v>1998</v>
      </c>
      <c r="G631" s="4"/>
      <c r="H631" s="4"/>
    </row>
    <row r="632" spans="1:8" x14ac:dyDescent="0.35">
      <c r="A632" s="4" t="s">
        <v>563</v>
      </c>
      <c r="B632" s="4" t="s">
        <v>564</v>
      </c>
      <c r="C632" s="4" t="s">
        <v>565</v>
      </c>
      <c r="D632" s="4">
        <v>3.9</v>
      </c>
      <c r="E632" s="4">
        <v>16563</v>
      </c>
      <c r="F632" s="4">
        <v>2020</v>
      </c>
      <c r="G632" s="4"/>
      <c r="H632" s="4"/>
    </row>
    <row r="633" spans="1:8" x14ac:dyDescent="0.35">
      <c r="A633" s="4" t="s">
        <v>1779</v>
      </c>
      <c r="B633" s="4" t="s">
        <v>1780</v>
      </c>
      <c r="C633" s="4" t="s">
        <v>568</v>
      </c>
      <c r="D633" s="4">
        <v>5</v>
      </c>
      <c r="E633" s="4">
        <v>16533</v>
      </c>
      <c r="F633" s="4">
        <v>2008</v>
      </c>
      <c r="G633" s="4"/>
      <c r="H633" s="4"/>
    </row>
    <row r="634" spans="1:8" x14ac:dyDescent="0.35">
      <c r="A634" s="4" t="s">
        <v>890</v>
      </c>
      <c r="B634" s="4" t="s">
        <v>891</v>
      </c>
      <c r="C634" s="4" t="s">
        <v>524</v>
      </c>
      <c r="D634" s="4">
        <v>4.4000000000000004</v>
      </c>
      <c r="E634" s="4">
        <v>16501</v>
      </c>
      <c r="F634" s="4">
        <v>2010</v>
      </c>
      <c r="G634" s="4"/>
      <c r="H634" s="4"/>
    </row>
    <row r="635" spans="1:8" x14ac:dyDescent="0.35">
      <c r="A635" s="4" t="s">
        <v>117</v>
      </c>
      <c r="B635" s="4" t="s">
        <v>118</v>
      </c>
      <c r="C635" s="4" t="s">
        <v>119</v>
      </c>
      <c r="D635" s="4">
        <v>2</v>
      </c>
      <c r="E635" s="4">
        <v>16400</v>
      </c>
      <c r="F635" s="4">
        <v>2024</v>
      </c>
      <c r="G635" s="4"/>
      <c r="H635" s="4"/>
    </row>
    <row r="636" spans="1:8" x14ac:dyDescent="0.35">
      <c r="A636" s="4" t="s">
        <v>892</v>
      </c>
      <c r="B636" s="4" t="s">
        <v>893</v>
      </c>
      <c r="C636" s="4" t="s">
        <v>14</v>
      </c>
      <c r="D636" s="4">
        <v>4.4000000000000004</v>
      </c>
      <c r="E636" s="4">
        <v>16373</v>
      </c>
      <c r="F636" s="4">
        <v>2000</v>
      </c>
      <c r="G636" s="4"/>
      <c r="H636" s="4"/>
    </row>
    <row r="637" spans="1:8" x14ac:dyDescent="0.35">
      <c r="A637" s="4" t="s">
        <v>661</v>
      </c>
      <c r="B637" s="4" t="s">
        <v>662</v>
      </c>
      <c r="C637" s="4" t="s">
        <v>217</v>
      </c>
      <c r="D637" s="4">
        <v>4.0999999999999996</v>
      </c>
      <c r="E637" s="4">
        <v>16358</v>
      </c>
      <c r="F637" s="4">
        <v>1997</v>
      </c>
      <c r="G637" s="4"/>
      <c r="H637" s="4"/>
    </row>
    <row r="638" spans="1:8" x14ac:dyDescent="0.35">
      <c r="A638" s="4" t="s">
        <v>722</v>
      </c>
      <c r="B638" s="4" t="s">
        <v>723</v>
      </c>
      <c r="C638" s="4" t="s">
        <v>249</v>
      </c>
      <c r="D638" s="4">
        <v>4.2</v>
      </c>
      <c r="E638" s="4">
        <v>16219</v>
      </c>
      <c r="F638" s="4">
        <v>2020</v>
      </c>
      <c r="G638" s="4"/>
      <c r="H638" s="4"/>
    </row>
    <row r="639" spans="1:8" x14ac:dyDescent="0.35">
      <c r="A639" s="4" t="s">
        <v>355</v>
      </c>
      <c r="B639" s="4" t="s">
        <v>356</v>
      </c>
      <c r="C639" s="4" t="s">
        <v>56</v>
      </c>
      <c r="D639" s="4">
        <v>3.4</v>
      </c>
      <c r="E639" s="4">
        <v>16210</v>
      </c>
      <c r="F639" s="4">
        <v>2021</v>
      </c>
      <c r="G639" s="4"/>
      <c r="H639" s="4"/>
    </row>
    <row r="640" spans="1:8" x14ac:dyDescent="0.35">
      <c r="A640" s="4" t="s">
        <v>2001</v>
      </c>
      <c r="B640" s="4" t="s">
        <v>2002</v>
      </c>
      <c r="C640" s="4" t="s">
        <v>2003</v>
      </c>
      <c r="D640" s="4">
        <v>5.0999999999999996</v>
      </c>
      <c r="E640" s="4">
        <v>16206</v>
      </c>
      <c r="F640" s="4">
        <v>2022</v>
      </c>
      <c r="G640" s="4"/>
      <c r="H640" s="4"/>
    </row>
    <row r="641" spans="1:8" x14ac:dyDescent="0.35">
      <c r="A641" s="4" t="s">
        <v>1111</v>
      </c>
      <c r="B641" s="4" t="s">
        <v>1112</v>
      </c>
      <c r="C641" s="4" t="s">
        <v>178</v>
      </c>
      <c r="D641" s="4">
        <v>4.5999999999999996</v>
      </c>
      <c r="E641" s="4">
        <v>16172</v>
      </c>
      <c r="F641" s="4">
        <v>2004</v>
      </c>
      <c r="G641" s="4"/>
      <c r="H641" s="4"/>
    </row>
    <row r="642" spans="1:8" x14ac:dyDescent="0.35">
      <c r="A642" s="4" t="s">
        <v>1781</v>
      </c>
      <c r="B642" s="4" t="s">
        <v>1782</v>
      </c>
      <c r="C642" s="4" t="s">
        <v>846</v>
      </c>
      <c r="D642" s="4">
        <v>5</v>
      </c>
      <c r="E642" s="4">
        <v>16170</v>
      </c>
      <c r="F642" s="4">
        <v>1999</v>
      </c>
      <c r="G642" s="4"/>
      <c r="H642" s="4"/>
    </row>
    <row r="643" spans="1:8" x14ac:dyDescent="0.35">
      <c r="A643" s="4" t="s">
        <v>1622</v>
      </c>
      <c r="B643" s="4" t="s">
        <v>1623</v>
      </c>
      <c r="C643" s="4" t="s">
        <v>101</v>
      </c>
      <c r="D643" s="4">
        <v>4.9000000000000004</v>
      </c>
      <c r="E643" s="4">
        <v>16091</v>
      </c>
      <c r="F643" s="4">
        <v>2013</v>
      </c>
      <c r="G643" s="4"/>
      <c r="H643" s="4"/>
    </row>
    <row r="644" spans="1:8" x14ac:dyDescent="0.35">
      <c r="A644" s="4" t="s">
        <v>2004</v>
      </c>
      <c r="B644" s="4" t="s">
        <v>2005</v>
      </c>
      <c r="C644" s="4" t="s">
        <v>82</v>
      </c>
      <c r="D644" s="4">
        <v>5.0999999999999996</v>
      </c>
      <c r="E644" s="4">
        <v>16050</v>
      </c>
      <c r="F644" s="4">
        <v>2015</v>
      </c>
      <c r="G644" s="4"/>
      <c r="H644" s="4"/>
    </row>
    <row r="645" spans="1:8" x14ac:dyDescent="0.35">
      <c r="A645" s="4" t="s">
        <v>1438</v>
      </c>
      <c r="B645" s="4" t="s">
        <v>1439</v>
      </c>
      <c r="C645" s="4" t="s">
        <v>762</v>
      </c>
      <c r="D645" s="4">
        <v>4.8</v>
      </c>
      <c r="E645" s="4">
        <v>15945</v>
      </c>
      <c r="F645" s="4">
        <v>2007</v>
      </c>
      <c r="G645" s="4"/>
      <c r="H645" s="4"/>
    </row>
    <row r="646" spans="1:8" x14ac:dyDescent="0.35">
      <c r="A646" s="4" t="s">
        <v>894</v>
      </c>
      <c r="B646" s="4" t="s">
        <v>895</v>
      </c>
      <c r="C646" s="4" t="s">
        <v>896</v>
      </c>
      <c r="D646" s="4">
        <v>4.4000000000000004</v>
      </c>
      <c r="E646" s="4">
        <v>15885</v>
      </c>
      <c r="F646" s="4">
        <v>2022</v>
      </c>
      <c r="G646" s="4"/>
      <c r="H646" s="4"/>
    </row>
    <row r="647" spans="1:8" x14ac:dyDescent="0.35">
      <c r="A647" s="4" t="s">
        <v>1783</v>
      </c>
      <c r="B647" s="4" t="s">
        <v>1784</v>
      </c>
      <c r="C647" s="4" t="s">
        <v>128</v>
      </c>
      <c r="D647" s="4">
        <v>5</v>
      </c>
      <c r="E647" s="4">
        <v>15875</v>
      </c>
      <c r="F647" s="4">
        <v>2000</v>
      </c>
      <c r="G647" s="4"/>
      <c r="H647" s="4"/>
    </row>
    <row r="648" spans="1:8" x14ac:dyDescent="0.35">
      <c r="A648" s="4" t="s">
        <v>1440</v>
      </c>
      <c r="B648" s="4" t="s">
        <v>1441</v>
      </c>
      <c r="C648" s="4" t="s">
        <v>82</v>
      </c>
      <c r="D648" s="4">
        <v>4.8</v>
      </c>
      <c r="E648" s="4">
        <v>15866</v>
      </c>
      <c r="F648" s="4">
        <v>2017</v>
      </c>
      <c r="G648" s="4"/>
      <c r="H648" s="4"/>
    </row>
    <row r="649" spans="1:8" x14ac:dyDescent="0.35">
      <c r="A649" s="4" t="s">
        <v>798</v>
      </c>
      <c r="B649" s="4" t="s">
        <v>799</v>
      </c>
      <c r="C649" s="4" t="s">
        <v>169</v>
      </c>
      <c r="D649" s="4">
        <v>4.3</v>
      </c>
      <c r="E649" s="4">
        <v>15799</v>
      </c>
      <c r="F649" s="4">
        <v>2016</v>
      </c>
      <c r="G649" s="4"/>
      <c r="H649" s="4"/>
    </row>
    <row r="650" spans="1:8" x14ac:dyDescent="0.35">
      <c r="A650" s="4" t="s">
        <v>233</v>
      </c>
      <c r="B650" s="4" t="s">
        <v>234</v>
      </c>
      <c r="C650" s="4" t="s">
        <v>208</v>
      </c>
      <c r="D650" s="4">
        <v>2.8</v>
      </c>
      <c r="E650" s="4">
        <v>15791</v>
      </c>
      <c r="F650" s="4">
        <v>2019</v>
      </c>
      <c r="G650" s="4"/>
      <c r="H650" s="4"/>
    </row>
    <row r="651" spans="1:8" x14ac:dyDescent="0.35">
      <c r="A651" s="4" t="s">
        <v>1442</v>
      </c>
      <c r="B651" s="4" t="s">
        <v>1443</v>
      </c>
      <c r="C651" s="4" t="s">
        <v>56</v>
      </c>
      <c r="D651" s="4">
        <v>4.8</v>
      </c>
      <c r="E651" s="4">
        <v>15773</v>
      </c>
      <c r="F651" s="4">
        <v>2020</v>
      </c>
      <c r="G651" s="4"/>
      <c r="H651" s="4"/>
    </row>
    <row r="652" spans="1:8" x14ac:dyDescent="0.35">
      <c r="A652" s="4" t="s">
        <v>2006</v>
      </c>
      <c r="B652" s="4" t="s">
        <v>2007</v>
      </c>
      <c r="C652" s="4" t="s">
        <v>146</v>
      </c>
      <c r="D652" s="4">
        <v>5.0999999999999996</v>
      </c>
      <c r="E652" s="4">
        <v>15773</v>
      </c>
      <c r="F652" s="4">
        <v>2010</v>
      </c>
      <c r="G652" s="4"/>
      <c r="H652" s="4"/>
    </row>
    <row r="653" spans="1:8" x14ac:dyDescent="0.35">
      <c r="A653" s="4" t="s">
        <v>502</v>
      </c>
      <c r="B653" s="4" t="s">
        <v>503</v>
      </c>
      <c r="C653" s="4" t="s">
        <v>8</v>
      </c>
      <c r="D653" s="4">
        <v>3.8</v>
      </c>
      <c r="E653" s="4">
        <v>15745</v>
      </c>
      <c r="F653" s="4">
        <v>2022</v>
      </c>
      <c r="G653" s="4"/>
      <c r="H653" s="4"/>
    </row>
    <row r="654" spans="1:8" x14ac:dyDescent="0.35">
      <c r="A654" s="4" t="s">
        <v>1785</v>
      </c>
      <c r="B654" s="4" t="s">
        <v>1786</v>
      </c>
      <c r="C654" s="4" t="s">
        <v>93</v>
      </c>
      <c r="D654" s="4">
        <v>5</v>
      </c>
      <c r="E654" s="4">
        <v>15715</v>
      </c>
      <c r="F654" s="4">
        <v>2015</v>
      </c>
      <c r="G654" s="4"/>
      <c r="H654" s="4"/>
    </row>
    <row r="655" spans="1:8" x14ac:dyDescent="0.35">
      <c r="A655" s="4" t="s">
        <v>663</v>
      </c>
      <c r="B655" s="4" t="s">
        <v>664</v>
      </c>
      <c r="C655" s="4" t="s">
        <v>166</v>
      </c>
      <c r="D655" s="4">
        <v>4.0999999999999996</v>
      </c>
      <c r="E655" s="4">
        <v>15709</v>
      </c>
      <c r="F655" s="4">
        <v>2018</v>
      </c>
      <c r="G655" s="4"/>
      <c r="H655" s="4"/>
    </row>
    <row r="656" spans="1:8" x14ac:dyDescent="0.35">
      <c r="A656" s="4" t="s">
        <v>1444</v>
      </c>
      <c r="B656" s="4" t="s">
        <v>1445</v>
      </c>
      <c r="C656" s="4" t="s">
        <v>1446</v>
      </c>
      <c r="D656" s="4">
        <v>4.8</v>
      </c>
      <c r="E656" s="4">
        <v>15699</v>
      </c>
      <c r="F656" s="4">
        <v>2005</v>
      </c>
      <c r="G656" s="4"/>
      <c r="H656" s="4"/>
    </row>
    <row r="657" spans="1:8" x14ac:dyDescent="0.35">
      <c r="A657" s="4" t="s">
        <v>2008</v>
      </c>
      <c r="B657" s="4" t="s">
        <v>2009</v>
      </c>
      <c r="C657" s="4" t="s">
        <v>11</v>
      </c>
      <c r="D657" s="4">
        <v>5.0999999999999996</v>
      </c>
      <c r="E657" s="4">
        <v>15680</v>
      </c>
      <c r="F657" s="4">
        <v>1987</v>
      </c>
      <c r="G657" s="4"/>
      <c r="H657" s="4"/>
    </row>
    <row r="658" spans="1:8" x14ac:dyDescent="0.35">
      <c r="A658" s="4" t="s">
        <v>566</v>
      </c>
      <c r="B658" s="4" t="s">
        <v>567</v>
      </c>
      <c r="C658" s="4" t="s">
        <v>568</v>
      </c>
      <c r="D658" s="4">
        <v>3.9</v>
      </c>
      <c r="E658" s="4">
        <v>15666</v>
      </c>
      <c r="F658" s="4">
        <v>2024</v>
      </c>
      <c r="G658" s="4"/>
      <c r="H658" s="4"/>
    </row>
    <row r="659" spans="1:8" x14ac:dyDescent="0.35">
      <c r="A659" s="4" t="s">
        <v>147</v>
      </c>
      <c r="B659" s="4" t="s">
        <v>148</v>
      </c>
      <c r="C659" s="4" t="s">
        <v>149</v>
      </c>
      <c r="D659" s="4">
        <v>2.2999999999999998</v>
      </c>
      <c r="E659" s="4">
        <v>15639</v>
      </c>
      <c r="F659" s="4">
        <v>2007</v>
      </c>
      <c r="G659" s="4"/>
      <c r="H659" s="4"/>
    </row>
    <row r="660" spans="1:8" x14ac:dyDescent="0.35">
      <c r="A660" s="4" t="s">
        <v>85</v>
      </c>
      <c r="B660" s="4" t="s">
        <v>86</v>
      </c>
      <c r="C660" s="4" t="s">
        <v>87</v>
      </c>
      <c r="D660" s="4">
        <v>1.7</v>
      </c>
      <c r="E660" s="4">
        <v>15623</v>
      </c>
      <c r="F660" s="4">
        <v>2021</v>
      </c>
      <c r="G660" s="4"/>
      <c r="H660" s="4"/>
    </row>
    <row r="661" spans="1:8" x14ac:dyDescent="0.35">
      <c r="A661" s="4" t="s">
        <v>1447</v>
      </c>
      <c r="B661" s="4" t="s">
        <v>1448</v>
      </c>
      <c r="C661" s="4" t="s">
        <v>1160</v>
      </c>
      <c r="D661" s="4">
        <v>4.8</v>
      </c>
      <c r="E661" s="4">
        <v>15608</v>
      </c>
      <c r="F661" s="4">
        <v>2017</v>
      </c>
      <c r="G661" s="4"/>
      <c r="H661" s="4"/>
    </row>
    <row r="662" spans="1:8" x14ac:dyDescent="0.35">
      <c r="A662" s="4" t="s">
        <v>1264</v>
      </c>
      <c r="B662" s="4" t="s">
        <v>1265</v>
      </c>
      <c r="C662" s="4" t="s">
        <v>172</v>
      </c>
      <c r="D662" s="4">
        <v>4.7</v>
      </c>
      <c r="E662" s="4">
        <v>15602</v>
      </c>
      <c r="F662" s="4">
        <v>2020</v>
      </c>
      <c r="G662" s="4"/>
      <c r="H662" s="4"/>
    </row>
    <row r="663" spans="1:8" x14ac:dyDescent="0.35">
      <c r="A663" s="4" t="s">
        <v>569</v>
      </c>
      <c r="B663" s="4" t="s">
        <v>570</v>
      </c>
      <c r="C663" s="4" t="s">
        <v>571</v>
      </c>
      <c r="D663" s="4">
        <v>3.9</v>
      </c>
      <c r="E663" s="4">
        <v>15551</v>
      </c>
      <c r="F663" s="4">
        <v>2023</v>
      </c>
      <c r="G663" s="4"/>
      <c r="H663" s="4"/>
    </row>
    <row r="664" spans="1:8" x14ac:dyDescent="0.35">
      <c r="A664" s="4" t="s">
        <v>2010</v>
      </c>
      <c r="B664" s="4" t="s">
        <v>2011</v>
      </c>
      <c r="C664" s="4" t="s">
        <v>669</v>
      </c>
      <c r="D664" s="4">
        <v>5.0999999999999996</v>
      </c>
      <c r="E664" s="4">
        <v>15538</v>
      </c>
      <c r="F664" s="4">
        <v>2000</v>
      </c>
      <c r="G664" s="4"/>
      <c r="H664" s="4"/>
    </row>
    <row r="665" spans="1:8" x14ac:dyDescent="0.35">
      <c r="A665" s="4" t="s">
        <v>88</v>
      </c>
      <c r="B665" s="4" t="s">
        <v>89</v>
      </c>
      <c r="C665" s="4" t="s">
        <v>90</v>
      </c>
      <c r="D665" s="4">
        <v>1.7</v>
      </c>
      <c r="E665" s="4">
        <v>15518</v>
      </c>
      <c r="F665" s="4">
        <v>2012</v>
      </c>
      <c r="G665" s="4"/>
      <c r="H665" s="4"/>
    </row>
    <row r="666" spans="1:8" x14ac:dyDescent="0.35">
      <c r="A666" s="4" t="s">
        <v>357</v>
      </c>
      <c r="B666" s="4" t="s">
        <v>358</v>
      </c>
      <c r="C666" s="4" t="s">
        <v>359</v>
      </c>
      <c r="D666" s="4">
        <v>3.4</v>
      </c>
      <c r="E666" s="4">
        <v>15510</v>
      </c>
      <c r="F666" s="4">
        <v>2020</v>
      </c>
      <c r="G666" s="4"/>
      <c r="H666" s="4"/>
    </row>
    <row r="667" spans="1:8" x14ac:dyDescent="0.35">
      <c r="A667" s="4" t="s">
        <v>1266</v>
      </c>
      <c r="B667" s="4" t="s">
        <v>1267</v>
      </c>
      <c r="C667" s="4" t="s">
        <v>11</v>
      </c>
      <c r="D667" s="4">
        <v>4.7</v>
      </c>
      <c r="E667" s="4">
        <v>15510</v>
      </c>
      <c r="F667" s="4">
        <v>2020</v>
      </c>
      <c r="G667" s="4"/>
      <c r="H667" s="4"/>
    </row>
    <row r="668" spans="1:8" x14ac:dyDescent="0.35">
      <c r="A668" s="4" t="s">
        <v>800</v>
      </c>
      <c r="B668" s="4" t="s">
        <v>801</v>
      </c>
      <c r="C668" s="4" t="s">
        <v>76</v>
      </c>
      <c r="D668" s="4">
        <v>4.3</v>
      </c>
      <c r="E668" s="4">
        <v>15469</v>
      </c>
      <c r="F668" s="4">
        <v>2009</v>
      </c>
      <c r="G668" s="4"/>
      <c r="H668" s="4"/>
    </row>
    <row r="669" spans="1:8" x14ac:dyDescent="0.35">
      <c r="A669" s="4" t="s">
        <v>1268</v>
      </c>
      <c r="B669" s="4" t="s">
        <v>1269</v>
      </c>
      <c r="C669" s="4" t="s">
        <v>101</v>
      </c>
      <c r="D669" s="4">
        <v>4.7</v>
      </c>
      <c r="E669" s="4">
        <v>15442</v>
      </c>
      <c r="F669" s="4">
        <v>2023</v>
      </c>
      <c r="G669" s="4"/>
      <c r="H669" s="4"/>
    </row>
    <row r="670" spans="1:8" x14ac:dyDescent="0.35">
      <c r="A670" s="4" t="s">
        <v>2012</v>
      </c>
      <c r="B670" s="4" t="s">
        <v>2013</v>
      </c>
      <c r="C670" s="4" t="s">
        <v>65</v>
      </c>
      <c r="D670" s="4">
        <v>5.0999999999999996</v>
      </c>
      <c r="E670" s="4">
        <v>15440</v>
      </c>
      <c r="F670" s="4">
        <v>2010</v>
      </c>
      <c r="G670" s="4"/>
      <c r="H670" s="4"/>
    </row>
    <row r="671" spans="1:8" x14ac:dyDescent="0.35">
      <c r="A671" s="4" t="s">
        <v>1449</v>
      </c>
      <c r="B671" s="4" t="s">
        <v>1450</v>
      </c>
      <c r="C671" s="4" t="s">
        <v>1451</v>
      </c>
      <c r="D671" s="4">
        <v>4.8</v>
      </c>
      <c r="E671" s="4">
        <v>15399</v>
      </c>
      <c r="F671" s="4">
        <v>2020</v>
      </c>
      <c r="G671" s="4"/>
      <c r="H671" s="4"/>
    </row>
    <row r="672" spans="1:8" x14ac:dyDescent="0.35">
      <c r="A672" s="4" t="s">
        <v>302</v>
      </c>
      <c r="B672" s="4" t="s">
        <v>303</v>
      </c>
      <c r="C672" s="4" t="s">
        <v>163</v>
      </c>
      <c r="D672" s="4">
        <v>3.2</v>
      </c>
      <c r="E672" s="4">
        <v>15389</v>
      </c>
      <c r="F672" s="4">
        <v>1990</v>
      </c>
      <c r="G672" s="4"/>
      <c r="H672" s="4"/>
    </row>
    <row r="673" spans="1:8" x14ac:dyDescent="0.35">
      <c r="A673" s="4" t="s">
        <v>170</v>
      </c>
      <c r="B673" s="4" t="s">
        <v>171</v>
      </c>
      <c r="C673" s="4" t="s">
        <v>172</v>
      </c>
      <c r="D673" s="4">
        <v>2.5</v>
      </c>
      <c r="E673" s="4">
        <v>15382</v>
      </c>
      <c r="F673" s="4">
        <v>2021</v>
      </c>
      <c r="G673" s="4"/>
      <c r="H673" s="4"/>
    </row>
    <row r="674" spans="1:8" x14ac:dyDescent="0.35">
      <c r="A674" s="4" t="s">
        <v>802</v>
      </c>
      <c r="B674" s="4" t="s">
        <v>803</v>
      </c>
      <c r="C674" s="4" t="s">
        <v>804</v>
      </c>
      <c r="D674" s="4">
        <v>4.3</v>
      </c>
      <c r="E674" s="4">
        <v>15376</v>
      </c>
      <c r="F674" s="4">
        <v>2015</v>
      </c>
      <c r="G674" s="4"/>
      <c r="H674" s="4"/>
    </row>
    <row r="675" spans="1:8" x14ac:dyDescent="0.35">
      <c r="A675" s="4" t="s">
        <v>173</v>
      </c>
      <c r="B675" s="4" t="s">
        <v>174</v>
      </c>
      <c r="C675" s="4" t="s">
        <v>175</v>
      </c>
      <c r="D675" s="4">
        <v>2.5</v>
      </c>
      <c r="E675" s="4">
        <v>15339</v>
      </c>
      <c r="F675" s="4">
        <v>2022</v>
      </c>
      <c r="G675" s="4"/>
      <c r="H675" s="4"/>
    </row>
    <row r="676" spans="1:8" x14ac:dyDescent="0.35">
      <c r="A676" s="4" t="s">
        <v>1452</v>
      </c>
      <c r="B676" s="4" t="s">
        <v>1453</v>
      </c>
      <c r="C676" s="4" t="s">
        <v>275</v>
      </c>
      <c r="D676" s="4">
        <v>4.8</v>
      </c>
      <c r="E676" s="4">
        <v>15334</v>
      </c>
      <c r="F676" s="4">
        <v>2007</v>
      </c>
      <c r="G676" s="4"/>
      <c r="H676" s="4"/>
    </row>
    <row r="677" spans="1:8" x14ac:dyDescent="0.35">
      <c r="A677" s="4" t="s">
        <v>1113</v>
      </c>
      <c r="B677" s="4" t="s">
        <v>1114</v>
      </c>
      <c r="C677" s="4" t="s">
        <v>1115</v>
      </c>
      <c r="D677" s="4">
        <v>4.5999999999999996</v>
      </c>
      <c r="E677" s="4">
        <v>15311</v>
      </c>
      <c r="F677" s="4">
        <v>1978</v>
      </c>
      <c r="G677" s="4"/>
      <c r="H677" s="4"/>
    </row>
    <row r="678" spans="1:8" x14ac:dyDescent="0.35">
      <c r="A678" s="4" t="s">
        <v>273</v>
      </c>
      <c r="B678" s="4" t="s">
        <v>274</v>
      </c>
      <c r="C678" s="4" t="s">
        <v>275</v>
      </c>
      <c r="D678" s="4">
        <v>3</v>
      </c>
      <c r="E678" s="4">
        <v>15292</v>
      </c>
      <c r="F678" s="4">
        <v>1997</v>
      </c>
      <c r="G678" s="4"/>
      <c r="H678" s="4"/>
    </row>
    <row r="679" spans="1:8" x14ac:dyDescent="0.35">
      <c r="A679" s="4" t="s">
        <v>2014</v>
      </c>
      <c r="B679" s="4" t="s">
        <v>2015</v>
      </c>
      <c r="C679" s="4" t="s">
        <v>116</v>
      </c>
      <c r="D679" s="4">
        <v>5.0999999999999996</v>
      </c>
      <c r="E679" s="4">
        <v>15272</v>
      </c>
      <c r="F679" s="4">
        <v>2009</v>
      </c>
      <c r="G679" s="4"/>
      <c r="H679" s="4"/>
    </row>
    <row r="680" spans="1:8" x14ac:dyDescent="0.35">
      <c r="A680" s="4" t="s">
        <v>2016</v>
      </c>
      <c r="B680" s="4" t="s">
        <v>2017</v>
      </c>
      <c r="C680" s="4" t="s">
        <v>577</v>
      </c>
      <c r="D680" s="4">
        <v>5.0999999999999996</v>
      </c>
      <c r="E680" s="4">
        <v>15261</v>
      </c>
      <c r="F680" s="4">
        <v>2014</v>
      </c>
      <c r="G680" s="4"/>
      <c r="H680" s="4"/>
    </row>
    <row r="681" spans="1:8" x14ac:dyDescent="0.35">
      <c r="A681" s="4" t="s">
        <v>1454</v>
      </c>
      <c r="B681" s="4" t="s">
        <v>1455</v>
      </c>
      <c r="C681" s="4" t="s">
        <v>128</v>
      </c>
      <c r="D681" s="4">
        <v>4.8</v>
      </c>
      <c r="E681" s="4">
        <v>15187</v>
      </c>
      <c r="F681" s="4">
        <v>2024</v>
      </c>
      <c r="G681" s="4"/>
      <c r="H681" s="4"/>
    </row>
    <row r="682" spans="1:8" x14ac:dyDescent="0.35">
      <c r="A682" s="4" t="s">
        <v>1456</v>
      </c>
      <c r="B682" s="4" t="s">
        <v>1457</v>
      </c>
      <c r="C682" s="4" t="s">
        <v>565</v>
      </c>
      <c r="D682" s="4">
        <v>4.8</v>
      </c>
      <c r="E682" s="4">
        <v>15180</v>
      </c>
      <c r="F682" s="4">
        <v>2016</v>
      </c>
      <c r="G682" s="4"/>
      <c r="H682" s="4"/>
    </row>
    <row r="683" spans="1:8" x14ac:dyDescent="0.35">
      <c r="A683" s="4" t="s">
        <v>665</v>
      </c>
      <c r="B683" s="4" t="s">
        <v>666</v>
      </c>
      <c r="C683" s="4" t="s">
        <v>128</v>
      </c>
      <c r="D683" s="4">
        <v>4.0999999999999996</v>
      </c>
      <c r="E683" s="4">
        <v>15170</v>
      </c>
      <c r="F683" s="4">
        <v>2023</v>
      </c>
      <c r="G683" s="4"/>
      <c r="H683" s="4"/>
    </row>
    <row r="684" spans="1:8" x14ac:dyDescent="0.35">
      <c r="A684" s="4" t="s">
        <v>2018</v>
      </c>
      <c r="B684" s="4" t="s">
        <v>2019</v>
      </c>
      <c r="C684" s="4" t="s">
        <v>400</v>
      </c>
      <c r="D684" s="4">
        <v>5.0999999999999996</v>
      </c>
      <c r="E684" s="4">
        <v>15159</v>
      </c>
      <c r="F684" s="4">
        <v>2016</v>
      </c>
      <c r="G684" s="4"/>
      <c r="H684" s="4"/>
    </row>
    <row r="685" spans="1:8" x14ac:dyDescent="0.35">
      <c r="A685" s="4" t="s">
        <v>1270</v>
      </c>
      <c r="B685" s="4" t="s">
        <v>1271</v>
      </c>
      <c r="C685" s="4" t="s">
        <v>1272</v>
      </c>
      <c r="D685" s="4">
        <v>4.7</v>
      </c>
      <c r="E685" s="4">
        <v>15158</v>
      </c>
      <c r="F685" s="4">
        <v>2001</v>
      </c>
      <c r="G685" s="4"/>
      <c r="H685" s="4"/>
    </row>
    <row r="686" spans="1:8" x14ac:dyDescent="0.35">
      <c r="A686" s="4" t="s">
        <v>423</v>
      </c>
      <c r="B686" s="4" t="s">
        <v>424</v>
      </c>
      <c r="C686" s="4" t="s">
        <v>270</v>
      </c>
      <c r="D686" s="4">
        <v>3.6</v>
      </c>
      <c r="E686" s="4">
        <v>15154</v>
      </c>
      <c r="F686" s="4">
        <v>2009</v>
      </c>
      <c r="G686" s="4"/>
      <c r="H686" s="4"/>
    </row>
    <row r="687" spans="1:8" x14ac:dyDescent="0.35">
      <c r="A687" s="4" t="s">
        <v>304</v>
      </c>
      <c r="B687" s="4" t="s">
        <v>305</v>
      </c>
      <c r="C687" s="4" t="s">
        <v>163</v>
      </c>
      <c r="D687" s="4">
        <v>3.2</v>
      </c>
      <c r="E687" s="4">
        <v>15151</v>
      </c>
      <c r="F687" s="4">
        <v>2008</v>
      </c>
      <c r="G687" s="4"/>
      <c r="H687" s="4"/>
    </row>
    <row r="688" spans="1:8" x14ac:dyDescent="0.35">
      <c r="A688" s="4" t="s">
        <v>609</v>
      </c>
      <c r="B688" s="4" t="s">
        <v>610</v>
      </c>
      <c r="C688" s="4" t="s">
        <v>508</v>
      </c>
      <c r="D688" s="4">
        <v>4</v>
      </c>
      <c r="E688" s="4">
        <v>15140</v>
      </c>
      <c r="F688" s="4">
        <v>2021</v>
      </c>
      <c r="G688" s="4"/>
      <c r="H688" s="4"/>
    </row>
    <row r="689" spans="1:8" x14ac:dyDescent="0.35">
      <c r="A689" s="4" t="s">
        <v>2020</v>
      </c>
      <c r="B689" s="4" t="s">
        <v>2021</v>
      </c>
      <c r="C689" s="4" t="s">
        <v>400</v>
      </c>
      <c r="D689" s="4">
        <v>5.0999999999999996</v>
      </c>
      <c r="E689" s="4">
        <v>15092</v>
      </c>
      <c r="F689" s="4">
        <v>2018</v>
      </c>
      <c r="G689" s="4"/>
      <c r="H689" s="4"/>
    </row>
    <row r="690" spans="1:8" x14ac:dyDescent="0.35">
      <c r="A690" s="4" t="s">
        <v>1273</v>
      </c>
      <c r="B690" s="4" t="s">
        <v>1274</v>
      </c>
      <c r="C690" s="4" t="s">
        <v>175</v>
      </c>
      <c r="D690" s="4">
        <v>4.7</v>
      </c>
      <c r="E690" s="4">
        <v>15023</v>
      </c>
      <c r="F690" s="4">
        <v>2024</v>
      </c>
      <c r="G690" s="4"/>
      <c r="H690" s="4"/>
    </row>
    <row r="691" spans="1:8" x14ac:dyDescent="0.35">
      <c r="A691" s="4" t="s">
        <v>2022</v>
      </c>
      <c r="B691" s="4" t="s">
        <v>2023</v>
      </c>
      <c r="C691" s="4" t="s">
        <v>31</v>
      </c>
      <c r="D691" s="4">
        <v>5.0999999999999996</v>
      </c>
      <c r="E691" s="4">
        <v>15018</v>
      </c>
      <c r="F691" s="4">
        <v>2015</v>
      </c>
      <c r="G691" s="4"/>
      <c r="H691" s="4"/>
    </row>
    <row r="692" spans="1:8" x14ac:dyDescent="0.35">
      <c r="A692" s="4" t="s">
        <v>988</v>
      </c>
      <c r="B692" s="4" t="s">
        <v>989</v>
      </c>
      <c r="C692" s="4" t="s">
        <v>549</v>
      </c>
      <c r="D692" s="4">
        <v>4.5</v>
      </c>
      <c r="E692" s="4">
        <v>14962</v>
      </c>
      <c r="F692" s="4">
        <v>1994</v>
      </c>
      <c r="G692" s="4"/>
      <c r="H692" s="4"/>
    </row>
    <row r="693" spans="1:8" x14ac:dyDescent="0.35">
      <c r="A693" s="4" t="s">
        <v>35</v>
      </c>
      <c r="B693" s="4" t="s">
        <v>36</v>
      </c>
      <c r="C693" s="4" t="s">
        <v>37</v>
      </c>
      <c r="D693" s="4">
        <v>1.2</v>
      </c>
      <c r="E693" s="4">
        <v>14938</v>
      </c>
      <c r="F693" s="4">
        <v>2004</v>
      </c>
      <c r="G693" s="4"/>
      <c r="H693" s="4"/>
    </row>
    <row r="694" spans="1:8" x14ac:dyDescent="0.35">
      <c r="A694" s="4" t="s">
        <v>1787</v>
      </c>
      <c r="B694" s="4" t="s">
        <v>1788</v>
      </c>
      <c r="C694" s="4" t="s">
        <v>1789</v>
      </c>
      <c r="D694" s="4">
        <v>5</v>
      </c>
      <c r="E694" s="4">
        <v>14933</v>
      </c>
      <c r="F694" s="4">
        <v>1994</v>
      </c>
      <c r="G694" s="4"/>
      <c r="H694" s="4"/>
    </row>
    <row r="695" spans="1:8" x14ac:dyDescent="0.35">
      <c r="A695" s="4" t="s">
        <v>1624</v>
      </c>
      <c r="B695" s="4" t="s">
        <v>1625</v>
      </c>
      <c r="C695" s="4" t="s">
        <v>441</v>
      </c>
      <c r="D695" s="4">
        <v>4.9000000000000004</v>
      </c>
      <c r="E695" s="4">
        <v>14900</v>
      </c>
      <c r="F695" s="4">
        <v>2010</v>
      </c>
      <c r="G695" s="4"/>
      <c r="H695" s="4"/>
    </row>
    <row r="696" spans="1:8" x14ac:dyDescent="0.35">
      <c r="A696" s="4" t="s">
        <v>504</v>
      </c>
      <c r="B696" s="4" t="s">
        <v>505</v>
      </c>
      <c r="C696" s="4" t="s">
        <v>166</v>
      </c>
      <c r="D696" s="4">
        <v>3.8</v>
      </c>
      <c r="E696" s="4">
        <v>14876</v>
      </c>
      <c r="F696" s="4">
        <v>2008</v>
      </c>
      <c r="G696" s="4"/>
      <c r="H696" s="4"/>
    </row>
    <row r="697" spans="1:8" x14ac:dyDescent="0.35">
      <c r="A697" s="4" t="s">
        <v>1626</v>
      </c>
      <c r="B697" s="4" t="s">
        <v>1627</v>
      </c>
      <c r="C697" s="4" t="s">
        <v>175</v>
      </c>
      <c r="D697" s="4">
        <v>4.9000000000000004</v>
      </c>
      <c r="E697" s="4">
        <v>14869</v>
      </c>
      <c r="F697" s="4">
        <v>2002</v>
      </c>
      <c r="G697" s="4"/>
      <c r="H697" s="4"/>
    </row>
    <row r="698" spans="1:8" x14ac:dyDescent="0.35">
      <c r="A698" s="4" t="s">
        <v>360</v>
      </c>
      <c r="B698" s="4" t="s">
        <v>361</v>
      </c>
      <c r="C698" s="4" t="s">
        <v>217</v>
      </c>
      <c r="D698" s="4">
        <v>3.4</v>
      </c>
      <c r="E698" s="4">
        <v>14836</v>
      </c>
      <c r="F698" s="4">
        <v>1988</v>
      </c>
      <c r="G698" s="4"/>
      <c r="H698" s="4"/>
    </row>
    <row r="699" spans="1:8" x14ac:dyDescent="0.35">
      <c r="A699" s="4" t="s">
        <v>1790</v>
      </c>
      <c r="B699" s="4" t="s">
        <v>1791</v>
      </c>
      <c r="C699" s="4" t="s">
        <v>44</v>
      </c>
      <c r="D699" s="4">
        <v>5</v>
      </c>
      <c r="E699" s="4">
        <v>14771</v>
      </c>
      <c r="F699" s="4">
        <v>2010</v>
      </c>
      <c r="G699" s="4"/>
      <c r="H699" s="4"/>
    </row>
    <row r="700" spans="1:8" x14ac:dyDescent="0.35">
      <c r="A700" s="4" t="s">
        <v>611</v>
      </c>
      <c r="B700" s="4" t="s">
        <v>612</v>
      </c>
      <c r="C700" s="4" t="s">
        <v>178</v>
      </c>
      <c r="D700" s="4">
        <v>4</v>
      </c>
      <c r="E700" s="4">
        <v>14748</v>
      </c>
      <c r="F700" s="4">
        <v>2017</v>
      </c>
      <c r="G700" s="4"/>
      <c r="H700" s="4"/>
    </row>
    <row r="701" spans="1:8" x14ac:dyDescent="0.35">
      <c r="A701" s="4" t="s">
        <v>94</v>
      </c>
      <c r="B701" s="4" t="s">
        <v>95</v>
      </c>
      <c r="C701" s="4" t="s">
        <v>11</v>
      </c>
      <c r="D701" s="4">
        <v>1.8</v>
      </c>
      <c r="E701" s="4">
        <v>14728</v>
      </c>
      <c r="F701" s="4">
        <v>1989</v>
      </c>
      <c r="G701" s="4"/>
      <c r="H701" s="4"/>
    </row>
    <row r="702" spans="1:8" x14ac:dyDescent="0.35">
      <c r="A702" s="4" t="s">
        <v>1275</v>
      </c>
      <c r="B702" s="4" t="s">
        <v>1276</v>
      </c>
      <c r="C702" s="4" t="s">
        <v>1277</v>
      </c>
      <c r="D702" s="4">
        <v>4.7</v>
      </c>
      <c r="E702" s="4">
        <v>14719</v>
      </c>
      <c r="F702" s="4">
        <v>2009</v>
      </c>
      <c r="G702" s="4"/>
      <c r="H702" s="4"/>
    </row>
    <row r="703" spans="1:8" x14ac:dyDescent="0.35">
      <c r="A703" s="4" t="s">
        <v>1458</v>
      </c>
      <c r="B703" s="4" t="s">
        <v>1459</v>
      </c>
      <c r="C703" s="4" t="s">
        <v>152</v>
      </c>
      <c r="D703" s="4">
        <v>4.8</v>
      </c>
      <c r="E703" s="4">
        <v>14707</v>
      </c>
      <c r="F703" s="4">
        <v>1993</v>
      </c>
      <c r="G703" s="4"/>
      <c r="H703" s="4"/>
    </row>
    <row r="704" spans="1:8" x14ac:dyDescent="0.35">
      <c r="A704" s="4" t="s">
        <v>212</v>
      </c>
      <c r="B704" s="4" t="s">
        <v>213</v>
      </c>
      <c r="C704" s="4" t="s">
        <v>214</v>
      </c>
      <c r="D704" s="4">
        <v>2.7</v>
      </c>
      <c r="E704" s="4">
        <v>14689</v>
      </c>
      <c r="F704" s="4">
        <v>2010</v>
      </c>
      <c r="G704" s="4"/>
      <c r="H704" s="4"/>
    </row>
    <row r="705" spans="1:8" x14ac:dyDescent="0.35">
      <c r="A705" s="4" t="s">
        <v>897</v>
      </c>
      <c r="B705" s="4" t="s">
        <v>898</v>
      </c>
      <c r="C705" s="4" t="s">
        <v>93</v>
      </c>
      <c r="D705" s="4">
        <v>4.4000000000000004</v>
      </c>
      <c r="E705" s="4">
        <v>14645</v>
      </c>
      <c r="F705" s="4">
        <v>2023</v>
      </c>
      <c r="G705" s="4"/>
      <c r="H705" s="4"/>
    </row>
    <row r="706" spans="1:8" x14ac:dyDescent="0.35">
      <c r="A706" s="4" t="s">
        <v>805</v>
      </c>
      <c r="B706" s="4" t="s">
        <v>806</v>
      </c>
      <c r="C706" s="4" t="s">
        <v>178</v>
      </c>
      <c r="D706" s="4">
        <v>4.3</v>
      </c>
      <c r="E706" s="4">
        <v>14644</v>
      </c>
      <c r="F706" s="4">
        <v>2004</v>
      </c>
      <c r="G706" s="4"/>
      <c r="H706" s="4"/>
    </row>
    <row r="707" spans="1:8" x14ac:dyDescent="0.35">
      <c r="A707" s="4" t="s">
        <v>724</v>
      </c>
      <c r="B707" s="4" t="s">
        <v>725</v>
      </c>
      <c r="C707" s="4" t="s">
        <v>639</v>
      </c>
      <c r="D707" s="4">
        <v>4.2</v>
      </c>
      <c r="E707" s="4">
        <v>14639</v>
      </c>
      <c r="F707" s="4">
        <v>2021</v>
      </c>
      <c r="G707" s="4"/>
      <c r="H707" s="4"/>
    </row>
    <row r="708" spans="1:8" x14ac:dyDescent="0.35">
      <c r="A708" s="4" t="s">
        <v>2024</v>
      </c>
      <c r="B708" s="4" t="s">
        <v>2025</v>
      </c>
      <c r="C708" s="4" t="s">
        <v>59</v>
      </c>
      <c r="D708" s="4">
        <v>5.0999999999999996</v>
      </c>
      <c r="E708" s="4">
        <v>14637</v>
      </c>
      <c r="F708" s="4">
        <v>1999</v>
      </c>
      <c r="G708" s="4"/>
      <c r="H708" s="4"/>
    </row>
    <row r="709" spans="1:8" x14ac:dyDescent="0.35">
      <c r="A709" s="4" t="s">
        <v>1278</v>
      </c>
      <c r="B709" s="4" t="s">
        <v>1279</v>
      </c>
      <c r="C709" s="4" t="s">
        <v>508</v>
      </c>
      <c r="D709" s="4">
        <v>4.7</v>
      </c>
      <c r="E709" s="4">
        <v>14622</v>
      </c>
      <c r="F709" s="4">
        <v>2017</v>
      </c>
      <c r="G709" s="4"/>
      <c r="H709" s="4"/>
    </row>
    <row r="710" spans="1:8" x14ac:dyDescent="0.35">
      <c r="A710" s="4" t="s">
        <v>425</v>
      </c>
      <c r="B710" s="4" t="s">
        <v>426</v>
      </c>
      <c r="C710" s="4" t="s">
        <v>427</v>
      </c>
      <c r="D710" s="4">
        <v>3.6</v>
      </c>
      <c r="E710" s="4">
        <v>14619</v>
      </c>
      <c r="F710" s="4">
        <v>2009</v>
      </c>
      <c r="G710" s="4"/>
      <c r="H710" s="4"/>
    </row>
    <row r="711" spans="1:8" x14ac:dyDescent="0.35">
      <c r="A711" s="4" t="s">
        <v>1628</v>
      </c>
      <c r="B711" s="4" t="s">
        <v>1629</v>
      </c>
      <c r="C711" s="4" t="s">
        <v>915</v>
      </c>
      <c r="D711" s="4">
        <v>4.9000000000000004</v>
      </c>
      <c r="E711" s="4">
        <v>14610</v>
      </c>
      <c r="F711" s="4">
        <v>2020</v>
      </c>
      <c r="G711" s="4"/>
      <c r="H711" s="4"/>
    </row>
    <row r="712" spans="1:8" x14ac:dyDescent="0.35">
      <c r="A712" s="4" t="s">
        <v>428</v>
      </c>
      <c r="B712" s="4" t="s">
        <v>429</v>
      </c>
      <c r="C712" s="4" t="s">
        <v>125</v>
      </c>
      <c r="D712" s="4">
        <v>3.6</v>
      </c>
      <c r="E712" s="4">
        <v>14588</v>
      </c>
      <c r="F712" s="4">
        <v>2019</v>
      </c>
      <c r="G712" s="4"/>
      <c r="H712" s="4"/>
    </row>
    <row r="713" spans="1:8" x14ac:dyDescent="0.35">
      <c r="A713" s="4" t="s">
        <v>2026</v>
      </c>
      <c r="B713" s="4" t="s">
        <v>2027</v>
      </c>
      <c r="C713" s="4" t="s">
        <v>169</v>
      </c>
      <c r="D713" s="4">
        <v>5.0999999999999996</v>
      </c>
      <c r="E713" s="4">
        <v>14554</v>
      </c>
      <c r="F713" s="4">
        <v>2006</v>
      </c>
      <c r="G713" s="4"/>
      <c r="H713" s="4"/>
    </row>
    <row r="714" spans="1:8" x14ac:dyDescent="0.35">
      <c r="A714" s="4" t="s">
        <v>807</v>
      </c>
      <c r="B714" s="4" t="s">
        <v>808</v>
      </c>
      <c r="C714" s="4" t="s">
        <v>82</v>
      </c>
      <c r="D714" s="4">
        <v>4.3</v>
      </c>
      <c r="E714" s="4">
        <v>14517</v>
      </c>
      <c r="F714" s="4">
        <v>2010</v>
      </c>
      <c r="G714" s="4"/>
      <c r="H714" s="4"/>
    </row>
    <row r="715" spans="1:8" x14ac:dyDescent="0.35">
      <c r="A715" s="4" t="s">
        <v>1116</v>
      </c>
      <c r="B715" s="4" t="s">
        <v>1117</v>
      </c>
      <c r="C715" s="4" t="s">
        <v>134</v>
      </c>
      <c r="D715" s="4">
        <v>4.5999999999999996</v>
      </c>
      <c r="E715" s="4">
        <v>14471</v>
      </c>
      <c r="F715" s="4">
        <v>2014</v>
      </c>
      <c r="G715" s="4"/>
      <c r="H715" s="4"/>
    </row>
    <row r="716" spans="1:8" x14ac:dyDescent="0.35">
      <c r="A716" s="4" t="s">
        <v>383</v>
      </c>
      <c r="B716" s="4" t="s">
        <v>384</v>
      </c>
      <c r="C716" s="4" t="s">
        <v>128</v>
      </c>
      <c r="D716" s="4">
        <v>3.5</v>
      </c>
      <c r="E716" s="4">
        <v>14462</v>
      </c>
      <c r="F716" s="4">
        <v>2023</v>
      </c>
      <c r="G716" s="4"/>
      <c r="H716" s="4"/>
    </row>
    <row r="717" spans="1:8" x14ac:dyDescent="0.35">
      <c r="A717" s="4" t="s">
        <v>1792</v>
      </c>
      <c r="B717" s="4" t="s">
        <v>1793</v>
      </c>
      <c r="C717" s="4" t="s">
        <v>146</v>
      </c>
      <c r="D717" s="4">
        <v>5</v>
      </c>
      <c r="E717" s="4">
        <v>14433</v>
      </c>
      <c r="F717" s="4">
        <v>2010</v>
      </c>
      <c r="G717" s="4"/>
      <c r="H717" s="4"/>
    </row>
    <row r="718" spans="1:8" x14ac:dyDescent="0.35">
      <c r="A718" s="4" t="s">
        <v>1280</v>
      </c>
      <c r="B718" s="4" t="s">
        <v>1281</v>
      </c>
      <c r="C718" s="4" t="s">
        <v>26</v>
      </c>
      <c r="D718" s="4">
        <v>4.7</v>
      </c>
      <c r="E718" s="4">
        <v>14293</v>
      </c>
      <c r="F718" s="4">
        <v>2003</v>
      </c>
      <c r="G718" s="4"/>
      <c r="H718" s="4"/>
    </row>
    <row r="719" spans="1:8" x14ac:dyDescent="0.35">
      <c r="A719" s="4" t="s">
        <v>726</v>
      </c>
      <c r="B719" s="4" t="s">
        <v>727</v>
      </c>
      <c r="C719" s="4" t="s">
        <v>82</v>
      </c>
      <c r="D719" s="4">
        <v>4.2</v>
      </c>
      <c r="E719" s="4">
        <v>14288</v>
      </c>
      <c r="F719" s="4">
        <v>2017</v>
      </c>
      <c r="G719" s="4"/>
      <c r="H719" s="4"/>
    </row>
    <row r="720" spans="1:8" x14ac:dyDescent="0.35">
      <c r="A720" s="4" t="s">
        <v>2028</v>
      </c>
      <c r="B720" s="4" t="s">
        <v>2029</v>
      </c>
      <c r="C720" s="4" t="s">
        <v>149</v>
      </c>
      <c r="D720" s="4">
        <v>5.0999999999999996</v>
      </c>
      <c r="E720" s="4">
        <v>14244</v>
      </c>
      <c r="F720" s="4">
        <v>2007</v>
      </c>
      <c r="G720" s="4"/>
      <c r="H720" s="4"/>
    </row>
    <row r="721" spans="1:8" x14ac:dyDescent="0.35">
      <c r="A721" s="4" t="s">
        <v>990</v>
      </c>
      <c r="B721" s="4" t="s">
        <v>991</v>
      </c>
      <c r="C721" s="4" t="s">
        <v>146</v>
      </c>
      <c r="D721" s="4">
        <v>4.5</v>
      </c>
      <c r="E721" s="4">
        <v>14242</v>
      </c>
      <c r="F721" s="4">
        <v>2009</v>
      </c>
      <c r="G721" s="4"/>
      <c r="H721" s="4"/>
    </row>
    <row r="722" spans="1:8" x14ac:dyDescent="0.35">
      <c r="A722" s="4" t="s">
        <v>1460</v>
      </c>
      <c r="B722" s="4" t="s">
        <v>1461</v>
      </c>
      <c r="C722" s="4" t="s">
        <v>175</v>
      </c>
      <c r="D722" s="4">
        <v>4.8</v>
      </c>
      <c r="E722" s="4">
        <v>14227</v>
      </c>
      <c r="F722" s="4">
        <v>2002</v>
      </c>
      <c r="G722" s="4"/>
      <c r="H722" s="4"/>
    </row>
    <row r="723" spans="1:8" x14ac:dyDescent="0.35">
      <c r="A723" s="4" t="s">
        <v>1630</v>
      </c>
      <c r="B723" s="4" t="s">
        <v>1631</v>
      </c>
      <c r="C723" s="4" t="s">
        <v>178</v>
      </c>
      <c r="D723" s="4">
        <v>4.9000000000000004</v>
      </c>
      <c r="E723" s="4">
        <v>14215</v>
      </c>
      <c r="F723" s="4">
        <v>2013</v>
      </c>
      <c r="G723" s="4"/>
      <c r="H723" s="4"/>
    </row>
    <row r="724" spans="1:8" x14ac:dyDescent="0.35">
      <c r="A724" s="4" t="s">
        <v>1794</v>
      </c>
      <c r="B724" s="4" t="s">
        <v>1795</v>
      </c>
      <c r="C724" s="4" t="s">
        <v>1796</v>
      </c>
      <c r="D724" s="4">
        <v>5</v>
      </c>
      <c r="E724" s="4">
        <v>14209</v>
      </c>
      <c r="F724" s="4">
        <v>2002</v>
      </c>
      <c r="G724" s="4"/>
      <c r="H724" s="4"/>
    </row>
    <row r="725" spans="1:8" x14ac:dyDescent="0.35">
      <c r="A725" s="4" t="s">
        <v>1282</v>
      </c>
      <c r="B725" s="4" t="s">
        <v>1283</v>
      </c>
      <c r="C725" s="4" t="s">
        <v>65</v>
      </c>
      <c r="D725" s="4">
        <v>4.7</v>
      </c>
      <c r="E725" s="4">
        <v>14191</v>
      </c>
      <c r="F725" s="4">
        <v>2011</v>
      </c>
      <c r="G725" s="4"/>
      <c r="H725" s="4"/>
    </row>
    <row r="726" spans="1:8" x14ac:dyDescent="0.35">
      <c r="A726" s="4" t="s">
        <v>132</v>
      </c>
      <c r="B726" s="4" t="s">
        <v>133</v>
      </c>
      <c r="C726" s="4" t="s">
        <v>134</v>
      </c>
      <c r="D726" s="4">
        <v>2.2000000000000002</v>
      </c>
      <c r="E726" s="4">
        <v>14178</v>
      </c>
      <c r="F726" s="4">
        <v>2020</v>
      </c>
      <c r="G726" s="4"/>
      <c r="H726" s="4"/>
    </row>
    <row r="727" spans="1:8" x14ac:dyDescent="0.35">
      <c r="A727" s="4" t="s">
        <v>385</v>
      </c>
      <c r="B727" s="4" t="s">
        <v>386</v>
      </c>
      <c r="C727" s="4" t="s">
        <v>172</v>
      </c>
      <c r="D727" s="4">
        <v>3.5</v>
      </c>
      <c r="E727" s="4">
        <v>14143</v>
      </c>
      <c r="F727" s="4">
        <v>2021</v>
      </c>
      <c r="G727" s="4"/>
      <c r="H727" s="4"/>
    </row>
    <row r="728" spans="1:8" x14ac:dyDescent="0.35">
      <c r="A728" s="4" t="s">
        <v>992</v>
      </c>
      <c r="B728" s="4" t="s">
        <v>993</v>
      </c>
      <c r="C728" s="4" t="s">
        <v>178</v>
      </c>
      <c r="D728" s="4">
        <v>4.5</v>
      </c>
      <c r="E728" s="4">
        <v>14124</v>
      </c>
      <c r="F728" s="4">
        <v>2021</v>
      </c>
      <c r="G728" s="4"/>
      <c r="H728" s="4"/>
    </row>
    <row r="729" spans="1:8" x14ac:dyDescent="0.35">
      <c r="A729" s="4" t="s">
        <v>613</v>
      </c>
      <c r="B729" s="4" t="s">
        <v>614</v>
      </c>
      <c r="C729" s="4" t="s">
        <v>178</v>
      </c>
      <c r="D729" s="4">
        <v>4</v>
      </c>
      <c r="E729" s="4">
        <v>14108</v>
      </c>
      <c r="F729" s="4">
        <v>2015</v>
      </c>
      <c r="G729" s="4"/>
      <c r="H729" s="4"/>
    </row>
    <row r="730" spans="1:8" x14ac:dyDescent="0.35">
      <c r="A730" s="4" t="s">
        <v>572</v>
      </c>
      <c r="B730" s="4" t="s">
        <v>573</v>
      </c>
      <c r="C730" s="4" t="s">
        <v>178</v>
      </c>
      <c r="D730" s="4">
        <v>3.9</v>
      </c>
      <c r="E730" s="4">
        <v>14096</v>
      </c>
      <c r="F730" s="4">
        <v>1994</v>
      </c>
      <c r="G730" s="4"/>
      <c r="H730" s="4"/>
    </row>
    <row r="731" spans="1:8" x14ac:dyDescent="0.35">
      <c r="A731" s="4" t="s">
        <v>899</v>
      </c>
      <c r="B731" s="4" t="s">
        <v>900</v>
      </c>
      <c r="C731" s="4" t="s">
        <v>901</v>
      </c>
      <c r="D731" s="4">
        <v>4.4000000000000004</v>
      </c>
      <c r="E731" s="4">
        <v>14073</v>
      </c>
      <c r="F731" s="4">
        <v>1995</v>
      </c>
      <c r="G731" s="4"/>
      <c r="H731" s="4"/>
    </row>
    <row r="732" spans="1:8" x14ac:dyDescent="0.35">
      <c r="A732" s="4" t="s">
        <v>728</v>
      </c>
      <c r="B732" s="4" t="s">
        <v>729</v>
      </c>
      <c r="C732" s="4" t="s">
        <v>508</v>
      </c>
      <c r="D732" s="4">
        <v>4.2</v>
      </c>
      <c r="E732" s="4">
        <v>14029</v>
      </c>
      <c r="F732" s="4">
        <v>2022</v>
      </c>
      <c r="G732" s="4"/>
      <c r="H732" s="4"/>
    </row>
    <row r="733" spans="1:8" x14ac:dyDescent="0.35">
      <c r="A733" s="4" t="s">
        <v>1632</v>
      </c>
      <c r="B733" s="4" t="s">
        <v>1633</v>
      </c>
      <c r="C733" s="4" t="s">
        <v>646</v>
      </c>
      <c r="D733" s="4">
        <v>4.9000000000000004</v>
      </c>
      <c r="E733" s="4">
        <v>14021</v>
      </c>
      <c r="F733" s="4">
        <v>2020</v>
      </c>
      <c r="G733" s="4"/>
      <c r="H733" s="4"/>
    </row>
    <row r="734" spans="1:8" x14ac:dyDescent="0.35">
      <c r="A734" s="4" t="s">
        <v>2030</v>
      </c>
      <c r="B734" s="4" t="s">
        <v>2031</v>
      </c>
      <c r="C734" s="4" t="s">
        <v>584</v>
      </c>
      <c r="D734" s="4">
        <v>5.0999999999999996</v>
      </c>
      <c r="E734" s="4">
        <v>13987</v>
      </c>
      <c r="F734" s="4">
        <v>2005</v>
      </c>
      <c r="G734" s="4"/>
      <c r="H734" s="4"/>
    </row>
    <row r="735" spans="1:8" x14ac:dyDescent="0.35">
      <c r="A735" s="4" t="s">
        <v>506</v>
      </c>
      <c r="B735" s="4" t="s">
        <v>507</v>
      </c>
      <c r="C735" s="4" t="s">
        <v>508</v>
      </c>
      <c r="D735" s="4">
        <v>3.8</v>
      </c>
      <c r="E735" s="4">
        <v>13929</v>
      </c>
      <c r="F735" s="4">
        <v>2021</v>
      </c>
      <c r="G735" s="4"/>
      <c r="H735" s="4"/>
    </row>
    <row r="736" spans="1:8" x14ac:dyDescent="0.35">
      <c r="A736" s="4" t="s">
        <v>994</v>
      </c>
      <c r="B736" s="4" t="s">
        <v>995</v>
      </c>
      <c r="C736" s="4" t="s">
        <v>267</v>
      </c>
      <c r="D736" s="4">
        <v>4.5</v>
      </c>
      <c r="E736" s="4">
        <v>13898</v>
      </c>
      <c r="F736" s="4">
        <v>2006</v>
      </c>
      <c r="G736" s="4"/>
      <c r="H736" s="4"/>
    </row>
    <row r="737" spans="1:8" x14ac:dyDescent="0.35">
      <c r="A737" s="4" t="s">
        <v>1797</v>
      </c>
      <c r="B737" s="4" t="s">
        <v>1798</v>
      </c>
      <c r="C737" s="4" t="s">
        <v>116</v>
      </c>
      <c r="D737" s="4">
        <v>5</v>
      </c>
      <c r="E737" s="4">
        <v>13897</v>
      </c>
      <c r="F737" s="4">
        <v>2001</v>
      </c>
      <c r="G737" s="4"/>
      <c r="H737" s="4"/>
    </row>
    <row r="738" spans="1:8" x14ac:dyDescent="0.35">
      <c r="A738" s="4" t="s">
        <v>2032</v>
      </c>
      <c r="B738" s="4" t="s">
        <v>2033</v>
      </c>
      <c r="C738" s="4" t="s">
        <v>214</v>
      </c>
      <c r="D738" s="4">
        <v>5.0999999999999996</v>
      </c>
      <c r="E738" s="4">
        <v>13878</v>
      </c>
      <c r="F738" s="4">
        <v>2002</v>
      </c>
      <c r="G738" s="4"/>
      <c r="H738" s="4"/>
    </row>
    <row r="739" spans="1:8" x14ac:dyDescent="0.35">
      <c r="A739" s="4" t="s">
        <v>1284</v>
      </c>
      <c r="B739" s="4" t="s">
        <v>1285</v>
      </c>
      <c r="C739" s="4" t="s">
        <v>214</v>
      </c>
      <c r="D739" s="4">
        <v>4.7</v>
      </c>
      <c r="E739" s="4">
        <v>13867</v>
      </c>
      <c r="F739" s="4">
        <v>2001</v>
      </c>
      <c r="G739" s="4"/>
      <c r="H739" s="4"/>
    </row>
    <row r="740" spans="1:8" x14ac:dyDescent="0.35">
      <c r="A740" s="4" t="s">
        <v>1634</v>
      </c>
      <c r="B740" s="4" t="s">
        <v>1635</v>
      </c>
      <c r="C740" s="4" t="s">
        <v>1072</v>
      </c>
      <c r="D740" s="4">
        <v>4.9000000000000004</v>
      </c>
      <c r="E740" s="4">
        <v>13836</v>
      </c>
      <c r="F740" s="4">
        <v>2017</v>
      </c>
      <c r="G740" s="4"/>
      <c r="H740" s="4"/>
    </row>
    <row r="741" spans="1:8" x14ac:dyDescent="0.35">
      <c r="A741" s="4" t="s">
        <v>362</v>
      </c>
      <c r="B741" s="4" t="s">
        <v>363</v>
      </c>
      <c r="C741" s="4" t="s">
        <v>175</v>
      </c>
      <c r="D741" s="4">
        <v>3.4</v>
      </c>
      <c r="E741" s="4">
        <v>13827</v>
      </c>
      <c r="F741" s="4">
        <v>2006</v>
      </c>
      <c r="G741" s="4"/>
      <c r="H741" s="4"/>
    </row>
    <row r="742" spans="1:8" x14ac:dyDescent="0.35">
      <c r="A742" s="4" t="s">
        <v>15</v>
      </c>
      <c r="B742" s="4" t="s">
        <v>16</v>
      </c>
      <c r="C742" s="4" t="s">
        <v>17</v>
      </c>
      <c r="D742" s="4">
        <v>1.1000000000000001</v>
      </c>
      <c r="E742" s="4">
        <v>13805</v>
      </c>
      <c r="F742" s="4">
        <v>2022</v>
      </c>
      <c r="G742" s="4"/>
      <c r="H742" s="4"/>
    </row>
    <row r="743" spans="1:8" x14ac:dyDescent="0.35">
      <c r="A743" s="4" t="s">
        <v>809</v>
      </c>
      <c r="B743" s="4" t="s">
        <v>810</v>
      </c>
      <c r="C743" s="4" t="s">
        <v>14</v>
      </c>
      <c r="D743" s="4">
        <v>4.3</v>
      </c>
      <c r="E743" s="4">
        <v>13758</v>
      </c>
      <c r="F743" s="4">
        <v>2016</v>
      </c>
      <c r="G743" s="4"/>
      <c r="H743" s="4"/>
    </row>
    <row r="744" spans="1:8" x14ac:dyDescent="0.35">
      <c r="A744" s="4" t="s">
        <v>1462</v>
      </c>
      <c r="B744" s="4" t="s">
        <v>1463</v>
      </c>
      <c r="C744" s="4" t="s">
        <v>448</v>
      </c>
      <c r="D744" s="4">
        <v>4.8</v>
      </c>
      <c r="E744" s="4">
        <v>13742</v>
      </c>
      <c r="F744" s="4">
        <v>2010</v>
      </c>
      <c r="G744" s="4"/>
      <c r="H744" s="4"/>
    </row>
    <row r="745" spans="1:8" x14ac:dyDescent="0.35">
      <c r="A745" s="4" t="s">
        <v>1118</v>
      </c>
      <c r="B745" s="4" t="s">
        <v>1119</v>
      </c>
      <c r="C745" s="4" t="s">
        <v>275</v>
      </c>
      <c r="D745" s="4">
        <v>4.5999999999999996</v>
      </c>
      <c r="E745" s="4">
        <v>13742</v>
      </c>
      <c r="F745" s="4">
        <v>2020</v>
      </c>
      <c r="G745" s="4"/>
      <c r="H745" s="4"/>
    </row>
    <row r="746" spans="1:8" x14ac:dyDescent="0.35">
      <c r="A746" s="4" t="s">
        <v>2034</v>
      </c>
      <c r="B746" s="4" t="s">
        <v>2035</v>
      </c>
      <c r="C746" s="4" t="s">
        <v>11</v>
      </c>
      <c r="D746" s="4">
        <v>5.0999999999999996</v>
      </c>
      <c r="E746" s="4">
        <v>13732</v>
      </c>
      <c r="F746" s="4">
        <v>2004</v>
      </c>
      <c r="G746" s="4"/>
      <c r="H746" s="4"/>
    </row>
    <row r="747" spans="1:8" x14ac:dyDescent="0.35">
      <c r="A747" s="4" t="s">
        <v>1799</v>
      </c>
      <c r="B747" s="4" t="s">
        <v>1800</v>
      </c>
      <c r="C747" s="4" t="s">
        <v>65</v>
      </c>
      <c r="D747" s="4">
        <v>5</v>
      </c>
      <c r="E747" s="4">
        <v>13651</v>
      </c>
      <c r="F747" s="4">
        <v>2010</v>
      </c>
      <c r="G747" s="4"/>
      <c r="H747" s="4"/>
    </row>
    <row r="748" spans="1:8" x14ac:dyDescent="0.35">
      <c r="A748" s="4" t="s">
        <v>902</v>
      </c>
      <c r="B748" s="4" t="s">
        <v>903</v>
      </c>
      <c r="C748" s="4" t="s">
        <v>606</v>
      </c>
      <c r="D748" s="4">
        <v>4.4000000000000004</v>
      </c>
      <c r="E748" s="4">
        <v>13639</v>
      </c>
      <c r="F748" s="4">
        <v>2019</v>
      </c>
      <c r="G748" s="4"/>
      <c r="H748" s="4"/>
    </row>
    <row r="749" spans="1:8" x14ac:dyDescent="0.35">
      <c r="A749" s="4" t="s">
        <v>996</v>
      </c>
      <c r="B749" s="4" t="s">
        <v>997</v>
      </c>
      <c r="C749" s="4" t="s">
        <v>137</v>
      </c>
      <c r="D749" s="4">
        <v>4.5</v>
      </c>
      <c r="E749" s="4">
        <v>13577</v>
      </c>
      <c r="F749" s="4">
        <v>1991</v>
      </c>
      <c r="G749" s="4"/>
      <c r="H749" s="4"/>
    </row>
    <row r="750" spans="1:8" x14ac:dyDescent="0.35">
      <c r="A750" s="4" t="s">
        <v>730</v>
      </c>
      <c r="B750" s="4" t="s">
        <v>731</v>
      </c>
      <c r="C750" s="4" t="s">
        <v>294</v>
      </c>
      <c r="D750" s="4">
        <v>4.2</v>
      </c>
      <c r="E750" s="4">
        <v>13489</v>
      </c>
      <c r="F750" s="4">
        <v>1998</v>
      </c>
      <c r="G750" s="4"/>
      <c r="H750" s="4"/>
    </row>
    <row r="751" spans="1:8" x14ac:dyDescent="0.35">
      <c r="A751" s="4" t="s">
        <v>509</v>
      </c>
      <c r="B751" s="4" t="s">
        <v>510</v>
      </c>
      <c r="C751" s="4" t="s">
        <v>93</v>
      </c>
      <c r="D751" s="4">
        <v>3.8</v>
      </c>
      <c r="E751" s="4">
        <v>13397</v>
      </c>
      <c r="F751" s="4">
        <v>2016</v>
      </c>
      <c r="G751" s="4"/>
      <c r="H751" s="4"/>
    </row>
    <row r="752" spans="1:8" x14ac:dyDescent="0.35">
      <c r="A752" s="4" t="s">
        <v>1464</v>
      </c>
      <c r="B752" s="4" t="s">
        <v>1465</v>
      </c>
      <c r="C752" s="4" t="s">
        <v>178</v>
      </c>
      <c r="D752" s="4">
        <v>4.8</v>
      </c>
      <c r="E752" s="4">
        <v>13382</v>
      </c>
      <c r="F752" s="4">
        <v>2022</v>
      </c>
      <c r="G752" s="4"/>
      <c r="H752" s="4"/>
    </row>
    <row r="753" spans="1:8" x14ac:dyDescent="0.35">
      <c r="A753" s="4" t="s">
        <v>732</v>
      </c>
      <c r="B753" s="4" t="s">
        <v>733</v>
      </c>
      <c r="C753" s="4" t="s">
        <v>76</v>
      </c>
      <c r="D753" s="4">
        <v>4.2</v>
      </c>
      <c r="E753" s="4">
        <v>13378</v>
      </c>
      <c r="F753" s="4">
        <v>2005</v>
      </c>
      <c r="G753" s="4"/>
      <c r="H753" s="4"/>
    </row>
    <row r="754" spans="1:8" x14ac:dyDescent="0.35">
      <c r="A754" s="4" t="s">
        <v>1286</v>
      </c>
      <c r="B754" s="4" t="s">
        <v>1287</v>
      </c>
      <c r="C754" s="4" t="s">
        <v>933</v>
      </c>
      <c r="D754" s="4">
        <v>4.7</v>
      </c>
      <c r="E754" s="4">
        <v>13343</v>
      </c>
      <c r="F754" s="4">
        <v>1993</v>
      </c>
      <c r="G754" s="4"/>
      <c r="H754" s="4"/>
    </row>
    <row r="755" spans="1:8" x14ac:dyDescent="0.35">
      <c r="A755" s="4" t="s">
        <v>329</v>
      </c>
      <c r="B755" s="4" t="s">
        <v>330</v>
      </c>
      <c r="C755" s="4" t="s">
        <v>11</v>
      </c>
      <c r="D755" s="4">
        <v>3.3</v>
      </c>
      <c r="E755" s="4">
        <v>13339</v>
      </c>
      <c r="F755" s="4">
        <v>2018</v>
      </c>
      <c r="G755" s="4"/>
      <c r="H755" s="4"/>
    </row>
    <row r="756" spans="1:8" x14ac:dyDescent="0.35">
      <c r="A756" s="4" t="s">
        <v>1636</v>
      </c>
      <c r="B756" s="4" t="s">
        <v>1637</v>
      </c>
      <c r="C756" s="4" t="s">
        <v>646</v>
      </c>
      <c r="D756" s="4">
        <v>4.9000000000000004</v>
      </c>
      <c r="E756" s="4">
        <v>13301</v>
      </c>
      <c r="F756" s="4">
        <v>2000</v>
      </c>
      <c r="G756" s="4"/>
      <c r="H756" s="4"/>
    </row>
    <row r="757" spans="1:8" x14ac:dyDescent="0.35">
      <c r="A757" s="4" t="s">
        <v>2036</v>
      </c>
      <c r="B757" s="4" t="s">
        <v>2037</v>
      </c>
      <c r="C757" s="4" t="s">
        <v>175</v>
      </c>
      <c r="D757" s="4">
        <v>5.0999999999999996</v>
      </c>
      <c r="E757" s="4">
        <v>13292</v>
      </c>
      <c r="F757" s="4">
        <v>2013</v>
      </c>
      <c r="G757" s="4"/>
      <c r="H757" s="4"/>
    </row>
    <row r="758" spans="1:8" x14ac:dyDescent="0.35">
      <c r="A758" s="4" t="s">
        <v>306</v>
      </c>
      <c r="B758" s="4" t="s">
        <v>307</v>
      </c>
      <c r="C758" s="4" t="s">
        <v>308</v>
      </c>
      <c r="D758" s="4">
        <v>3.2</v>
      </c>
      <c r="E758" s="4">
        <v>13221</v>
      </c>
      <c r="F758" s="4">
        <v>2009</v>
      </c>
      <c r="G758" s="4"/>
      <c r="H758" s="4"/>
    </row>
    <row r="759" spans="1:8" x14ac:dyDescent="0.35">
      <c r="A759" s="4" t="s">
        <v>904</v>
      </c>
      <c r="B759" s="4" t="s">
        <v>905</v>
      </c>
      <c r="C759" s="4" t="s">
        <v>140</v>
      </c>
      <c r="D759" s="4">
        <v>4.4000000000000004</v>
      </c>
      <c r="E759" s="4">
        <v>13152</v>
      </c>
      <c r="F759" s="4">
        <v>2004</v>
      </c>
      <c r="G759" s="4"/>
      <c r="H759" s="4"/>
    </row>
    <row r="760" spans="1:8" x14ac:dyDescent="0.35">
      <c r="A760" s="4" t="s">
        <v>91</v>
      </c>
      <c r="B760" s="4" t="s">
        <v>92</v>
      </c>
      <c r="C760" s="4" t="s">
        <v>93</v>
      </c>
      <c r="D760" s="4">
        <v>1.7</v>
      </c>
      <c r="E760" s="4">
        <v>13142</v>
      </c>
      <c r="F760" s="4">
        <v>2010</v>
      </c>
      <c r="G760" s="4"/>
      <c r="H760" s="4"/>
    </row>
    <row r="761" spans="1:8" x14ac:dyDescent="0.35">
      <c r="A761" s="4" t="s">
        <v>1466</v>
      </c>
      <c r="B761" s="4" t="s">
        <v>1467</v>
      </c>
      <c r="C761" s="4" t="s">
        <v>47</v>
      </c>
      <c r="D761" s="4">
        <v>4.8</v>
      </c>
      <c r="E761" s="4">
        <v>13140</v>
      </c>
      <c r="F761" s="4">
        <v>2013</v>
      </c>
      <c r="G761" s="4"/>
      <c r="H761" s="4"/>
    </row>
    <row r="762" spans="1:8" x14ac:dyDescent="0.35">
      <c r="A762" s="4" t="s">
        <v>998</v>
      </c>
      <c r="B762" s="4" t="s">
        <v>999</v>
      </c>
      <c r="C762" s="4" t="s">
        <v>208</v>
      </c>
      <c r="D762" s="4">
        <v>4.5</v>
      </c>
      <c r="E762" s="4">
        <v>13136</v>
      </c>
      <c r="F762" s="4">
        <v>1989</v>
      </c>
      <c r="G762" s="4"/>
      <c r="H762" s="4"/>
    </row>
    <row r="763" spans="1:8" x14ac:dyDescent="0.35">
      <c r="A763" s="4" t="s">
        <v>1120</v>
      </c>
      <c r="B763" s="4" t="s">
        <v>1121</v>
      </c>
      <c r="C763" s="4" t="s">
        <v>1039</v>
      </c>
      <c r="D763" s="4">
        <v>4.5999999999999996</v>
      </c>
      <c r="E763" s="4">
        <v>13130</v>
      </c>
      <c r="F763" s="4">
        <v>2009</v>
      </c>
      <c r="G763" s="4"/>
      <c r="H763" s="4"/>
    </row>
    <row r="764" spans="1:8" x14ac:dyDescent="0.35">
      <c r="A764" s="4" t="s">
        <v>387</v>
      </c>
      <c r="B764" s="4" t="s">
        <v>388</v>
      </c>
      <c r="C764" s="4" t="s">
        <v>104</v>
      </c>
      <c r="D764" s="4">
        <v>3.5</v>
      </c>
      <c r="E764" s="4">
        <v>13085</v>
      </c>
      <c r="F764" s="4">
        <v>2000</v>
      </c>
      <c r="G764" s="4"/>
      <c r="H764" s="4"/>
    </row>
    <row r="765" spans="1:8" x14ac:dyDescent="0.35">
      <c r="A765" s="4" t="s">
        <v>1638</v>
      </c>
      <c r="B765" s="4" t="s">
        <v>1639</v>
      </c>
      <c r="C765" s="4" t="s">
        <v>338</v>
      </c>
      <c r="D765" s="4">
        <v>4.9000000000000004</v>
      </c>
      <c r="E765" s="4">
        <v>13059</v>
      </c>
      <c r="F765" s="4">
        <v>2000</v>
      </c>
      <c r="G765" s="4"/>
      <c r="H765" s="4"/>
    </row>
    <row r="766" spans="1:8" x14ac:dyDescent="0.35">
      <c r="A766" s="4" t="s">
        <v>1801</v>
      </c>
      <c r="B766" s="4" t="s">
        <v>1802</v>
      </c>
      <c r="C766" s="4" t="s">
        <v>76</v>
      </c>
      <c r="D766" s="4">
        <v>5</v>
      </c>
      <c r="E766" s="4">
        <v>13053</v>
      </c>
      <c r="F766" s="4">
        <v>1990</v>
      </c>
      <c r="G766" s="4"/>
      <c r="H766" s="4"/>
    </row>
    <row r="767" spans="1:8" x14ac:dyDescent="0.35">
      <c r="A767" s="4" t="s">
        <v>331</v>
      </c>
      <c r="B767" s="4" t="s">
        <v>332</v>
      </c>
      <c r="C767" s="4" t="s">
        <v>11</v>
      </c>
      <c r="D767" s="4">
        <v>3.3</v>
      </c>
      <c r="E767" s="4">
        <v>13023</v>
      </c>
      <c r="F767" s="4">
        <v>2011</v>
      </c>
      <c r="G767" s="4"/>
      <c r="H767" s="4"/>
    </row>
    <row r="768" spans="1:8" x14ac:dyDescent="0.35">
      <c r="A768" s="4" t="s">
        <v>2038</v>
      </c>
      <c r="B768" s="4" t="s">
        <v>2039</v>
      </c>
      <c r="C768" s="4" t="s">
        <v>93</v>
      </c>
      <c r="D768" s="4">
        <v>5.0999999999999996</v>
      </c>
      <c r="E768" s="4">
        <v>12964</v>
      </c>
      <c r="F768" s="4">
        <v>2024</v>
      </c>
      <c r="G768" s="4"/>
      <c r="H768" s="4"/>
    </row>
    <row r="769" spans="1:8" x14ac:dyDescent="0.35">
      <c r="A769" s="4" t="s">
        <v>1803</v>
      </c>
      <c r="B769" s="4" t="s">
        <v>1804</v>
      </c>
      <c r="C769" s="4" t="s">
        <v>11</v>
      </c>
      <c r="D769" s="4">
        <v>5</v>
      </c>
      <c r="E769" s="4">
        <v>12959</v>
      </c>
      <c r="F769" s="4">
        <v>1983</v>
      </c>
      <c r="G769" s="4"/>
      <c r="H769" s="4"/>
    </row>
    <row r="770" spans="1:8" x14ac:dyDescent="0.35">
      <c r="A770" s="4" t="s">
        <v>389</v>
      </c>
      <c r="B770" s="4" t="s">
        <v>390</v>
      </c>
      <c r="C770" s="4" t="s">
        <v>193</v>
      </c>
      <c r="D770" s="4">
        <v>3.5</v>
      </c>
      <c r="E770" s="4">
        <v>12946</v>
      </c>
      <c r="F770" s="4">
        <v>2012</v>
      </c>
      <c r="G770" s="4"/>
      <c r="H770" s="4"/>
    </row>
    <row r="771" spans="1:8" x14ac:dyDescent="0.35">
      <c r="A771" s="4" t="s">
        <v>734</v>
      </c>
      <c r="B771" s="4" t="s">
        <v>735</v>
      </c>
      <c r="C771" s="4" t="s">
        <v>736</v>
      </c>
      <c r="D771" s="4">
        <v>4.2</v>
      </c>
      <c r="E771" s="4">
        <v>12894</v>
      </c>
      <c r="F771" s="4">
        <v>2020</v>
      </c>
      <c r="G771" s="4"/>
      <c r="H771" s="4"/>
    </row>
    <row r="772" spans="1:8" x14ac:dyDescent="0.35">
      <c r="A772" s="4" t="s">
        <v>1805</v>
      </c>
      <c r="B772" s="4" t="s">
        <v>1806</v>
      </c>
      <c r="C772" s="4" t="s">
        <v>294</v>
      </c>
      <c r="D772" s="4">
        <v>5</v>
      </c>
      <c r="E772" s="4">
        <v>12884</v>
      </c>
      <c r="F772" s="4">
        <v>1997</v>
      </c>
      <c r="G772" s="4"/>
      <c r="H772" s="4"/>
    </row>
    <row r="773" spans="1:8" x14ac:dyDescent="0.35">
      <c r="A773" s="4" t="s">
        <v>235</v>
      </c>
      <c r="B773" s="4" t="s">
        <v>236</v>
      </c>
      <c r="C773" s="4" t="s">
        <v>116</v>
      </c>
      <c r="D773" s="4">
        <v>2.8</v>
      </c>
      <c r="E773" s="4">
        <v>12870</v>
      </c>
      <c r="F773" s="4">
        <v>2018</v>
      </c>
      <c r="G773" s="4"/>
      <c r="H773" s="4"/>
    </row>
    <row r="774" spans="1:8" x14ac:dyDescent="0.35">
      <c r="A774" s="4" t="s">
        <v>430</v>
      </c>
      <c r="B774" s="4" t="s">
        <v>431</v>
      </c>
      <c r="C774" s="4" t="s">
        <v>432</v>
      </c>
      <c r="D774" s="4">
        <v>3.6</v>
      </c>
      <c r="E774" s="4">
        <v>12869</v>
      </c>
      <c r="F774" s="4">
        <v>2009</v>
      </c>
      <c r="G774" s="4"/>
      <c r="H774" s="4"/>
    </row>
    <row r="775" spans="1:8" x14ac:dyDescent="0.35">
      <c r="A775" s="4" t="s">
        <v>1468</v>
      </c>
      <c r="B775" s="4" t="s">
        <v>1469</v>
      </c>
      <c r="C775" s="4" t="s">
        <v>1470</v>
      </c>
      <c r="D775" s="4">
        <v>4.8</v>
      </c>
      <c r="E775" s="4">
        <v>12851</v>
      </c>
      <c r="F775" s="4">
        <v>1999</v>
      </c>
      <c r="G775" s="4"/>
      <c r="H775" s="4"/>
    </row>
    <row r="776" spans="1:8" x14ac:dyDescent="0.35">
      <c r="A776" s="4" t="s">
        <v>2040</v>
      </c>
      <c r="B776" s="4" t="s">
        <v>2041</v>
      </c>
      <c r="C776" s="4" t="s">
        <v>846</v>
      </c>
      <c r="D776" s="4">
        <v>5.0999999999999996</v>
      </c>
      <c r="E776" s="4">
        <v>12808</v>
      </c>
      <c r="F776" s="4">
        <v>2021</v>
      </c>
      <c r="G776" s="4"/>
      <c r="H776" s="4"/>
    </row>
    <row r="777" spans="1:8" x14ac:dyDescent="0.35">
      <c r="A777" s="4" t="s">
        <v>215</v>
      </c>
      <c r="B777" s="4" t="s">
        <v>216</v>
      </c>
      <c r="C777" s="4" t="s">
        <v>217</v>
      </c>
      <c r="D777" s="4">
        <v>2.7</v>
      </c>
      <c r="E777" s="4">
        <v>12767</v>
      </c>
      <c r="F777" s="4">
        <v>1964</v>
      </c>
      <c r="G777" s="4"/>
      <c r="H777" s="4"/>
    </row>
    <row r="778" spans="1:8" x14ac:dyDescent="0.35">
      <c r="A778" s="4" t="s">
        <v>667</v>
      </c>
      <c r="B778" s="4" t="s">
        <v>668</v>
      </c>
      <c r="C778" s="4" t="s">
        <v>669</v>
      </c>
      <c r="D778" s="4">
        <v>4.0999999999999996</v>
      </c>
      <c r="E778" s="4">
        <v>12749</v>
      </c>
      <c r="F778" s="4">
        <v>2019</v>
      </c>
      <c r="G778" s="4"/>
      <c r="H778" s="4"/>
    </row>
    <row r="779" spans="1:8" x14ac:dyDescent="0.35">
      <c r="A779" s="4" t="s">
        <v>1000</v>
      </c>
      <c r="B779" s="4" t="s">
        <v>1001</v>
      </c>
      <c r="C779" s="4" t="s">
        <v>65</v>
      </c>
      <c r="D779" s="4">
        <v>4.5</v>
      </c>
      <c r="E779" s="4">
        <v>12749</v>
      </c>
      <c r="F779" s="4">
        <v>2008</v>
      </c>
      <c r="G779" s="4"/>
      <c r="H779" s="4"/>
    </row>
    <row r="780" spans="1:8" x14ac:dyDescent="0.35">
      <c r="A780" s="4" t="s">
        <v>1122</v>
      </c>
      <c r="B780" s="4" t="s">
        <v>1123</v>
      </c>
      <c r="C780" s="4" t="s">
        <v>11</v>
      </c>
      <c r="D780" s="4">
        <v>4.5999999999999996</v>
      </c>
      <c r="E780" s="4">
        <v>12735</v>
      </c>
      <c r="F780" s="4">
        <v>2008</v>
      </c>
      <c r="G780" s="4"/>
      <c r="H780" s="4"/>
    </row>
    <row r="781" spans="1:8" x14ac:dyDescent="0.35">
      <c r="A781" s="4" t="s">
        <v>670</v>
      </c>
      <c r="B781" s="4" t="s">
        <v>671</v>
      </c>
      <c r="C781" s="4" t="s">
        <v>166</v>
      </c>
      <c r="D781" s="4">
        <v>4.0999999999999996</v>
      </c>
      <c r="E781" s="4">
        <v>12725</v>
      </c>
      <c r="F781" s="4">
        <v>1999</v>
      </c>
      <c r="G781" s="4"/>
      <c r="H781" s="4"/>
    </row>
    <row r="782" spans="1:8" x14ac:dyDescent="0.35">
      <c r="A782" s="4" t="s">
        <v>1640</v>
      </c>
      <c r="B782" s="4" t="s">
        <v>1641</v>
      </c>
      <c r="C782" s="4" t="s">
        <v>1642</v>
      </c>
      <c r="D782" s="4">
        <v>4.9000000000000004</v>
      </c>
      <c r="E782" s="4">
        <v>12710</v>
      </c>
      <c r="F782" s="4">
        <v>2007</v>
      </c>
      <c r="G782" s="4"/>
      <c r="H782" s="4"/>
    </row>
    <row r="783" spans="1:8" x14ac:dyDescent="0.35">
      <c r="A783" s="4" t="s">
        <v>391</v>
      </c>
      <c r="B783" s="4" t="s">
        <v>392</v>
      </c>
      <c r="C783" s="4" t="s">
        <v>227</v>
      </c>
      <c r="D783" s="4">
        <v>3.5</v>
      </c>
      <c r="E783" s="4">
        <v>12688</v>
      </c>
      <c r="F783" s="4">
        <v>1987</v>
      </c>
      <c r="G783" s="4"/>
      <c r="H783" s="4"/>
    </row>
    <row r="784" spans="1:8" x14ac:dyDescent="0.35">
      <c r="A784" s="4" t="s">
        <v>1124</v>
      </c>
      <c r="B784" s="4" t="s">
        <v>1125</v>
      </c>
      <c r="C784" s="4" t="s">
        <v>93</v>
      </c>
      <c r="D784" s="4">
        <v>4.5999999999999996</v>
      </c>
      <c r="E784" s="4">
        <v>12654</v>
      </c>
      <c r="F784" s="4">
        <v>2024</v>
      </c>
      <c r="G784" s="4"/>
      <c r="H784" s="4"/>
    </row>
    <row r="785" spans="1:8" x14ac:dyDescent="0.35">
      <c r="A785" s="4" t="s">
        <v>574</v>
      </c>
      <c r="B785" s="5">
        <v>40858</v>
      </c>
      <c r="C785" s="4" t="s">
        <v>175</v>
      </c>
      <c r="D785" s="4">
        <v>3.9</v>
      </c>
      <c r="E785" s="4">
        <v>12653</v>
      </c>
      <c r="F785" s="4">
        <v>2011</v>
      </c>
      <c r="G785" s="4"/>
      <c r="H785" s="4"/>
    </row>
    <row r="786" spans="1:8" x14ac:dyDescent="0.35">
      <c r="A786" s="4" t="s">
        <v>2042</v>
      </c>
      <c r="B786" s="4" t="s">
        <v>2043</v>
      </c>
      <c r="C786" s="4" t="s">
        <v>951</v>
      </c>
      <c r="D786" s="4">
        <v>5.0999999999999996</v>
      </c>
      <c r="E786" s="4">
        <v>12651</v>
      </c>
      <c r="F786" s="4">
        <v>2015</v>
      </c>
      <c r="G786" s="4"/>
      <c r="H786" s="4"/>
    </row>
    <row r="787" spans="1:8" x14ac:dyDescent="0.35">
      <c r="A787" s="4" t="s">
        <v>309</v>
      </c>
      <c r="B787" s="4" t="s">
        <v>310</v>
      </c>
      <c r="C787" s="4" t="s">
        <v>217</v>
      </c>
      <c r="D787" s="4">
        <v>3.2</v>
      </c>
      <c r="E787" s="4">
        <v>12633</v>
      </c>
      <c r="F787" s="4">
        <v>1994</v>
      </c>
      <c r="G787" s="4"/>
      <c r="H787" s="4"/>
    </row>
    <row r="788" spans="1:8" x14ac:dyDescent="0.35">
      <c r="A788" s="4" t="s">
        <v>393</v>
      </c>
      <c r="B788" s="4" t="s">
        <v>394</v>
      </c>
      <c r="C788" s="4" t="s">
        <v>395</v>
      </c>
      <c r="D788" s="4">
        <v>3.5</v>
      </c>
      <c r="E788" s="4">
        <v>12616</v>
      </c>
      <c r="F788" s="4">
        <v>2017</v>
      </c>
      <c r="G788" s="4"/>
      <c r="H788" s="4"/>
    </row>
    <row r="789" spans="1:8" x14ac:dyDescent="0.35">
      <c r="A789" s="4" t="s">
        <v>135</v>
      </c>
      <c r="B789" s="4" t="s">
        <v>136</v>
      </c>
      <c r="C789" s="4" t="s">
        <v>137</v>
      </c>
      <c r="D789" s="4">
        <v>2.2000000000000002</v>
      </c>
      <c r="E789" s="4">
        <v>12606</v>
      </c>
      <c r="F789" s="4">
        <v>1988</v>
      </c>
      <c r="G789" s="4"/>
      <c r="H789" s="4"/>
    </row>
    <row r="790" spans="1:8" x14ac:dyDescent="0.35">
      <c r="A790" s="4" t="s">
        <v>1807</v>
      </c>
      <c r="B790" s="4" t="s">
        <v>1808</v>
      </c>
      <c r="C790" s="4" t="s">
        <v>128</v>
      </c>
      <c r="D790" s="4">
        <v>5</v>
      </c>
      <c r="E790" s="4">
        <v>12596</v>
      </c>
      <c r="F790" s="4">
        <v>2010</v>
      </c>
      <c r="G790" s="4"/>
      <c r="H790" s="4"/>
    </row>
    <row r="791" spans="1:8" x14ac:dyDescent="0.35">
      <c r="A791" s="4" t="s">
        <v>1809</v>
      </c>
      <c r="B791" s="4" t="s">
        <v>1810</v>
      </c>
      <c r="C791" s="4" t="s">
        <v>294</v>
      </c>
      <c r="D791" s="4">
        <v>5</v>
      </c>
      <c r="E791" s="4">
        <v>12582</v>
      </c>
      <c r="F791" s="4">
        <v>2017</v>
      </c>
      <c r="G791" s="4"/>
      <c r="H791" s="4"/>
    </row>
    <row r="792" spans="1:8" x14ac:dyDescent="0.35">
      <c r="A792" s="4" t="s">
        <v>1471</v>
      </c>
      <c r="B792" s="4" t="s">
        <v>1472</v>
      </c>
      <c r="C792" s="4" t="s">
        <v>122</v>
      </c>
      <c r="D792" s="4">
        <v>4.8</v>
      </c>
      <c r="E792" s="4">
        <v>12573</v>
      </c>
      <c r="F792" s="4">
        <v>2012</v>
      </c>
      <c r="G792" s="4"/>
      <c r="H792" s="4"/>
    </row>
    <row r="793" spans="1:8" x14ac:dyDescent="0.35">
      <c r="A793" s="4" t="s">
        <v>511</v>
      </c>
      <c r="B793" s="4" t="s">
        <v>512</v>
      </c>
      <c r="C793" s="4" t="s">
        <v>56</v>
      </c>
      <c r="D793" s="4">
        <v>3.8</v>
      </c>
      <c r="E793" s="4">
        <v>12566</v>
      </c>
      <c r="F793" s="4">
        <v>2020</v>
      </c>
      <c r="G793" s="4"/>
      <c r="H793" s="4"/>
    </row>
    <row r="794" spans="1:8" x14ac:dyDescent="0.35">
      <c r="A794" s="4" t="s">
        <v>396</v>
      </c>
      <c r="B794" s="4" t="s">
        <v>397</v>
      </c>
      <c r="C794" s="4" t="s">
        <v>116</v>
      </c>
      <c r="D794" s="4">
        <v>3.5</v>
      </c>
      <c r="E794" s="4">
        <v>12561</v>
      </c>
      <c r="F794" s="4">
        <v>2006</v>
      </c>
      <c r="G794" s="4"/>
      <c r="H794" s="4"/>
    </row>
    <row r="795" spans="1:8" x14ac:dyDescent="0.35">
      <c r="A795" s="4" t="s">
        <v>1126</v>
      </c>
      <c r="B795" s="4" t="s">
        <v>1127</v>
      </c>
      <c r="C795" s="4" t="s">
        <v>76</v>
      </c>
      <c r="D795" s="4">
        <v>4.5999999999999996</v>
      </c>
      <c r="E795" s="4">
        <v>12545</v>
      </c>
      <c r="F795" s="4">
        <v>2017</v>
      </c>
      <c r="G795" s="4"/>
      <c r="H795" s="4"/>
    </row>
    <row r="796" spans="1:8" x14ac:dyDescent="0.35">
      <c r="A796" s="4" t="s">
        <v>276</v>
      </c>
      <c r="B796" s="4" t="s">
        <v>277</v>
      </c>
      <c r="C796" s="4" t="s">
        <v>178</v>
      </c>
      <c r="D796" s="4">
        <v>3</v>
      </c>
      <c r="E796" s="4">
        <v>12537</v>
      </c>
      <c r="F796" s="4">
        <v>1998</v>
      </c>
      <c r="G796" s="4"/>
      <c r="H796" s="4"/>
    </row>
    <row r="797" spans="1:8" x14ac:dyDescent="0.35">
      <c r="A797" s="4" t="s">
        <v>1643</v>
      </c>
      <c r="B797" s="4" t="s">
        <v>1644</v>
      </c>
      <c r="C797" s="4" t="s">
        <v>1072</v>
      </c>
      <c r="D797" s="4">
        <v>4.9000000000000004</v>
      </c>
      <c r="E797" s="4">
        <v>12525</v>
      </c>
      <c r="F797" s="4">
        <v>2008</v>
      </c>
      <c r="G797" s="4"/>
      <c r="H797" s="4"/>
    </row>
    <row r="798" spans="1:8" x14ac:dyDescent="0.35">
      <c r="A798" s="4" t="s">
        <v>1645</v>
      </c>
      <c r="B798" s="4" t="s">
        <v>1646</v>
      </c>
      <c r="C798" s="4" t="s">
        <v>14</v>
      </c>
      <c r="D798" s="4">
        <v>4.9000000000000004</v>
      </c>
      <c r="E798" s="4">
        <v>12517</v>
      </c>
      <c r="F798" s="4">
        <v>2013</v>
      </c>
      <c r="G798" s="4"/>
      <c r="H798" s="4"/>
    </row>
    <row r="799" spans="1:8" x14ac:dyDescent="0.35">
      <c r="A799" s="4" t="s">
        <v>575</v>
      </c>
      <c r="B799" s="4" t="s">
        <v>576</v>
      </c>
      <c r="C799" s="4" t="s">
        <v>577</v>
      </c>
      <c r="D799" s="4">
        <v>3.9</v>
      </c>
      <c r="E799" s="4">
        <v>12499</v>
      </c>
      <c r="F799" s="4">
        <v>2018</v>
      </c>
      <c r="G799" s="4"/>
      <c r="H799" s="4"/>
    </row>
    <row r="800" spans="1:8" x14ac:dyDescent="0.35">
      <c r="A800" s="4" t="s">
        <v>906</v>
      </c>
      <c r="B800" s="4" t="s">
        <v>907</v>
      </c>
      <c r="C800" s="4" t="s">
        <v>116</v>
      </c>
      <c r="D800" s="4">
        <v>4.4000000000000004</v>
      </c>
      <c r="E800" s="4">
        <v>12499</v>
      </c>
      <c r="F800" s="4">
        <v>2014</v>
      </c>
      <c r="G800" s="4"/>
      <c r="H800" s="4"/>
    </row>
    <row r="801" spans="1:8" x14ac:dyDescent="0.35">
      <c r="A801" s="4" t="s">
        <v>1811</v>
      </c>
      <c r="B801" s="4" t="s">
        <v>1812</v>
      </c>
      <c r="C801" s="4" t="s">
        <v>682</v>
      </c>
      <c r="D801" s="4">
        <v>5</v>
      </c>
      <c r="E801" s="4">
        <v>12499</v>
      </c>
      <c r="F801" s="4">
        <v>2014</v>
      </c>
      <c r="G801" s="4"/>
      <c r="H801" s="4"/>
    </row>
    <row r="802" spans="1:8" x14ac:dyDescent="0.35">
      <c r="A802" s="4" t="s">
        <v>1473</v>
      </c>
      <c r="B802" s="4" t="s">
        <v>1474</v>
      </c>
      <c r="C802" s="4" t="s">
        <v>11</v>
      </c>
      <c r="D802" s="4">
        <v>4.8</v>
      </c>
      <c r="E802" s="4">
        <v>12496</v>
      </c>
      <c r="F802" s="4">
        <v>2009</v>
      </c>
      <c r="G802" s="4"/>
      <c r="H802" s="4"/>
    </row>
    <row r="803" spans="1:8" x14ac:dyDescent="0.35">
      <c r="A803" s="4" t="s">
        <v>1647</v>
      </c>
      <c r="B803" s="4" t="s">
        <v>1648</v>
      </c>
      <c r="C803" s="4" t="s">
        <v>846</v>
      </c>
      <c r="D803" s="4">
        <v>4.9000000000000004</v>
      </c>
      <c r="E803" s="4">
        <v>12479</v>
      </c>
      <c r="F803" s="4">
        <v>2023</v>
      </c>
      <c r="G803" s="4"/>
      <c r="H803" s="4"/>
    </row>
    <row r="804" spans="1:8" x14ac:dyDescent="0.35">
      <c r="A804" s="4" t="s">
        <v>1128</v>
      </c>
      <c r="B804" s="4" t="s">
        <v>1129</v>
      </c>
      <c r="C804" s="4" t="s">
        <v>859</v>
      </c>
      <c r="D804" s="4">
        <v>4.5999999999999996</v>
      </c>
      <c r="E804" s="4">
        <v>12471</v>
      </c>
      <c r="F804" s="4">
        <v>2023</v>
      </c>
      <c r="G804" s="4"/>
      <c r="H804" s="4"/>
    </row>
    <row r="805" spans="1:8" x14ac:dyDescent="0.35">
      <c r="A805" s="4" t="s">
        <v>1288</v>
      </c>
      <c r="B805" s="4" t="s">
        <v>1289</v>
      </c>
      <c r="C805" s="4" t="s">
        <v>294</v>
      </c>
      <c r="D805" s="4">
        <v>4.7</v>
      </c>
      <c r="E805" s="4">
        <v>12465</v>
      </c>
      <c r="F805" s="4">
        <v>2011</v>
      </c>
      <c r="G805" s="4"/>
      <c r="H805" s="4"/>
    </row>
    <row r="806" spans="1:8" x14ac:dyDescent="0.35">
      <c r="A806" s="4" t="s">
        <v>1290</v>
      </c>
      <c r="B806" s="4" t="s">
        <v>1291</v>
      </c>
      <c r="C806" s="4" t="s">
        <v>208</v>
      </c>
      <c r="D806" s="4">
        <v>4.7</v>
      </c>
      <c r="E806" s="4">
        <v>12438</v>
      </c>
      <c r="F806" s="4">
        <v>2022</v>
      </c>
      <c r="G806" s="4"/>
      <c r="H806" s="4"/>
    </row>
    <row r="807" spans="1:8" x14ac:dyDescent="0.35">
      <c r="A807" s="4" t="s">
        <v>1292</v>
      </c>
      <c r="B807" s="4" t="s">
        <v>1293</v>
      </c>
      <c r="C807" s="4" t="s">
        <v>175</v>
      </c>
      <c r="D807" s="4">
        <v>4.7</v>
      </c>
      <c r="E807" s="4">
        <v>12436</v>
      </c>
      <c r="F807" s="4">
        <v>2005</v>
      </c>
      <c r="G807" s="4"/>
      <c r="H807" s="4"/>
    </row>
    <row r="808" spans="1:8" x14ac:dyDescent="0.35">
      <c r="A808" s="4" t="s">
        <v>615</v>
      </c>
      <c r="B808" s="4" t="s">
        <v>616</v>
      </c>
      <c r="C808" s="4" t="s">
        <v>565</v>
      </c>
      <c r="D808" s="4">
        <v>4</v>
      </c>
      <c r="E808" s="4">
        <v>12380</v>
      </c>
      <c r="F808" s="4">
        <v>2022</v>
      </c>
      <c r="G808" s="4"/>
      <c r="H808" s="4"/>
    </row>
    <row r="809" spans="1:8" x14ac:dyDescent="0.35">
      <c r="A809" s="4" t="s">
        <v>2044</v>
      </c>
      <c r="B809" s="4" t="s">
        <v>2045</v>
      </c>
      <c r="C809" s="4" t="s">
        <v>11</v>
      </c>
      <c r="D809" s="4">
        <v>5.0999999999999996</v>
      </c>
      <c r="E809" s="4">
        <v>12359</v>
      </c>
      <c r="F809" s="4">
        <v>2018</v>
      </c>
      <c r="G809" s="4"/>
      <c r="H809" s="4"/>
    </row>
    <row r="810" spans="1:8" x14ac:dyDescent="0.35">
      <c r="A810" s="4" t="s">
        <v>1649</v>
      </c>
      <c r="B810" s="4" t="s">
        <v>1650</v>
      </c>
      <c r="C810" s="4" t="s">
        <v>56</v>
      </c>
      <c r="D810" s="4">
        <v>4.9000000000000004</v>
      </c>
      <c r="E810" s="4">
        <v>12353</v>
      </c>
      <c r="F810" s="4">
        <v>2016</v>
      </c>
      <c r="G810" s="4"/>
      <c r="H810" s="4"/>
    </row>
    <row r="811" spans="1:8" x14ac:dyDescent="0.35">
      <c r="A811" s="4" t="s">
        <v>1294</v>
      </c>
      <c r="B811" s="4" t="s">
        <v>1295</v>
      </c>
      <c r="C811" s="4" t="s">
        <v>178</v>
      </c>
      <c r="D811" s="4">
        <v>4.7</v>
      </c>
      <c r="E811" s="4">
        <v>12298</v>
      </c>
      <c r="F811" s="4">
        <v>1987</v>
      </c>
      <c r="G811" s="4"/>
      <c r="H811" s="4"/>
    </row>
    <row r="812" spans="1:8" x14ac:dyDescent="0.35">
      <c r="A812" s="4" t="s">
        <v>311</v>
      </c>
      <c r="B812" s="4" t="s">
        <v>312</v>
      </c>
      <c r="C812" s="4" t="s">
        <v>76</v>
      </c>
      <c r="D812" s="4">
        <v>3.2</v>
      </c>
      <c r="E812" s="4">
        <v>12288</v>
      </c>
      <c r="F812" s="4">
        <v>2023</v>
      </c>
      <c r="G812" s="4"/>
      <c r="H812" s="4"/>
    </row>
    <row r="813" spans="1:8" x14ac:dyDescent="0.35">
      <c r="A813" s="4" t="s">
        <v>1130</v>
      </c>
      <c r="B813" s="4" t="s">
        <v>1131</v>
      </c>
      <c r="C813" s="4" t="s">
        <v>146</v>
      </c>
      <c r="D813" s="4">
        <v>4.5999999999999996</v>
      </c>
      <c r="E813" s="4">
        <v>12278</v>
      </c>
      <c r="F813" s="4">
        <v>2007</v>
      </c>
      <c r="G813" s="4"/>
      <c r="H813" s="4"/>
    </row>
    <row r="814" spans="1:8" x14ac:dyDescent="0.35">
      <c r="A814" s="4" t="s">
        <v>1002</v>
      </c>
      <c r="B814" s="4" t="s">
        <v>1003</v>
      </c>
      <c r="C814" s="4" t="s">
        <v>1004</v>
      </c>
      <c r="D814" s="4">
        <v>4.5</v>
      </c>
      <c r="E814" s="4">
        <v>12266</v>
      </c>
      <c r="F814" s="4">
        <v>2017</v>
      </c>
      <c r="G814" s="4"/>
      <c r="H814" s="4"/>
    </row>
    <row r="815" spans="1:8" x14ac:dyDescent="0.35">
      <c r="A815" s="4" t="s">
        <v>1651</v>
      </c>
      <c r="B815" s="4" t="s">
        <v>1652</v>
      </c>
      <c r="C815" s="4" t="s">
        <v>128</v>
      </c>
      <c r="D815" s="4">
        <v>4.9000000000000004</v>
      </c>
      <c r="E815" s="4">
        <v>12237</v>
      </c>
      <c r="F815" s="4">
        <v>2003</v>
      </c>
      <c r="G815" s="4"/>
      <c r="H815" s="4"/>
    </row>
    <row r="816" spans="1:8" x14ac:dyDescent="0.35">
      <c r="A816" s="4" t="s">
        <v>1813</v>
      </c>
      <c r="B816" s="4" t="s">
        <v>1814</v>
      </c>
      <c r="C816" s="4" t="s">
        <v>565</v>
      </c>
      <c r="D816" s="4">
        <v>5</v>
      </c>
      <c r="E816" s="4">
        <v>12235</v>
      </c>
      <c r="F816" s="4">
        <v>2023</v>
      </c>
      <c r="G816" s="4"/>
      <c r="H816" s="4"/>
    </row>
    <row r="817" spans="1:8" x14ac:dyDescent="0.35">
      <c r="A817" s="4" t="s">
        <v>1475</v>
      </c>
      <c r="B817" s="4" t="s">
        <v>1476</v>
      </c>
      <c r="C817" s="4" t="s">
        <v>116</v>
      </c>
      <c r="D817" s="4">
        <v>4.8</v>
      </c>
      <c r="E817" s="4">
        <v>12235</v>
      </c>
      <c r="F817" s="4">
        <v>2009</v>
      </c>
      <c r="G817" s="4"/>
      <c r="H817" s="4"/>
    </row>
    <row r="818" spans="1:8" x14ac:dyDescent="0.35">
      <c r="A818" s="4" t="s">
        <v>2046</v>
      </c>
      <c r="B818" s="4" t="s">
        <v>2047</v>
      </c>
      <c r="C818" s="4" t="s">
        <v>146</v>
      </c>
      <c r="D818" s="4">
        <v>5.0999999999999996</v>
      </c>
      <c r="E818" s="4">
        <v>12223</v>
      </c>
      <c r="F818" s="4">
        <v>2013</v>
      </c>
      <c r="G818" s="4"/>
      <c r="H818" s="4"/>
    </row>
    <row r="819" spans="1:8" x14ac:dyDescent="0.35">
      <c r="A819" s="4" t="s">
        <v>465</v>
      </c>
      <c r="B819" s="4" t="s">
        <v>466</v>
      </c>
      <c r="C819" s="4" t="s">
        <v>467</v>
      </c>
      <c r="D819" s="4">
        <v>3.7</v>
      </c>
      <c r="E819" s="4">
        <v>12218</v>
      </c>
      <c r="F819" s="4">
        <v>2008</v>
      </c>
      <c r="G819" s="4"/>
      <c r="H819" s="4"/>
    </row>
    <row r="820" spans="1:8" x14ac:dyDescent="0.35">
      <c r="A820" s="4" t="s">
        <v>908</v>
      </c>
      <c r="B820" s="4" t="s">
        <v>909</v>
      </c>
      <c r="C820" s="4" t="s">
        <v>175</v>
      </c>
      <c r="D820" s="4">
        <v>4.4000000000000004</v>
      </c>
      <c r="E820" s="4">
        <v>12212</v>
      </c>
      <c r="F820" s="4">
        <v>2005</v>
      </c>
      <c r="G820" s="4"/>
      <c r="H820" s="4"/>
    </row>
    <row r="821" spans="1:8" x14ac:dyDescent="0.35">
      <c r="A821" s="4" t="s">
        <v>218</v>
      </c>
      <c r="B821" s="4" t="s">
        <v>219</v>
      </c>
      <c r="C821" s="4" t="s">
        <v>68</v>
      </c>
      <c r="D821" s="4">
        <v>2.7</v>
      </c>
      <c r="E821" s="4">
        <v>12207</v>
      </c>
      <c r="F821" s="4">
        <v>2008</v>
      </c>
      <c r="G821" s="4"/>
      <c r="H821" s="4"/>
    </row>
    <row r="822" spans="1:8" x14ac:dyDescent="0.35">
      <c r="A822" s="4" t="s">
        <v>1477</v>
      </c>
      <c r="B822" s="4" t="s">
        <v>1478</v>
      </c>
      <c r="C822" s="4" t="s">
        <v>128</v>
      </c>
      <c r="D822" s="4">
        <v>4.8</v>
      </c>
      <c r="E822" s="4">
        <v>12205</v>
      </c>
      <c r="F822" s="4">
        <v>2012</v>
      </c>
      <c r="G822" s="4"/>
      <c r="H822" s="4"/>
    </row>
    <row r="823" spans="1:8" x14ac:dyDescent="0.35">
      <c r="A823" s="4" t="s">
        <v>1132</v>
      </c>
      <c r="B823" s="4" t="s">
        <v>1133</v>
      </c>
      <c r="C823" s="4" t="s">
        <v>270</v>
      </c>
      <c r="D823" s="4">
        <v>4.5999999999999996</v>
      </c>
      <c r="E823" s="4">
        <v>12193</v>
      </c>
      <c r="F823" s="4">
        <v>1994</v>
      </c>
      <c r="G823" s="4"/>
      <c r="H823" s="4"/>
    </row>
    <row r="824" spans="1:8" x14ac:dyDescent="0.35">
      <c r="A824" s="4" t="s">
        <v>513</v>
      </c>
      <c r="B824" s="4" t="s">
        <v>514</v>
      </c>
      <c r="C824" s="4" t="s">
        <v>294</v>
      </c>
      <c r="D824" s="4">
        <v>3.8</v>
      </c>
      <c r="E824" s="4">
        <v>12159</v>
      </c>
      <c r="F824" s="4">
        <v>2022</v>
      </c>
      <c r="G824" s="4"/>
      <c r="H824" s="4"/>
    </row>
    <row r="825" spans="1:8" x14ac:dyDescent="0.35">
      <c r="A825" s="4" t="s">
        <v>333</v>
      </c>
      <c r="B825" s="4" t="s">
        <v>334</v>
      </c>
      <c r="C825" s="4" t="s">
        <v>335</v>
      </c>
      <c r="D825" s="4">
        <v>3.3</v>
      </c>
      <c r="E825" s="4">
        <v>12139</v>
      </c>
      <c r="F825" s="4">
        <v>2021</v>
      </c>
      <c r="G825" s="4"/>
      <c r="H825" s="4"/>
    </row>
    <row r="826" spans="1:8" x14ac:dyDescent="0.35">
      <c r="A826" s="4" t="s">
        <v>811</v>
      </c>
      <c r="B826" s="4" t="s">
        <v>812</v>
      </c>
      <c r="C826" s="4" t="s">
        <v>149</v>
      </c>
      <c r="D826" s="4">
        <v>4.3</v>
      </c>
      <c r="E826" s="4">
        <v>12138</v>
      </c>
      <c r="F826" s="4">
        <v>2007</v>
      </c>
      <c r="G826" s="4"/>
      <c r="H826" s="4"/>
    </row>
    <row r="827" spans="1:8" x14ac:dyDescent="0.35">
      <c r="A827" s="4" t="s">
        <v>45</v>
      </c>
      <c r="B827" s="4" t="s">
        <v>46</v>
      </c>
      <c r="C827" s="4" t="s">
        <v>47</v>
      </c>
      <c r="D827" s="4">
        <v>1.3</v>
      </c>
      <c r="E827" s="4">
        <v>12128</v>
      </c>
      <c r="F827" s="4">
        <v>2012</v>
      </c>
      <c r="G827" s="4"/>
      <c r="H827" s="4"/>
    </row>
    <row r="828" spans="1:8" x14ac:dyDescent="0.35">
      <c r="A828" s="4" t="s">
        <v>672</v>
      </c>
      <c r="B828" s="4" t="s">
        <v>673</v>
      </c>
      <c r="C828" s="4" t="s">
        <v>294</v>
      </c>
      <c r="D828" s="4">
        <v>4.0999999999999996</v>
      </c>
      <c r="E828" s="4">
        <v>12126</v>
      </c>
      <c r="F828" s="4">
        <v>2015</v>
      </c>
      <c r="G828" s="4"/>
      <c r="H828" s="4"/>
    </row>
    <row r="829" spans="1:8" x14ac:dyDescent="0.35">
      <c r="A829" s="4" t="s">
        <v>1479</v>
      </c>
      <c r="B829" s="4" t="s">
        <v>1480</v>
      </c>
      <c r="C829" s="4" t="s">
        <v>270</v>
      </c>
      <c r="D829" s="4">
        <v>4.8</v>
      </c>
      <c r="E829" s="4">
        <v>12111</v>
      </c>
      <c r="F829" s="4">
        <v>2011</v>
      </c>
      <c r="G829" s="4"/>
      <c r="H829" s="4"/>
    </row>
    <row r="830" spans="1:8" x14ac:dyDescent="0.35">
      <c r="A830" s="4" t="s">
        <v>515</v>
      </c>
      <c r="B830" s="4" t="s">
        <v>516</v>
      </c>
      <c r="C830" s="4" t="s">
        <v>31</v>
      </c>
      <c r="D830" s="4">
        <v>3.8</v>
      </c>
      <c r="E830" s="4">
        <v>12096</v>
      </c>
      <c r="F830" s="4">
        <v>2013</v>
      </c>
      <c r="G830" s="4"/>
      <c r="H830" s="4"/>
    </row>
    <row r="831" spans="1:8" x14ac:dyDescent="0.35">
      <c r="A831" s="4" t="s">
        <v>1653</v>
      </c>
      <c r="B831" s="4">
        <v>2067</v>
      </c>
      <c r="C831" s="4" t="s">
        <v>1654</v>
      </c>
      <c r="D831" s="4">
        <v>4.9000000000000004</v>
      </c>
      <c r="E831" s="4">
        <v>12090</v>
      </c>
      <c r="F831" s="4">
        <v>2020</v>
      </c>
      <c r="G831" s="4"/>
      <c r="H831" s="4"/>
    </row>
    <row r="832" spans="1:8" x14ac:dyDescent="0.35">
      <c r="A832" s="4" t="s">
        <v>617</v>
      </c>
      <c r="B832" s="4" t="s">
        <v>618</v>
      </c>
      <c r="C832" s="4" t="s">
        <v>568</v>
      </c>
      <c r="D832" s="4">
        <v>4</v>
      </c>
      <c r="E832" s="4">
        <v>12082</v>
      </c>
      <c r="F832" s="4">
        <v>2020</v>
      </c>
      <c r="G832" s="4"/>
      <c r="H832" s="4"/>
    </row>
    <row r="833" spans="1:8" x14ac:dyDescent="0.35">
      <c r="A833" s="4" t="s">
        <v>313</v>
      </c>
      <c r="B833" s="4" t="s">
        <v>314</v>
      </c>
      <c r="C833" s="4" t="s">
        <v>178</v>
      </c>
      <c r="D833" s="4">
        <v>3.2</v>
      </c>
      <c r="E833" s="4">
        <v>12070</v>
      </c>
      <c r="F833" s="4">
        <v>2010</v>
      </c>
      <c r="G833" s="4"/>
      <c r="H833" s="4"/>
    </row>
    <row r="834" spans="1:8" x14ac:dyDescent="0.35">
      <c r="A834" s="4" t="s">
        <v>1005</v>
      </c>
      <c r="B834" s="4" t="s">
        <v>1006</v>
      </c>
      <c r="C834" s="4" t="s">
        <v>140</v>
      </c>
      <c r="D834" s="4">
        <v>4.5</v>
      </c>
      <c r="E834" s="4">
        <v>12066</v>
      </c>
      <c r="F834" s="4">
        <v>2022</v>
      </c>
      <c r="G834" s="4"/>
      <c r="H834" s="4"/>
    </row>
    <row r="835" spans="1:8" x14ac:dyDescent="0.35">
      <c r="A835" s="4" t="s">
        <v>2048</v>
      </c>
      <c r="B835" s="4" t="s">
        <v>2049</v>
      </c>
      <c r="C835" s="4" t="s">
        <v>846</v>
      </c>
      <c r="D835" s="4">
        <v>5.0999999999999996</v>
      </c>
      <c r="E835" s="4">
        <v>12066</v>
      </c>
      <c r="F835" s="4">
        <v>2018</v>
      </c>
      <c r="G835" s="4"/>
      <c r="H835" s="4"/>
    </row>
    <row r="836" spans="1:8" x14ac:dyDescent="0.35">
      <c r="A836" s="4" t="s">
        <v>2050</v>
      </c>
      <c r="B836" s="4" t="s">
        <v>2051</v>
      </c>
      <c r="C836" s="4" t="s">
        <v>565</v>
      </c>
      <c r="D836" s="4">
        <v>5.0999999999999996</v>
      </c>
      <c r="E836" s="4">
        <v>12061</v>
      </c>
      <c r="F836" s="4">
        <v>2021</v>
      </c>
      <c r="G836" s="4"/>
      <c r="H836" s="4"/>
    </row>
    <row r="837" spans="1:8" x14ac:dyDescent="0.35">
      <c r="A837" s="4" t="s">
        <v>619</v>
      </c>
      <c r="B837" s="4" t="s">
        <v>620</v>
      </c>
      <c r="C837" s="4" t="s">
        <v>294</v>
      </c>
      <c r="D837" s="4">
        <v>4</v>
      </c>
      <c r="E837" s="4">
        <v>12059</v>
      </c>
      <c r="F837" s="4">
        <v>2019</v>
      </c>
      <c r="G837" s="4"/>
      <c r="H837" s="4"/>
    </row>
    <row r="838" spans="1:8" x14ac:dyDescent="0.35">
      <c r="A838" s="4" t="s">
        <v>1134</v>
      </c>
      <c r="B838" s="4" t="s">
        <v>1135</v>
      </c>
      <c r="C838" s="4" t="s">
        <v>270</v>
      </c>
      <c r="D838" s="4">
        <v>4.5999999999999996</v>
      </c>
      <c r="E838" s="4">
        <v>12050</v>
      </c>
      <c r="F838" s="4">
        <v>1986</v>
      </c>
      <c r="G838" s="4"/>
      <c r="H838" s="4"/>
    </row>
    <row r="839" spans="1:8" x14ac:dyDescent="0.35">
      <c r="A839" s="4" t="s">
        <v>18</v>
      </c>
      <c r="B839" s="4" t="s">
        <v>19</v>
      </c>
      <c r="C839" s="4" t="s">
        <v>20</v>
      </c>
      <c r="D839" s="4">
        <v>1.1000000000000001</v>
      </c>
      <c r="E839" s="4">
        <v>12019</v>
      </c>
      <c r="F839" s="4">
        <v>2023</v>
      </c>
      <c r="G839" s="4"/>
      <c r="H839" s="4"/>
    </row>
    <row r="840" spans="1:8" x14ac:dyDescent="0.35">
      <c r="A840" s="4" t="s">
        <v>1815</v>
      </c>
      <c r="B840" s="4" t="s">
        <v>1816</v>
      </c>
      <c r="C840" s="4" t="s">
        <v>178</v>
      </c>
      <c r="D840" s="4">
        <v>5</v>
      </c>
      <c r="E840" s="4">
        <v>12014</v>
      </c>
      <c r="F840" s="4">
        <v>2019</v>
      </c>
      <c r="G840" s="4"/>
      <c r="H840" s="4"/>
    </row>
    <row r="841" spans="1:8" x14ac:dyDescent="0.35">
      <c r="A841" s="4" t="s">
        <v>2052</v>
      </c>
      <c r="B841" s="4" t="s">
        <v>2053</v>
      </c>
      <c r="C841" s="4" t="s">
        <v>915</v>
      </c>
      <c r="D841" s="4">
        <v>5.0999999999999996</v>
      </c>
      <c r="E841" s="4">
        <v>12010</v>
      </c>
      <c r="F841" s="4">
        <v>2016</v>
      </c>
      <c r="G841" s="4"/>
      <c r="H841" s="4"/>
    </row>
    <row r="842" spans="1:8" x14ac:dyDescent="0.35">
      <c r="A842" s="4" t="s">
        <v>1007</v>
      </c>
      <c r="B842" s="4" t="s">
        <v>1008</v>
      </c>
      <c r="C842" s="4" t="s">
        <v>1009</v>
      </c>
      <c r="D842" s="4">
        <v>4.5</v>
      </c>
      <c r="E842" s="4">
        <v>11963</v>
      </c>
      <c r="F842" s="4">
        <v>2006</v>
      </c>
      <c r="G842" s="4"/>
      <c r="H842" s="4"/>
    </row>
    <row r="843" spans="1:8" x14ac:dyDescent="0.35">
      <c r="A843" s="4" t="s">
        <v>1481</v>
      </c>
      <c r="B843" s="4" t="s">
        <v>1482</v>
      </c>
      <c r="C843" s="4" t="s">
        <v>56</v>
      </c>
      <c r="D843" s="4">
        <v>4.8</v>
      </c>
      <c r="E843" s="4">
        <v>11945</v>
      </c>
      <c r="F843" s="4">
        <v>2018</v>
      </c>
      <c r="G843" s="4"/>
      <c r="H843" s="4"/>
    </row>
    <row r="844" spans="1:8" x14ac:dyDescent="0.35">
      <c r="A844" s="4" t="s">
        <v>433</v>
      </c>
      <c r="B844" s="4" t="s">
        <v>434</v>
      </c>
      <c r="C844" s="4" t="s">
        <v>181</v>
      </c>
      <c r="D844" s="4">
        <v>3.6</v>
      </c>
      <c r="E844" s="4">
        <v>11928</v>
      </c>
      <c r="F844" s="4">
        <v>2017</v>
      </c>
      <c r="G844" s="4"/>
      <c r="H844" s="4"/>
    </row>
    <row r="845" spans="1:8" x14ac:dyDescent="0.35">
      <c r="A845" s="4" t="s">
        <v>1483</v>
      </c>
      <c r="B845" s="4" t="s">
        <v>1484</v>
      </c>
      <c r="C845" s="4" t="s">
        <v>951</v>
      </c>
      <c r="D845" s="4">
        <v>4.8</v>
      </c>
      <c r="E845" s="4">
        <v>11904</v>
      </c>
      <c r="F845" s="4">
        <v>2020</v>
      </c>
      <c r="G845" s="4"/>
      <c r="H845" s="4"/>
    </row>
    <row r="846" spans="1:8" x14ac:dyDescent="0.35">
      <c r="A846" s="4" t="s">
        <v>1485</v>
      </c>
      <c r="B846" s="4" t="s">
        <v>1486</v>
      </c>
      <c r="C846" s="4" t="s">
        <v>93</v>
      </c>
      <c r="D846" s="4">
        <v>4.8</v>
      </c>
      <c r="E846" s="4">
        <v>11898</v>
      </c>
      <c r="F846" s="4">
        <v>2020</v>
      </c>
      <c r="G846" s="4"/>
      <c r="H846" s="4"/>
    </row>
    <row r="847" spans="1:8" x14ac:dyDescent="0.35">
      <c r="A847" s="4" t="s">
        <v>1817</v>
      </c>
      <c r="B847" s="4" t="s">
        <v>1818</v>
      </c>
      <c r="C847" s="4" t="s">
        <v>82</v>
      </c>
      <c r="D847" s="4">
        <v>5</v>
      </c>
      <c r="E847" s="4">
        <v>11884</v>
      </c>
      <c r="F847" s="4">
        <v>2011</v>
      </c>
      <c r="G847" s="4"/>
      <c r="H847" s="4"/>
    </row>
    <row r="848" spans="1:8" x14ac:dyDescent="0.35">
      <c r="A848" s="4" t="s">
        <v>1136</v>
      </c>
      <c r="B848" s="4" t="s">
        <v>1137</v>
      </c>
      <c r="C848" s="4" t="s">
        <v>1039</v>
      </c>
      <c r="D848" s="4">
        <v>4.5999999999999996</v>
      </c>
      <c r="E848" s="4">
        <v>11867</v>
      </c>
      <c r="F848" s="4">
        <v>2008</v>
      </c>
      <c r="G848" s="4"/>
      <c r="H848" s="4"/>
    </row>
    <row r="849" spans="1:8" x14ac:dyDescent="0.35">
      <c r="A849" s="4" t="s">
        <v>1487</v>
      </c>
      <c r="B849" s="4" t="s">
        <v>1488</v>
      </c>
      <c r="C849" s="4" t="s">
        <v>56</v>
      </c>
      <c r="D849" s="4">
        <v>4.8</v>
      </c>
      <c r="E849" s="4">
        <v>11849</v>
      </c>
      <c r="F849" s="4">
        <v>2019</v>
      </c>
      <c r="G849" s="4"/>
      <c r="H849" s="4"/>
    </row>
    <row r="850" spans="1:8" x14ac:dyDescent="0.35">
      <c r="A850" s="4" t="s">
        <v>1296</v>
      </c>
      <c r="B850" s="4" t="s">
        <v>1297</v>
      </c>
      <c r="C850" s="4" t="s">
        <v>128</v>
      </c>
      <c r="D850" s="4">
        <v>4.7</v>
      </c>
      <c r="E850" s="4">
        <v>11841</v>
      </c>
      <c r="F850" s="4">
        <v>2023</v>
      </c>
      <c r="G850" s="4"/>
      <c r="H850" s="4"/>
    </row>
    <row r="851" spans="1:8" x14ac:dyDescent="0.35">
      <c r="A851" s="4" t="s">
        <v>674</v>
      </c>
      <c r="B851" s="4" t="s">
        <v>675</v>
      </c>
      <c r="C851" s="4" t="s">
        <v>669</v>
      </c>
      <c r="D851" s="4">
        <v>4.0999999999999996</v>
      </c>
      <c r="E851" s="4">
        <v>11817</v>
      </c>
      <c r="F851" s="4">
        <v>2020</v>
      </c>
      <c r="G851" s="4"/>
      <c r="H851" s="4"/>
    </row>
    <row r="852" spans="1:8" x14ac:dyDescent="0.35">
      <c r="A852" s="4" t="s">
        <v>1298</v>
      </c>
      <c r="B852" s="4" t="s">
        <v>1299</v>
      </c>
      <c r="C852" s="4" t="s">
        <v>128</v>
      </c>
      <c r="D852" s="4">
        <v>4.7</v>
      </c>
      <c r="E852" s="4">
        <v>11815</v>
      </c>
      <c r="F852" s="4">
        <v>2000</v>
      </c>
      <c r="G852" s="4"/>
      <c r="H852" s="4"/>
    </row>
    <row r="853" spans="1:8" x14ac:dyDescent="0.35">
      <c r="A853" s="4" t="s">
        <v>435</v>
      </c>
      <c r="B853" s="4" t="s">
        <v>436</v>
      </c>
      <c r="C853" s="4" t="s">
        <v>93</v>
      </c>
      <c r="D853" s="4">
        <v>3.6</v>
      </c>
      <c r="E853" s="4">
        <v>11755</v>
      </c>
      <c r="F853" s="4">
        <v>2017</v>
      </c>
      <c r="G853" s="4"/>
      <c r="H853" s="4"/>
    </row>
    <row r="854" spans="1:8" x14ac:dyDescent="0.35">
      <c r="A854" s="4" t="s">
        <v>1010</v>
      </c>
      <c r="B854" s="4" t="s">
        <v>1011</v>
      </c>
      <c r="C854" s="4" t="s">
        <v>568</v>
      </c>
      <c r="D854" s="4">
        <v>4.5</v>
      </c>
      <c r="E854" s="4">
        <v>11714</v>
      </c>
      <c r="F854" s="4">
        <v>2014</v>
      </c>
      <c r="G854" s="4"/>
      <c r="H854" s="4"/>
    </row>
    <row r="855" spans="1:8" x14ac:dyDescent="0.35">
      <c r="A855" s="4" t="s">
        <v>220</v>
      </c>
      <c r="B855" s="4" t="s">
        <v>221</v>
      </c>
      <c r="C855" s="4" t="s">
        <v>222</v>
      </c>
      <c r="D855" s="4">
        <v>2.7</v>
      </c>
      <c r="E855" s="4">
        <v>11689</v>
      </c>
      <c r="F855" s="4">
        <v>2007</v>
      </c>
      <c r="G855" s="4"/>
      <c r="H855" s="4"/>
    </row>
    <row r="856" spans="1:8" x14ac:dyDescent="0.35">
      <c r="A856" s="4" t="s">
        <v>1819</v>
      </c>
      <c r="B856" s="4" t="s">
        <v>1820</v>
      </c>
      <c r="C856" s="4" t="s">
        <v>116</v>
      </c>
      <c r="D856" s="4">
        <v>5</v>
      </c>
      <c r="E856" s="4">
        <v>11679</v>
      </c>
      <c r="F856" s="4">
        <v>1996</v>
      </c>
      <c r="G856" s="4"/>
      <c r="H856" s="4"/>
    </row>
    <row r="857" spans="1:8" x14ac:dyDescent="0.35">
      <c r="A857" s="4" t="s">
        <v>621</v>
      </c>
      <c r="B857" s="4" t="s">
        <v>622</v>
      </c>
      <c r="C857" s="4" t="s">
        <v>211</v>
      </c>
      <c r="D857" s="4">
        <v>4</v>
      </c>
      <c r="E857" s="4">
        <v>11678</v>
      </c>
      <c r="F857" s="4">
        <v>2000</v>
      </c>
      <c r="G857" s="4"/>
      <c r="H857" s="4"/>
    </row>
    <row r="858" spans="1:8" x14ac:dyDescent="0.35">
      <c r="A858" s="4" t="s">
        <v>468</v>
      </c>
      <c r="B858" s="4" t="s">
        <v>469</v>
      </c>
      <c r="C858" s="4" t="s">
        <v>11</v>
      </c>
      <c r="D858" s="4">
        <v>3.7</v>
      </c>
      <c r="E858" s="4">
        <v>11668</v>
      </c>
      <c r="F858" s="4">
        <v>2008</v>
      </c>
      <c r="G858" s="4"/>
      <c r="H858" s="4"/>
    </row>
    <row r="859" spans="1:8" x14ac:dyDescent="0.35">
      <c r="A859" s="4" t="s">
        <v>2054</v>
      </c>
      <c r="B859" s="4" t="s">
        <v>2055</v>
      </c>
      <c r="C859" s="4" t="s">
        <v>11</v>
      </c>
      <c r="D859" s="4">
        <v>5.0999999999999996</v>
      </c>
      <c r="E859" s="4">
        <v>11665</v>
      </c>
      <c r="F859" s="4">
        <v>2010</v>
      </c>
      <c r="G859" s="4"/>
      <c r="H859" s="4"/>
    </row>
    <row r="860" spans="1:8" x14ac:dyDescent="0.35">
      <c r="A860" s="4" t="s">
        <v>1012</v>
      </c>
      <c r="B860" s="4" t="s">
        <v>1013</v>
      </c>
      <c r="C860" s="4" t="s">
        <v>82</v>
      </c>
      <c r="D860" s="4">
        <v>4.5</v>
      </c>
      <c r="E860" s="4">
        <v>11661</v>
      </c>
      <c r="F860" s="4">
        <v>2013</v>
      </c>
      <c r="G860" s="4"/>
      <c r="H860" s="4"/>
    </row>
    <row r="861" spans="1:8" x14ac:dyDescent="0.35">
      <c r="A861" s="4" t="s">
        <v>2056</v>
      </c>
      <c r="B861" s="4" t="s">
        <v>2057</v>
      </c>
      <c r="C861" s="4" t="s">
        <v>646</v>
      </c>
      <c r="D861" s="4">
        <v>5.0999999999999996</v>
      </c>
      <c r="E861" s="4">
        <v>11653</v>
      </c>
      <c r="F861" s="4">
        <v>2015</v>
      </c>
      <c r="G861" s="4"/>
      <c r="H861" s="4"/>
    </row>
    <row r="862" spans="1:8" x14ac:dyDescent="0.35">
      <c r="A862" s="4" t="s">
        <v>676</v>
      </c>
      <c r="B862" s="4" t="s">
        <v>677</v>
      </c>
      <c r="C862" s="4" t="s">
        <v>474</v>
      </c>
      <c r="D862" s="4">
        <v>4.0999999999999996</v>
      </c>
      <c r="E862" s="4">
        <v>11649</v>
      </c>
      <c r="F862" s="4">
        <v>1999</v>
      </c>
      <c r="G862" s="4"/>
      <c r="H862" s="4"/>
    </row>
    <row r="863" spans="1:8" x14ac:dyDescent="0.35">
      <c r="A863" s="4" t="s">
        <v>2058</v>
      </c>
      <c r="B863" s="4" t="s">
        <v>2059</v>
      </c>
      <c r="C863" s="4" t="s">
        <v>759</v>
      </c>
      <c r="D863" s="4">
        <v>5.0999999999999996</v>
      </c>
      <c r="E863" s="4">
        <v>11639</v>
      </c>
      <c r="F863" s="4">
        <v>2023</v>
      </c>
      <c r="G863" s="4"/>
      <c r="H863" s="4"/>
    </row>
    <row r="864" spans="1:8" x14ac:dyDescent="0.35">
      <c r="A864" s="4" t="s">
        <v>678</v>
      </c>
      <c r="B864" s="4" t="s">
        <v>679</v>
      </c>
      <c r="C864" s="4" t="s">
        <v>584</v>
      </c>
      <c r="D864" s="4">
        <v>4.0999999999999996</v>
      </c>
      <c r="E864" s="4">
        <v>11634</v>
      </c>
      <c r="F864" s="4">
        <v>2021</v>
      </c>
      <c r="G864" s="4"/>
      <c r="H864" s="4"/>
    </row>
    <row r="865" spans="1:8" x14ac:dyDescent="0.35">
      <c r="A865" s="4" t="s">
        <v>1655</v>
      </c>
      <c r="B865" s="4" t="s">
        <v>1656</v>
      </c>
      <c r="C865" s="4" t="s">
        <v>294</v>
      </c>
      <c r="D865" s="4">
        <v>4.9000000000000004</v>
      </c>
      <c r="E865" s="4">
        <v>11630</v>
      </c>
      <c r="F865" s="4">
        <v>2019</v>
      </c>
      <c r="G865" s="4"/>
      <c r="H865" s="4"/>
    </row>
    <row r="866" spans="1:8" x14ac:dyDescent="0.35">
      <c r="A866" s="4" t="s">
        <v>517</v>
      </c>
      <c r="B866" s="4" t="s">
        <v>518</v>
      </c>
      <c r="C866" s="4" t="s">
        <v>519</v>
      </c>
      <c r="D866" s="4">
        <v>3.8</v>
      </c>
      <c r="E866" s="4">
        <v>11617</v>
      </c>
      <c r="F866" s="4">
        <v>2006</v>
      </c>
      <c r="G866" s="4"/>
      <c r="H866" s="4"/>
    </row>
    <row r="867" spans="1:8" x14ac:dyDescent="0.35">
      <c r="A867" s="4" t="s">
        <v>1489</v>
      </c>
      <c r="B867" s="4" t="s">
        <v>1490</v>
      </c>
      <c r="C867" s="4" t="s">
        <v>584</v>
      </c>
      <c r="D867" s="4">
        <v>4.8</v>
      </c>
      <c r="E867" s="4">
        <v>11601</v>
      </c>
      <c r="F867" s="4">
        <v>2015</v>
      </c>
      <c r="G867" s="4"/>
      <c r="H867" s="4"/>
    </row>
    <row r="868" spans="1:8" x14ac:dyDescent="0.35">
      <c r="A868" s="4" t="s">
        <v>470</v>
      </c>
      <c r="B868" s="4" t="s">
        <v>471</v>
      </c>
      <c r="C868" s="4" t="s">
        <v>178</v>
      </c>
      <c r="D868" s="4">
        <v>3.7</v>
      </c>
      <c r="E868" s="4">
        <v>11575</v>
      </c>
      <c r="F868" s="4">
        <v>2007</v>
      </c>
      <c r="G868" s="4"/>
      <c r="H868" s="4"/>
    </row>
    <row r="869" spans="1:8" x14ac:dyDescent="0.35">
      <c r="A869" s="4" t="s">
        <v>1657</v>
      </c>
      <c r="B869" s="4" t="s">
        <v>1658</v>
      </c>
      <c r="C869" s="4" t="s">
        <v>1659</v>
      </c>
      <c r="D869" s="4">
        <v>4.9000000000000004</v>
      </c>
      <c r="E869" s="4">
        <v>11564</v>
      </c>
      <c r="F869" s="4">
        <v>2018</v>
      </c>
      <c r="G869" s="4"/>
      <c r="H869" s="4"/>
    </row>
    <row r="870" spans="1:8" x14ac:dyDescent="0.35">
      <c r="A870" s="4" t="s">
        <v>1660</v>
      </c>
      <c r="B870" s="4" t="s">
        <v>1661</v>
      </c>
      <c r="C870" s="4" t="s">
        <v>1662</v>
      </c>
      <c r="D870" s="4">
        <v>4.9000000000000004</v>
      </c>
      <c r="E870" s="4">
        <v>11544</v>
      </c>
      <c r="F870" s="4">
        <v>2018</v>
      </c>
      <c r="G870" s="4"/>
      <c r="H870" s="4"/>
    </row>
    <row r="871" spans="1:8" x14ac:dyDescent="0.35">
      <c r="A871" s="4" t="s">
        <v>1821</v>
      </c>
      <c r="B871" s="4" t="s">
        <v>1822</v>
      </c>
      <c r="C871" s="4" t="s">
        <v>47</v>
      </c>
      <c r="D871" s="4">
        <v>5</v>
      </c>
      <c r="E871" s="4">
        <v>11526</v>
      </c>
      <c r="F871" s="4">
        <v>2003</v>
      </c>
      <c r="G871" s="4"/>
      <c r="H871" s="4"/>
    </row>
    <row r="872" spans="1:8" x14ac:dyDescent="0.35">
      <c r="A872" s="4" t="s">
        <v>1823</v>
      </c>
      <c r="B872" s="4" t="s">
        <v>1824</v>
      </c>
      <c r="C872" s="4" t="s">
        <v>1039</v>
      </c>
      <c r="D872" s="4">
        <v>5</v>
      </c>
      <c r="E872" s="4">
        <v>11511</v>
      </c>
      <c r="F872" s="4">
        <v>2012</v>
      </c>
      <c r="G872" s="4"/>
      <c r="H872" s="4"/>
    </row>
    <row r="873" spans="1:8" x14ac:dyDescent="0.35">
      <c r="A873" s="4" t="s">
        <v>578</v>
      </c>
      <c r="B873" s="4" t="s">
        <v>579</v>
      </c>
      <c r="C873" s="4" t="s">
        <v>455</v>
      </c>
      <c r="D873" s="4">
        <v>3.9</v>
      </c>
      <c r="E873" s="4">
        <v>11508</v>
      </c>
      <c r="F873" s="4">
        <v>1999</v>
      </c>
      <c r="G873" s="4"/>
      <c r="H873" s="4"/>
    </row>
    <row r="874" spans="1:8" x14ac:dyDescent="0.35">
      <c r="A874" s="4" t="s">
        <v>1491</v>
      </c>
      <c r="B874" s="4" t="s">
        <v>1492</v>
      </c>
      <c r="C874" s="4" t="s">
        <v>584</v>
      </c>
      <c r="D874" s="4">
        <v>4.8</v>
      </c>
      <c r="E874" s="4">
        <v>11487</v>
      </c>
      <c r="F874" s="4">
        <v>2000</v>
      </c>
      <c r="G874" s="4"/>
      <c r="H874" s="4"/>
    </row>
    <row r="875" spans="1:8" x14ac:dyDescent="0.35">
      <c r="A875" s="4" t="s">
        <v>1493</v>
      </c>
      <c r="B875" s="4" t="s">
        <v>1494</v>
      </c>
      <c r="C875" s="4" t="s">
        <v>535</v>
      </c>
      <c r="D875" s="4">
        <v>4.8</v>
      </c>
      <c r="E875" s="4">
        <v>11454</v>
      </c>
      <c r="F875" s="4">
        <v>1982</v>
      </c>
      <c r="G875" s="4"/>
      <c r="H875" s="4"/>
    </row>
    <row r="876" spans="1:8" x14ac:dyDescent="0.35">
      <c r="A876" s="4" t="s">
        <v>1495</v>
      </c>
      <c r="B876" s="4" t="s">
        <v>1496</v>
      </c>
      <c r="C876" s="4" t="s">
        <v>577</v>
      </c>
      <c r="D876" s="4">
        <v>4.8</v>
      </c>
      <c r="E876" s="4">
        <v>11449</v>
      </c>
      <c r="F876" s="4">
        <v>2019</v>
      </c>
      <c r="G876" s="4"/>
      <c r="H876" s="4"/>
    </row>
    <row r="877" spans="1:8" x14ac:dyDescent="0.35">
      <c r="A877" s="4" t="s">
        <v>1825</v>
      </c>
      <c r="B877" s="4" t="s">
        <v>1826</v>
      </c>
      <c r="C877" s="4" t="s">
        <v>709</v>
      </c>
      <c r="D877" s="4">
        <v>5</v>
      </c>
      <c r="E877" s="4">
        <v>11416</v>
      </c>
      <c r="F877" s="4">
        <v>2017</v>
      </c>
      <c r="G877" s="4"/>
      <c r="H877" s="4"/>
    </row>
    <row r="878" spans="1:8" x14ac:dyDescent="0.35">
      <c r="A878" s="4" t="s">
        <v>472</v>
      </c>
      <c r="B878" s="4" t="s">
        <v>473</v>
      </c>
      <c r="C878" s="4" t="s">
        <v>474</v>
      </c>
      <c r="D878" s="4">
        <v>3.7</v>
      </c>
      <c r="E878" s="4">
        <v>11416</v>
      </c>
      <c r="F878" s="4">
        <v>2016</v>
      </c>
      <c r="G878" s="4"/>
      <c r="H878" s="4"/>
    </row>
    <row r="879" spans="1:8" x14ac:dyDescent="0.35">
      <c r="A879" s="4" t="s">
        <v>1138</v>
      </c>
      <c r="B879" s="4" t="s">
        <v>1139</v>
      </c>
      <c r="C879" s="4" t="s">
        <v>62</v>
      </c>
      <c r="D879" s="4">
        <v>4.5999999999999996</v>
      </c>
      <c r="E879" s="4">
        <v>11373</v>
      </c>
      <c r="F879" s="4">
        <v>1991</v>
      </c>
      <c r="G879" s="4"/>
      <c r="H879" s="4"/>
    </row>
    <row r="880" spans="1:8" x14ac:dyDescent="0.35">
      <c r="A880" s="4" t="s">
        <v>176</v>
      </c>
      <c r="B880" s="4" t="s">
        <v>177</v>
      </c>
      <c r="C880" s="4" t="s">
        <v>178</v>
      </c>
      <c r="D880" s="4">
        <v>2.5</v>
      </c>
      <c r="E880" s="4">
        <v>11371</v>
      </c>
      <c r="F880" s="4">
        <v>2009</v>
      </c>
      <c r="G880" s="4"/>
      <c r="H880" s="4"/>
    </row>
    <row r="881" spans="1:8" x14ac:dyDescent="0.35">
      <c r="A881" s="4" t="s">
        <v>1827</v>
      </c>
      <c r="B881" s="4" t="s">
        <v>1828</v>
      </c>
      <c r="C881" s="4" t="s">
        <v>584</v>
      </c>
      <c r="D881" s="4">
        <v>5</v>
      </c>
      <c r="E881" s="4">
        <v>11370</v>
      </c>
      <c r="F881" s="4">
        <v>2007</v>
      </c>
      <c r="G881" s="4"/>
      <c r="H881" s="4"/>
    </row>
    <row r="882" spans="1:8" x14ac:dyDescent="0.35">
      <c r="A882" s="4" t="s">
        <v>1300</v>
      </c>
      <c r="B882" s="4" t="s">
        <v>1301</v>
      </c>
      <c r="C882" s="4" t="s">
        <v>116</v>
      </c>
      <c r="D882" s="4">
        <v>4.7</v>
      </c>
      <c r="E882" s="4">
        <v>11368</v>
      </c>
      <c r="F882" s="4">
        <v>2002</v>
      </c>
      <c r="G882" s="4"/>
      <c r="H882" s="4"/>
    </row>
    <row r="883" spans="1:8" x14ac:dyDescent="0.35">
      <c r="A883" s="4" t="s">
        <v>1497</v>
      </c>
      <c r="B883" s="4" t="s">
        <v>1498</v>
      </c>
      <c r="C883" s="4" t="s">
        <v>76</v>
      </c>
      <c r="D883" s="4">
        <v>4.8</v>
      </c>
      <c r="E883" s="4">
        <v>11365</v>
      </c>
      <c r="F883" s="4">
        <v>1988</v>
      </c>
      <c r="G883" s="4"/>
      <c r="H883" s="4"/>
    </row>
    <row r="884" spans="1:8" x14ac:dyDescent="0.35">
      <c r="A884" s="4" t="s">
        <v>1302</v>
      </c>
      <c r="B884" s="4" t="s">
        <v>1303</v>
      </c>
      <c r="C884" s="4" t="s">
        <v>565</v>
      </c>
      <c r="D884" s="4">
        <v>4.7</v>
      </c>
      <c r="E884" s="4">
        <v>11364</v>
      </c>
      <c r="F884" s="4">
        <v>2019</v>
      </c>
      <c r="G884" s="4"/>
      <c r="H884" s="4"/>
    </row>
    <row r="885" spans="1:8" x14ac:dyDescent="0.35">
      <c r="A885" s="4" t="s">
        <v>813</v>
      </c>
      <c r="B885" s="4" t="s">
        <v>814</v>
      </c>
      <c r="C885" s="4" t="s">
        <v>217</v>
      </c>
      <c r="D885" s="4">
        <v>4.3</v>
      </c>
      <c r="E885" s="4">
        <v>11363</v>
      </c>
      <c r="F885" s="4">
        <v>2017</v>
      </c>
      <c r="G885" s="4"/>
      <c r="H885" s="4"/>
    </row>
    <row r="886" spans="1:8" x14ac:dyDescent="0.35">
      <c r="A886" s="4" t="s">
        <v>910</v>
      </c>
      <c r="B886" s="4" t="s">
        <v>911</v>
      </c>
      <c r="C886" s="4" t="s">
        <v>912</v>
      </c>
      <c r="D886" s="4">
        <v>4.4000000000000004</v>
      </c>
      <c r="E886" s="4">
        <v>11349</v>
      </c>
      <c r="F886" s="4">
        <v>2015</v>
      </c>
      <c r="G886" s="4"/>
      <c r="H886" s="4"/>
    </row>
    <row r="887" spans="1:8" x14ac:dyDescent="0.35">
      <c r="A887" s="4" t="s">
        <v>815</v>
      </c>
      <c r="B887" s="4" t="s">
        <v>816</v>
      </c>
      <c r="C887" s="4" t="s">
        <v>243</v>
      </c>
      <c r="D887" s="4">
        <v>4.3</v>
      </c>
      <c r="E887" s="4">
        <v>11309</v>
      </c>
      <c r="F887" s="4">
        <v>2014</v>
      </c>
      <c r="G887" s="4"/>
      <c r="H887" s="4"/>
    </row>
    <row r="888" spans="1:8" x14ac:dyDescent="0.35">
      <c r="A888" s="4" t="s">
        <v>1499</v>
      </c>
      <c r="B888" s="4" t="s">
        <v>1500</v>
      </c>
      <c r="C888" s="4" t="s">
        <v>1501</v>
      </c>
      <c r="D888" s="4">
        <v>4.8</v>
      </c>
      <c r="E888" s="4">
        <v>11300</v>
      </c>
      <c r="F888" s="4">
        <v>1987</v>
      </c>
      <c r="G888" s="4"/>
      <c r="H888" s="4"/>
    </row>
    <row r="889" spans="1:8" x14ac:dyDescent="0.35">
      <c r="A889" s="4" t="s">
        <v>1502</v>
      </c>
      <c r="B889" s="4" t="s">
        <v>1503</v>
      </c>
      <c r="C889" s="4" t="s">
        <v>474</v>
      </c>
      <c r="D889" s="4">
        <v>4.8</v>
      </c>
      <c r="E889" s="4">
        <v>11297</v>
      </c>
      <c r="F889" s="4">
        <v>2015</v>
      </c>
      <c r="G889" s="4"/>
      <c r="H889" s="4"/>
    </row>
    <row r="890" spans="1:8" x14ac:dyDescent="0.35">
      <c r="A890" s="4" t="s">
        <v>737</v>
      </c>
      <c r="B890" s="4" t="s">
        <v>738</v>
      </c>
      <c r="C890" s="4" t="s">
        <v>98</v>
      </c>
      <c r="D890" s="4">
        <v>4.2</v>
      </c>
      <c r="E890" s="4">
        <v>11289</v>
      </c>
      <c r="F890" s="4">
        <v>2004</v>
      </c>
      <c r="G890" s="4"/>
      <c r="H890" s="4"/>
    </row>
    <row r="891" spans="1:8" x14ac:dyDescent="0.35">
      <c r="A891" s="4" t="s">
        <v>580</v>
      </c>
      <c r="B891" s="4" t="s">
        <v>581</v>
      </c>
      <c r="C891" s="4" t="s">
        <v>116</v>
      </c>
      <c r="D891" s="4">
        <v>3.9</v>
      </c>
      <c r="E891" s="4">
        <v>11282</v>
      </c>
      <c r="F891" s="4">
        <v>2020</v>
      </c>
      <c r="G891" s="4"/>
      <c r="H891" s="4"/>
    </row>
    <row r="892" spans="1:8" x14ac:dyDescent="0.35">
      <c r="A892" s="4" t="s">
        <v>1829</v>
      </c>
      <c r="B892" s="4" t="s">
        <v>1830</v>
      </c>
      <c r="C892" s="4" t="s">
        <v>14</v>
      </c>
      <c r="D892" s="4">
        <v>5</v>
      </c>
      <c r="E892" s="4">
        <v>11281</v>
      </c>
      <c r="F892" s="4">
        <v>2021</v>
      </c>
      <c r="G892" s="4"/>
      <c r="H892" s="4"/>
    </row>
    <row r="893" spans="1:8" x14ac:dyDescent="0.35">
      <c r="A893" s="4" t="s">
        <v>1831</v>
      </c>
      <c r="B893" s="4" t="s">
        <v>1832</v>
      </c>
      <c r="C893" s="4" t="s">
        <v>400</v>
      </c>
      <c r="D893" s="4">
        <v>5</v>
      </c>
      <c r="E893" s="4">
        <v>11279</v>
      </c>
      <c r="F893" s="4">
        <v>2005</v>
      </c>
      <c r="G893" s="4"/>
      <c r="H893" s="4"/>
    </row>
    <row r="894" spans="1:8" x14ac:dyDescent="0.35">
      <c r="A894" s="4" t="s">
        <v>1014</v>
      </c>
      <c r="B894" s="4" t="s">
        <v>1015</v>
      </c>
      <c r="C894" s="4" t="s">
        <v>65</v>
      </c>
      <c r="D894" s="4">
        <v>4.5</v>
      </c>
      <c r="E894" s="4">
        <v>11255</v>
      </c>
      <c r="F894" s="4">
        <v>2006</v>
      </c>
      <c r="G894" s="4"/>
      <c r="H894" s="4"/>
    </row>
    <row r="895" spans="1:8" x14ac:dyDescent="0.35">
      <c r="A895" s="4" t="s">
        <v>913</v>
      </c>
      <c r="B895" s="4" t="s">
        <v>914</v>
      </c>
      <c r="C895" s="4" t="s">
        <v>915</v>
      </c>
      <c r="D895" s="4">
        <v>4.4000000000000004</v>
      </c>
      <c r="E895" s="4">
        <v>11206</v>
      </c>
      <c r="F895" s="4">
        <v>2019</v>
      </c>
      <c r="G895" s="4"/>
      <c r="H895" s="4"/>
    </row>
    <row r="896" spans="1:8" x14ac:dyDescent="0.35">
      <c r="A896" s="4" t="s">
        <v>817</v>
      </c>
      <c r="B896" s="4" t="s">
        <v>818</v>
      </c>
      <c r="C896" s="4" t="s">
        <v>211</v>
      </c>
      <c r="D896" s="4">
        <v>4.3</v>
      </c>
      <c r="E896" s="4">
        <v>11182</v>
      </c>
      <c r="F896" s="4">
        <v>2021</v>
      </c>
      <c r="G896" s="4"/>
      <c r="H896" s="4"/>
    </row>
    <row r="897" spans="1:8" x14ac:dyDescent="0.35">
      <c r="A897" s="4" t="s">
        <v>21</v>
      </c>
      <c r="B897" s="4" t="s">
        <v>22</v>
      </c>
      <c r="C897" s="4" t="s">
        <v>23</v>
      </c>
      <c r="D897" s="4">
        <v>1.1000000000000001</v>
      </c>
      <c r="E897" s="4">
        <v>11177</v>
      </c>
      <c r="F897" s="4">
        <v>2022</v>
      </c>
      <c r="G897" s="4"/>
      <c r="H897" s="4"/>
    </row>
    <row r="898" spans="1:8" x14ac:dyDescent="0.35">
      <c r="A898" s="4" t="s">
        <v>1833</v>
      </c>
      <c r="B898" s="4" t="s">
        <v>1834</v>
      </c>
      <c r="C898" s="4" t="s">
        <v>101</v>
      </c>
      <c r="D898" s="4">
        <v>5</v>
      </c>
      <c r="E898" s="4">
        <v>11176</v>
      </c>
      <c r="F898" s="4">
        <v>2011</v>
      </c>
      <c r="G898" s="4"/>
      <c r="H898" s="4"/>
    </row>
    <row r="899" spans="1:8" x14ac:dyDescent="0.35">
      <c r="A899" s="4" t="s">
        <v>1304</v>
      </c>
      <c r="B899" s="4" t="s">
        <v>1305</v>
      </c>
      <c r="C899" s="4" t="s">
        <v>736</v>
      </c>
      <c r="D899" s="4">
        <v>4.7</v>
      </c>
      <c r="E899" s="4">
        <v>11142</v>
      </c>
      <c r="F899" s="4">
        <v>2002</v>
      </c>
      <c r="G899" s="4"/>
      <c r="H899" s="4"/>
    </row>
    <row r="900" spans="1:8" x14ac:dyDescent="0.35">
      <c r="A900" s="4" t="s">
        <v>1140</v>
      </c>
      <c r="B900" s="4" t="s">
        <v>1141</v>
      </c>
      <c r="C900" s="4" t="s">
        <v>146</v>
      </c>
      <c r="D900" s="4">
        <v>4.5999999999999996</v>
      </c>
      <c r="E900" s="4">
        <v>11123</v>
      </c>
      <c r="F900" s="4">
        <v>2018</v>
      </c>
      <c r="G900" s="4"/>
      <c r="H900" s="4"/>
    </row>
    <row r="901" spans="1:8" x14ac:dyDescent="0.35">
      <c r="A901" s="4" t="s">
        <v>1663</v>
      </c>
      <c r="B901" s="4" t="s">
        <v>1664</v>
      </c>
      <c r="C901" s="4" t="s">
        <v>181</v>
      </c>
      <c r="D901" s="4">
        <v>4.9000000000000004</v>
      </c>
      <c r="E901" s="4">
        <v>11121</v>
      </c>
      <c r="F901" s="4">
        <v>2016</v>
      </c>
      <c r="G901" s="4"/>
      <c r="H901" s="4"/>
    </row>
    <row r="902" spans="1:8" x14ac:dyDescent="0.35">
      <c r="A902" s="4" t="s">
        <v>1835</v>
      </c>
      <c r="B902" s="4" t="s">
        <v>1836</v>
      </c>
      <c r="C902" s="4" t="s">
        <v>169</v>
      </c>
      <c r="D902" s="4">
        <v>5</v>
      </c>
      <c r="E902" s="4">
        <v>11113</v>
      </c>
      <c r="F902" s="4">
        <v>2013</v>
      </c>
      <c r="G902" s="4"/>
      <c r="H902" s="4"/>
    </row>
    <row r="903" spans="1:8" x14ac:dyDescent="0.35">
      <c r="A903" s="4" t="s">
        <v>739</v>
      </c>
      <c r="B903" s="4" t="s">
        <v>740</v>
      </c>
      <c r="C903" s="4" t="s">
        <v>146</v>
      </c>
      <c r="D903" s="4">
        <v>4.2</v>
      </c>
      <c r="E903" s="4">
        <v>11108</v>
      </c>
      <c r="F903" s="4">
        <v>2015</v>
      </c>
      <c r="G903" s="4"/>
      <c r="H903" s="4"/>
    </row>
    <row r="904" spans="1:8" x14ac:dyDescent="0.35">
      <c r="A904" s="4" t="s">
        <v>1837</v>
      </c>
      <c r="B904" s="4" t="s">
        <v>1838</v>
      </c>
      <c r="C904" s="4" t="s">
        <v>169</v>
      </c>
      <c r="D904" s="4">
        <v>5</v>
      </c>
      <c r="E904" s="4">
        <v>11097</v>
      </c>
      <c r="F904" s="4">
        <v>2017</v>
      </c>
      <c r="G904" s="4"/>
      <c r="H904" s="4"/>
    </row>
    <row r="905" spans="1:8" x14ac:dyDescent="0.35">
      <c r="A905" s="4" t="s">
        <v>2060</v>
      </c>
      <c r="B905" s="4" t="s">
        <v>2061</v>
      </c>
      <c r="C905" s="4" t="s">
        <v>649</v>
      </c>
      <c r="D905" s="4">
        <v>5.0999999999999996</v>
      </c>
      <c r="E905" s="4">
        <v>11052</v>
      </c>
      <c r="F905" s="4">
        <v>1981</v>
      </c>
      <c r="G905" s="4"/>
      <c r="H905" s="4"/>
    </row>
    <row r="906" spans="1:8" x14ac:dyDescent="0.35">
      <c r="A906" s="4" t="s">
        <v>1504</v>
      </c>
      <c r="B906" s="4" t="s">
        <v>1505</v>
      </c>
      <c r="C906" s="4" t="s">
        <v>467</v>
      </c>
      <c r="D906" s="4">
        <v>4.8</v>
      </c>
      <c r="E906" s="4">
        <v>11052</v>
      </c>
      <c r="F906" s="4">
        <v>2012</v>
      </c>
      <c r="G906" s="4"/>
      <c r="H906" s="4"/>
    </row>
    <row r="907" spans="1:8" x14ac:dyDescent="0.35">
      <c r="A907" s="4" t="s">
        <v>1506</v>
      </c>
      <c r="B907" s="4" t="s">
        <v>1507</v>
      </c>
      <c r="C907" s="4" t="s">
        <v>14</v>
      </c>
      <c r="D907" s="4">
        <v>4.8</v>
      </c>
      <c r="E907" s="4">
        <v>11045</v>
      </c>
      <c r="F907" s="4">
        <v>2012</v>
      </c>
      <c r="G907" s="4"/>
      <c r="H907" s="4"/>
    </row>
    <row r="908" spans="1:8" x14ac:dyDescent="0.35">
      <c r="A908" s="4" t="s">
        <v>2062</v>
      </c>
      <c r="B908" s="4" t="s">
        <v>2063</v>
      </c>
      <c r="C908" s="4" t="s">
        <v>214</v>
      </c>
      <c r="D908" s="4">
        <v>5.0999999999999996</v>
      </c>
      <c r="E908" s="4">
        <v>11034</v>
      </c>
      <c r="F908" s="4">
        <v>2000</v>
      </c>
      <c r="G908" s="4"/>
      <c r="H908" s="4"/>
    </row>
    <row r="909" spans="1:8" x14ac:dyDescent="0.35">
      <c r="A909" s="4" t="s">
        <v>1142</v>
      </c>
      <c r="B909" s="4" t="s">
        <v>1143</v>
      </c>
      <c r="C909" s="4" t="s">
        <v>76</v>
      </c>
      <c r="D909" s="4">
        <v>4.5999999999999996</v>
      </c>
      <c r="E909" s="4">
        <v>11021</v>
      </c>
      <c r="F909" s="4">
        <v>2005</v>
      </c>
      <c r="G909" s="4"/>
      <c r="H909" s="4"/>
    </row>
    <row r="910" spans="1:8" x14ac:dyDescent="0.35">
      <c r="A910" s="4" t="s">
        <v>1839</v>
      </c>
      <c r="B910" s="4" t="s">
        <v>1840</v>
      </c>
      <c r="C910" s="4" t="s">
        <v>56</v>
      </c>
      <c r="D910" s="4">
        <v>5</v>
      </c>
      <c r="E910" s="4">
        <v>11010</v>
      </c>
      <c r="F910" s="4">
        <v>2018</v>
      </c>
      <c r="G910" s="4"/>
      <c r="H910" s="4"/>
    </row>
    <row r="911" spans="1:8" x14ac:dyDescent="0.35">
      <c r="A911" s="4" t="s">
        <v>916</v>
      </c>
      <c r="B911" s="4" t="s">
        <v>917</v>
      </c>
      <c r="C911" s="4" t="s">
        <v>149</v>
      </c>
      <c r="D911" s="4">
        <v>4.4000000000000004</v>
      </c>
      <c r="E911" s="4">
        <v>11010</v>
      </c>
      <c r="F911" s="4">
        <v>2004</v>
      </c>
      <c r="G911" s="4"/>
      <c r="H911" s="4"/>
    </row>
    <row r="912" spans="1:8" x14ac:dyDescent="0.35">
      <c r="A912" s="4" t="s">
        <v>2064</v>
      </c>
      <c r="B912" s="4" t="s">
        <v>2065</v>
      </c>
      <c r="C912" s="4" t="s">
        <v>175</v>
      </c>
      <c r="D912" s="4">
        <v>5.0999999999999996</v>
      </c>
      <c r="E912" s="4">
        <v>10977</v>
      </c>
      <c r="F912" s="4">
        <v>2005</v>
      </c>
      <c r="G912" s="4"/>
      <c r="H912" s="4"/>
    </row>
    <row r="913" spans="1:8" x14ac:dyDescent="0.35">
      <c r="A913" s="4" t="s">
        <v>2066</v>
      </c>
      <c r="B913" s="4" t="s">
        <v>2067</v>
      </c>
      <c r="C913" s="4" t="s">
        <v>128</v>
      </c>
      <c r="D913" s="4">
        <v>5.0999999999999996</v>
      </c>
      <c r="E913" s="4">
        <v>10969</v>
      </c>
      <c r="F913" s="4">
        <v>2008</v>
      </c>
      <c r="G913" s="4"/>
      <c r="H913" s="4"/>
    </row>
    <row r="914" spans="1:8" x14ac:dyDescent="0.35">
      <c r="A914" s="4" t="s">
        <v>1306</v>
      </c>
      <c r="B914" s="4" t="s">
        <v>1307</v>
      </c>
      <c r="C914" s="4" t="s">
        <v>565</v>
      </c>
      <c r="D914" s="4">
        <v>4.7</v>
      </c>
      <c r="E914" s="4">
        <v>10960</v>
      </c>
      <c r="F914" s="4">
        <v>2022</v>
      </c>
      <c r="G914" s="4"/>
      <c r="H914" s="4"/>
    </row>
    <row r="915" spans="1:8" x14ac:dyDescent="0.35">
      <c r="A915" s="4" t="s">
        <v>1665</v>
      </c>
      <c r="B915" s="4" t="s">
        <v>1666</v>
      </c>
      <c r="C915" s="4" t="s">
        <v>843</v>
      </c>
      <c r="D915" s="4">
        <v>4.9000000000000004</v>
      </c>
      <c r="E915" s="4">
        <v>10955</v>
      </c>
      <c r="F915" s="4">
        <v>2010</v>
      </c>
      <c r="G915" s="4"/>
      <c r="H915" s="4"/>
    </row>
    <row r="916" spans="1:8" x14ac:dyDescent="0.35">
      <c r="A916" s="4" t="s">
        <v>1144</v>
      </c>
      <c r="B916" s="4" t="s">
        <v>1145</v>
      </c>
      <c r="C916" s="4" t="s">
        <v>82</v>
      </c>
      <c r="D916" s="4">
        <v>4.5999999999999996</v>
      </c>
      <c r="E916" s="4">
        <v>10942</v>
      </c>
      <c r="F916" s="4">
        <v>2022</v>
      </c>
      <c r="G916" s="4"/>
      <c r="H916" s="4"/>
    </row>
    <row r="917" spans="1:8" x14ac:dyDescent="0.35">
      <c r="A917" s="4" t="s">
        <v>1308</v>
      </c>
      <c r="B917" s="4" t="s">
        <v>1309</v>
      </c>
      <c r="C917" s="4" t="s">
        <v>270</v>
      </c>
      <c r="D917" s="4">
        <v>4.7</v>
      </c>
      <c r="E917" s="4">
        <v>10942</v>
      </c>
      <c r="F917" s="4">
        <v>1997</v>
      </c>
      <c r="G917" s="4"/>
      <c r="H917" s="4"/>
    </row>
    <row r="918" spans="1:8" x14ac:dyDescent="0.35">
      <c r="A918" s="4" t="s">
        <v>437</v>
      </c>
      <c r="B918" s="4" t="s">
        <v>438</v>
      </c>
      <c r="C918" s="4" t="s">
        <v>227</v>
      </c>
      <c r="D918" s="4">
        <v>3.6</v>
      </c>
      <c r="E918" s="4">
        <v>10937</v>
      </c>
      <c r="F918" s="4">
        <v>2024</v>
      </c>
      <c r="G918" s="4"/>
      <c r="H918" s="4"/>
    </row>
    <row r="919" spans="1:8" x14ac:dyDescent="0.35">
      <c r="A919" s="4" t="s">
        <v>1310</v>
      </c>
      <c r="B919" s="4" t="s">
        <v>1311</v>
      </c>
      <c r="C919" s="4" t="s">
        <v>762</v>
      </c>
      <c r="D919" s="4">
        <v>4.7</v>
      </c>
      <c r="E919" s="4">
        <v>10923</v>
      </c>
      <c r="F919" s="4">
        <v>1997</v>
      </c>
      <c r="G919" s="4"/>
      <c r="H919" s="4"/>
    </row>
    <row r="920" spans="1:8" x14ac:dyDescent="0.35">
      <c r="A920" s="4" t="s">
        <v>819</v>
      </c>
      <c r="B920" s="4" t="s">
        <v>820</v>
      </c>
      <c r="C920" s="4" t="s">
        <v>56</v>
      </c>
      <c r="D920" s="4">
        <v>4.3</v>
      </c>
      <c r="E920" s="4">
        <v>10914</v>
      </c>
      <c r="F920" s="4">
        <v>2021</v>
      </c>
      <c r="G920" s="4"/>
      <c r="H920" s="4"/>
    </row>
    <row r="921" spans="1:8" x14ac:dyDescent="0.35">
      <c r="A921" s="4" t="s">
        <v>623</v>
      </c>
      <c r="B921" s="4" t="s">
        <v>624</v>
      </c>
      <c r="C921" s="4" t="s">
        <v>125</v>
      </c>
      <c r="D921" s="4">
        <v>4</v>
      </c>
      <c r="E921" s="4">
        <v>10894</v>
      </c>
      <c r="F921" s="4">
        <v>2021</v>
      </c>
      <c r="G921" s="4"/>
      <c r="H921" s="4"/>
    </row>
    <row r="922" spans="1:8" x14ac:dyDescent="0.35">
      <c r="A922" s="4" t="s">
        <v>582</v>
      </c>
      <c r="B922" s="4" t="s">
        <v>583</v>
      </c>
      <c r="C922" s="4" t="s">
        <v>584</v>
      </c>
      <c r="D922" s="4">
        <v>3.9</v>
      </c>
      <c r="E922" s="4">
        <v>10882</v>
      </c>
      <c r="F922" s="4">
        <v>2016</v>
      </c>
      <c r="G922" s="4"/>
      <c r="H922" s="4"/>
    </row>
    <row r="923" spans="1:8" x14ac:dyDescent="0.35">
      <c r="A923" s="4" t="s">
        <v>2068</v>
      </c>
      <c r="B923" s="4" t="s">
        <v>2069</v>
      </c>
      <c r="C923" s="4" t="s">
        <v>217</v>
      </c>
      <c r="D923" s="4">
        <v>5.0999999999999996</v>
      </c>
      <c r="E923" s="4">
        <v>10876</v>
      </c>
      <c r="F923" s="4">
        <v>2023</v>
      </c>
      <c r="G923" s="4"/>
      <c r="H923" s="4"/>
    </row>
    <row r="924" spans="1:8" x14ac:dyDescent="0.35">
      <c r="A924" s="4" t="s">
        <v>741</v>
      </c>
      <c r="B924" s="4" t="s">
        <v>742</v>
      </c>
      <c r="C924" s="4" t="s">
        <v>181</v>
      </c>
      <c r="D924" s="4">
        <v>4.2</v>
      </c>
      <c r="E924" s="4">
        <v>10869</v>
      </c>
      <c r="F924" s="4">
        <v>2012</v>
      </c>
      <c r="G924" s="4"/>
      <c r="H924" s="4"/>
    </row>
    <row r="925" spans="1:8" x14ac:dyDescent="0.35">
      <c r="A925" s="4" t="s">
        <v>1016</v>
      </c>
      <c r="B925" s="4" t="s">
        <v>1017</v>
      </c>
      <c r="C925" s="4" t="s">
        <v>349</v>
      </c>
      <c r="D925" s="4">
        <v>4.5</v>
      </c>
      <c r="E925" s="4">
        <v>10852</v>
      </c>
      <c r="F925" s="4">
        <v>2008</v>
      </c>
      <c r="G925" s="4"/>
      <c r="H925" s="4"/>
    </row>
    <row r="926" spans="1:8" x14ac:dyDescent="0.35">
      <c r="A926" s="4" t="s">
        <v>2070</v>
      </c>
      <c r="B926" s="4" t="s">
        <v>2071</v>
      </c>
      <c r="C926" s="4" t="s">
        <v>82</v>
      </c>
      <c r="D926" s="4">
        <v>5.0999999999999996</v>
      </c>
      <c r="E926" s="4">
        <v>10850</v>
      </c>
      <c r="F926" s="4">
        <v>2011</v>
      </c>
      <c r="G926" s="4"/>
      <c r="H926" s="4"/>
    </row>
    <row r="927" spans="1:8" x14ac:dyDescent="0.35">
      <c r="A927" s="4" t="s">
        <v>2072</v>
      </c>
      <c r="B927" s="4" t="s">
        <v>2073</v>
      </c>
      <c r="C927" s="4" t="s">
        <v>8</v>
      </c>
      <c r="D927" s="4">
        <v>5.0999999999999996</v>
      </c>
      <c r="E927" s="4">
        <v>10816</v>
      </c>
      <c r="F927" s="4">
        <v>2020</v>
      </c>
      <c r="G927" s="4"/>
      <c r="H927" s="4"/>
    </row>
    <row r="928" spans="1:8" x14ac:dyDescent="0.35">
      <c r="A928" s="4" t="s">
        <v>1312</v>
      </c>
      <c r="B928" s="4" t="s">
        <v>1313</v>
      </c>
      <c r="C928" s="4" t="s">
        <v>56</v>
      </c>
      <c r="D928" s="4">
        <v>4.7</v>
      </c>
      <c r="E928" s="4">
        <v>10813</v>
      </c>
      <c r="F928" s="4">
        <v>2012</v>
      </c>
      <c r="G928" s="4"/>
      <c r="H928" s="4"/>
    </row>
    <row r="929" spans="1:8" x14ac:dyDescent="0.35">
      <c r="A929" s="4" t="s">
        <v>1314</v>
      </c>
      <c r="B929" s="4" t="s">
        <v>1315</v>
      </c>
      <c r="C929" s="4" t="s">
        <v>646</v>
      </c>
      <c r="D929" s="4">
        <v>4.7</v>
      </c>
      <c r="E929" s="4">
        <v>10802</v>
      </c>
      <c r="F929" s="4">
        <v>2009</v>
      </c>
      <c r="G929" s="4"/>
      <c r="H929" s="4"/>
    </row>
    <row r="930" spans="1:8" x14ac:dyDescent="0.35">
      <c r="A930" s="4" t="s">
        <v>1316</v>
      </c>
      <c r="B930" s="4" t="s">
        <v>1317</v>
      </c>
      <c r="C930" s="4" t="s">
        <v>208</v>
      </c>
      <c r="D930" s="4">
        <v>4.7</v>
      </c>
      <c r="E930" s="4">
        <v>10789</v>
      </c>
      <c r="F930" s="4">
        <v>2020</v>
      </c>
      <c r="G930" s="4"/>
      <c r="H930" s="4"/>
    </row>
    <row r="931" spans="1:8" x14ac:dyDescent="0.35">
      <c r="A931" s="4" t="s">
        <v>2074</v>
      </c>
      <c r="B931" s="4" t="s">
        <v>2075</v>
      </c>
      <c r="C931" s="4" t="s">
        <v>1900</v>
      </c>
      <c r="D931" s="4">
        <v>5.0999999999999996</v>
      </c>
      <c r="E931" s="4">
        <v>10769</v>
      </c>
      <c r="F931" s="4">
        <v>1980</v>
      </c>
      <c r="G931" s="4"/>
      <c r="H931" s="4"/>
    </row>
    <row r="932" spans="1:8" x14ac:dyDescent="0.35">
      <c r="A932" s="4" t="s">
        <v>1508</v>
      </c>
      <c r="B932" s="4" t="s">
        <v>1509</v>
      </c>
      <c r="C932" s="4" t="s">
        <v>214</v>
      </c>
      <c r="D932" s="4">
        <v>4.8</v>
      </c>
      <c r="E932" s="4">
        <v>10755</v>
      </c>
      <c r="F932" s="4">
        <v>1997</v>
      </c>
      <c r="G932" s="4"/>
      <c r="H932" s="4"/>
    </row>
    <row r="933" spans="1:8" x14ac:dyDescent="0.35">
      <c r="A933" s="4" t="s">
        <v>2076</v>
      </c>
      <c r="B933" s="4" t="s">
        <v>2077</v>
      </c>
      <c r="C933" s="4" t="s">
        <v>146</v>
      </c>
      <c r="D933" s="4">
        <v>5.0999999999999996</v>
      </c>
      <c r="E933" s="4">
        <v>10754</v>
      </c>
      <c r="F933" s="4">
        <v>1994</v>
      </c>
      <c r="G933" s="4"/>
      <c r="H933" s="4"/>
    </row>
    <row r="934" spans="1:8" x14ac:dyDescent="0.35">
      <c r="A934" s="4" t="s">
        <v>821</v>
      </c>
      <c r="B934" s="4" t="s">
        <v>822</v>
      </c>
      <c r="C934" s="4" t="s">
        <v>376</v>
      </c>
      <c r="D934" s="4">
        <v>4.3</v>
      </c>
      <c r="E934" s="4">
        <v>10733</v>
      </c>
      <c r="F934" s="4">
        <v>2000</v>
      </c>
      <c r="G934" s="4"/>
      <c r="H934" s="4"/>
    </row>
    <row r="935" spans="1:8" x14ac:dyDescent="0.35">
      <c r="A935" s="4" t="s">
        <v>237</v>
      </c>
      <c r="B935" s="4" t="s">
        <v>238</v>
      </c>
      <c r="C935" s="4" t="s">
        <v>208</v>
      </c>
      <c r="D935" s="4">
        <v>2.8</v>
      </c>
      <c r="E935" s="4">
        <v>10728</v>
      </c>
      <c r="F935" s="4">
        <v>2022</v>
      </c>
      <c r="G935" s="4"/>
      <c r="H935" s="4"/>
    </row>
    <row r="936" spans="1:8" x14ac:dyDescent="0.35">
      <c r="A936" s="4" t="s">
        <v>1018</v>
      </c>
      <c r="B936" s="4" t="s">
        <v>1019</v>
      </c>
      <c r="C936" s="4" t="s">
        <v>1020</v>
      </c>
      <c r="D936" s="4">
        <v>4.5</v>
      </c>
      <c r="E936" s="4">
        <v>10713</v>
      </c>
      <c r="F936" s="4">
        <v>2007</v>
      </c>
      <c r="G936" s="4"/>
      <c r="H936" s="4"/>
    </row>
    <row r="937" spans="1:8" x14ac:dyDescent="0.35">
      <c r="A937" s="4" t="s">
        <v>1510</v>
      </c>
      <c r="B937" s="4" t="s">
        <v>1511</v>
      </c>
      <c r="C937" s="4" t="s">
        <v>804</v>
      </c>
      <c r="D937" s="4">
        <v>4.8</v>
      </c>
      <c r="E937" s="4">
        <v>10710</v>
      </c>
      <c r="F937" s="4">
        <v>2010</v>
      </c>
      <c r="G937" s="4"/>
      <c r="H937" s="4"/>
    </row>
    <row r="938" spans="1:8" x14ac:dyDescent="0.35">
      <c r="A938" s="4" t="s">
        <v>1146</v>
      </c>
      <c r="B938" s="4" t="s">
        <v>1147</v>
      </c>
      <c r="C938" s="4" t="s">
        <v>178</v>
      </c>
      <c r="D938" s="4">
        <v>4.5999999999999996</v>
      </c>
      <c r="E938" s="4">
        <v>10686</v>
      </c>
      <c r="F938" s="4">
        <v>1986</v>
      </c>
      <c r="G938" s="4"/>
      <c r="H938" s="4"/>
    </row>
    <row r="939" spans="1:8" x14ac:dyDescent="0.35">
      <c r="A939" s="4" t="s">
        <v>257</v>
      </c>
      <c r="B939" s="4" t="s">
        <v>258</v>
      </c>
      <c r="C939" s="4" t="s">
        <v>143</v>
      </c>
      <c r="D939" s="4">
        <v>2.9</v>
      </c>
      <c r="E939" s="4">
        <v>10685</v>
      </c>
      <c r="F939" s="4">
        <v>2020</v>
      </c>
      <c r="G939" s="4"/>
      <c r="H939" s="4"/>
    </row>
    <row r="940" spans="1:8" x14ac:dyDescent="0.35">
      <c r="A940" s="4" t="s">
        <v>315</v>
      </c>
      <c r="B940" s="4" t="s">
        <v>316</v>
      </c>
      <c r="C940" s="4" t="s">
        <v>11</v>
      </c>
      <c r="D940" s="4">
        <v>3.2</v>
      </c>
      <c r="E940" s="4">
        <v>10677</v>
      </c>
      <c r="F940" s="4">
        <v>2017</v>
      </c>
      <c r="G940" s="4"/>
      <c r="H940" s="4"/>
    </row>
    <row r="941" spans="1:8" x14ac:dyDescent="0.35">
      <c r="A941" s="4" t="s">
        <v>38</v>
      </c>
      <c r="B941" s="4" t="s">
        <v>39</v>
      </c>
      <c r="C941" s="4" t="s">
        <v>20</v>
      </c>
      <c r="D941" s="4">
        <v>1.2</v>
      </c>
      <c r="E941" s="4">
        <v>10674</v>
      </c>
      <c r="F941" s="4">
        <v>2023</v>
      </c>
      <c r="G941" s="4"/>
      <c r="H941" s="4"/>
    </row>
    <row r="942" spans="1:8" x14ac:dyDescent="0.35">
      <c r="A942" s="4" t="s">
        <v>743</v>
      </c>
      <c r="B942" s="4" t="s">
        <v>744</v>
      </c>
      <c r="C942" s="4" t="s">
        <v>270</v>
      </c>
      <c r="D942" s="4">
        <v>4.2</v>
      </c>
      <c r="E942" s="4">
        <v>10673</v>
      </c>
      <c r="F942" s="4">
        <v>1984</v>
      </c>
      <c r="G942" s="4"/>
      <c r="H942" s="4"/>
    </row>
    <row r="943" spans="1:8" x14ac:dyDescent="0.35">
      <c r="A943" s="4" t="s">
        <v>1148</v>
      </c>
      <c r="B943" s="4" t="s">
        <v>1149</v>
      </c>
      <c r="C943" s="4" t="s">
        <v>208</v>
      </c>
      <c r="D943" s="4">
        <v>4.5999999999999996</v>
      </c>
      <c r="E943" s="4">
        <v>10673</v>
      </c>
      <c r="F943" s="4">
        <v>2018</v>
      </c>
      <c r="G943" s="4"/>
      <c r="H943" s="4"/>
    </row>
    <row r="944" spans="1:8" x14ac:dyDescent="0.35">
      <c r="A944" s="4" t="s">
        <v>1667</v>
      </c>
      <c r="B944" s="4" t="s">
        <v>1668</v>
      </c>
      <c r="C944" s="4" t="s">
        <v>31</v>
      </c>
      <c r="D944" s="4">
        <v>4.9000000000000004</v>
      </c>
      <c r="E944" s="4">
        <v>10665</v>
      </c>
      <c r="F944" s="4">
        <v>2005</v>
      </c>
      <c r="G944" s="4"/>
      <c r="H944" s="4"/>
    </row>
    <row r="945" spans="1:8" x14ac:dyDescent="0.35">
      <c r="A945" s="4" t="s">
        <v>520</v>
      </c>
      <c r="B945" s="4" t="s">
        <v>521</v>
      </c>
      <c r="C945" s="4" t="s">
        <v>122</v>
      </c>
      <c r="D945" s="4">
        <v>3.8</v>
      </c>
      <c r="E945" s="4">
        <v>10644</v>
      </c>
      <c r="F945" s="4">
        <v>2019</v>
      </c>
      <c r="G945" s="4"/>
      <c r="H945" s="4"/>
    </row>
    <row r="946" spans="1:8" x14ac:dyDescent="0.35">
      <c r="A946" s="4" t="s">
        <v>2078</v>
      </c>
      <c r="B946" s="4" t="s">
        <v>2079</v>
      </c>
      <c r="C946" s="4" t="s">
        <v>26</v>
      </c>
      <c r="D946" s="4">
        <v>5.0999999999999996</v>
      </c>
      <c r="E946" s="4">
        <v>10639</v>
      </c>
      <c r="F946" s="4">
        <v>2023</v>
      </c>
      <c r="G946" s="4"/>
      <c r="H946" s="4"/>
    </row>
    <row r="947" spans="1:8" x14ac:dyDescent="0.35">
      <c r="A947" s="4" t="s">
        <v>1669</v>
      </c>
      <c r="B947" s="4" t="s">
        <v>1670</v>
      </c>
      <c r="C947" s="4" t="s">
        <v>1671</v>
      </c>
      <c r="D947" s="4">
        <v>4.9000000000000004</v>
      </c>
      <c r="E947" s="4">
        <v>10637</v>
      </c>
      <c r="F947" s="4">
        <v>2005</v>
      </c>
      <c r="G947" s="4"/>
      <c r="H947" s="4"/>
    </row>
    <row r="948" spans="1:8" x14ac:dyDescent="0.35">
      <c r="A948" s="4" t="s">
        <v>823</v>
      </c>
      <c r="B948" s="4" t="s">
        <v>824</v>
      </c>
      <c r="C948" s="4" t="s">
        <v>166</v>
      </c>
      <c r="D948" s="4">
        <v>4.3</v>
      </c>
      <c r="E948" s="4">
        <v>10617</v>
      </c>
      <c r="F948" s="4">
        <v>2015</v>
      </c>
      <c r="G948" s="4"/>
      <c r="H948" s="4"/>
    </row>
    <row r="949" spans="1:8" x14ac:dyDescent="0.35">
      <c r="A949" s="4" t="s">
        <v>398</v>
      </c>
      <c r="B949" s="4" t="s">
        <v>399</v>
      </c>
      <c r="C949" s="4" t="s">
        <v>400</v>
      </c>
      <c r="D949" s="4">
        <v>3.5</v>
      </c>
      <c r="E949" s="4">
        <v>10590</v>
      </c>
      <c r="F949" s="4">
        <v>2019</v>
      </c>
      <c r="G949" s="4"/>
      <c r="H949" s="4"/>
    </row>
    <row r="950" spans="1:8" x14ac:dyDescent="0.35">
      <c r="A950" s="4" t="s">
        <v>239</v>
      </c>
      <c r="B950" s="4" t="s">
        <v>240</v>
      </c>
      <c r="C950" s="4" t="s">
        <v>11</v>
      </c>
      <c r="D950" s="4">
        <v>2.8</v>
      </c>
      <c r="E950" s="4">
        <v>10574</v>
      </c>
      <c r="F950" s="4">
        <v>1994</v>
      </c>
      <c r="G950" s="4"/>
      <c r="H950" s="4"/>
    </row>
    <row r="951" spans="1:8" x14ac:dyDescent="0.35">
      <c r="A951" s="4" t="s">
        <v>259</v>
      </c>
      <c r="B951" s="4" t="s">
        <v>260</v>
      </c>
      <c r="C951" s="4" t="s">
        <v>261</v>
      </c>
      <c r="D951" s="4">
        <v>2.9</v>
      </c>
      <c r="E951" s="4">
        <v>10570</v>
      </c>
      <c r="F951" s="4">
        <v>1991</v>
      </c>
      <c r="G951" s="4"/>
      <c r="H951" s="4"/>
    </row>
    <row r="952" spans="1:8" x14ac:dyDescent="0.35">
      <c r="A952" s="4" t="s">
        <v>1841</v>
      </c>
      <c r="B952" s="4" t="s">
        <v>1842</v>
      </c>
      <c r="C952" s="4" t="s">
        <v>1020</v>
      </c>
      <c r="D952" s="4">
        <v>5</v>
      </c>
      <c r="E952" s="4">
        <v>10539</v>
      </c>
      <c r="F952" s="4">
        <v>2008</v>
      </c>
      <c r="G952" s="4"/>
      <c r="H952" s="4"/>
    </row>
    <row r="953" spans="1:8" x14ac:dyDescent="0.35">
      <c r="A953" s="4" t="s">
        <v>110</v>
      </c>
      <c r="B953" s="4" t="s">
        <v>111</v>
      </c>
      <c r="C953" s="4" t="s">
        <v>98</v>
      </c>
      <c r="D953" s="4">
        <v>1.9</v>
      </c>
      <c r="E953" s="4">
        <v>10499</v>
      </c>
      <c r="F953" s="4">
        <v>1961</v>
      </c>
      <c r="G953" s="4"/>
      <c r="H953" s="4"/>
    </row>
    <row r="954" spans="1:8" x14ac:dyDescent="0.35">
      <c r="A954" s="4" t="s">
        <v>745</v>
      </c>
      <c r="B954" s="4" t="s">
        <v>746</v>
      </c>
      <c r="C954" s="4" t="s">
        <v>747</v>
      </c>
      <c r="D954" s="4">
        <v>4.2</v>
      </c>
      <c r="E954" s="4">
        <v>10487</v>
      </c>
      <c r="F954" s="4">
        <v>2020</v>
      </c>
      <c r="G954" s="4"/>
      <c r="H954" s="4"/>
    </row>
    <row r="955" spans="1:8" x14ac:dyDescent="0.35">
      <c r="A955" s="4" t="s">
        <v>1150</v>
      </c>
      <c r="B955" s="4" t="s">
        <v>1151</v>
      </c>
      <c r="C955" s="4" t="s">
        <v>101</v>
      </c>
      <c r="D955" s="4">
        <v>4.5999999999999996</v>
      </c>
      <c r="E955" s="4">
        <v>10475</v>
      </c>
      <c r="F955" s="4">
        <v>1991</v>
      </c>
      <c r="G955" s="4"/>
      <c r="H955" s="4"/>
    </row>
    <row r="956" spans="1:8" x14ac:dyDescent="0.35">
      <c r="A956" s="4" t="s">
        <v>1843</v>
      </c>
      <c r="B956" s="4" t="s">
        <v>1844</v>
      </c>
      <c r="C956" s="4" t="s">
        <v>31</v>
      </c>
      <c r="D956" s="4">
        <v>5</v>
      </c>
      <c r="E956" s="4">
        <v>10469</v>
      </c>
      <c r="F956" s="4">
        <v>2013</v>
      </c>
      <c r="G956" s="4"/>
      <c r="H956" s="4"/>
    </row>
    <row r="957" spans="1:8" x14ac:dyDescent="0.35">
      <c r="A957" s="4" t="s">
        <v>1152</v>
      </c>
      <c r="B957" s="4" t="s">
        <v>1153</v>
      </c>
      <c r="C957" s="4" t="s">
        <v>395</v>
      </c>
      <c r="D957" s="4">
        <v>4.5999999999999996</v>
      </c>
      <c r="E957" s="4">
        <v>10445</v>
      </c>
      <c r="F957" s="4">
        <v>2018</v>
      </c>
      <c r="G957" s="4"/>
      <c r="H957" s="4"/>
    </row>
    <row r="958" spans="1:8" x14ac:dyDescent="0.35">
      <c r="A958" s="4" t="s">
        <v>1154</v>
      </c>
      <c r="B958" s="4" t="s">
        <v>1155</v>
      </c>
      <c r="C958" s="4" t="s">
        <v>577</v>
      </c>
      <c r="D958" s="4">
        <v>4.5999999999999996</v>
      </c>
      <c r="E958" s="4">
        <v>10442</v>
      </c>
      <c r="F958" s="4">
        <v>2021</v>
      </c>
      <c r="G958" s="4"/>
      <c r="H958" s="4"/>
    </row>
    <row r="959" spans="1:8" x14ac:dyDescent="0.35">
      <c r="A959" s="4" t="s">
        <v>199</v>
      </c>
      <c r="B959" s="4" t="s">
        <v>200</v>
      </c>
      <c r="C959" s="4" t="s">
        <v>143</v>
      </c>
      <c r="D959" s="4">
        <v>2.6</v>
      </c>
      <c r="E959" s="4">
        <v>10442</v>
      </c>
      <c r="F959" s="4">
        <v>1995</v>
      </c>
      <c r="G959" s="4"/>
      <c r="H959" s="4"/>
    </row>
    <row r="960" spans="1:8" x14ac:dyDescent="0.35">
      <c r="A960" s="4" t="s">
        <v>625</v>
      </c>
      <c r="B960" s="4" t="s">
        <v>626</v>
      </c>
      <c r="C960" s="4" t="s">
        <v>462</v>
      </c>
      <c r="D960" s="4">
        <v>4</v>
      </c>
      <c r="E960" s="4">
        <v>10435</v>
      </c>
      <c r="F960" s="4">
        <v>2019</v>
      </c>
      <c r="G960" s="4"/>
      <c r="H960" s="4"/>
    </row>
    <row r="961" spans="1:8" x14ac:dyDescent="0.35">
      <c r="A961" s="4" t="s">
        <v>1318</v>
      </c>
      <c r="B961" s="4" t="s">
        <v>1319</v>
      </c>
      <c r="C961" s="4" t="s">
        <v>128</v>
      </c>
      <c r="D961" s="4">
        <v>4.7</v>
      </c>
      <c r="E961" s="4">
        <v>10423</v>
      </c>
      <c r="F961" s="4">
        <v>2010</v>
      </c>
      <c r="G961" s="4"/>
      <c r="H961" s="4"/>
    </row>
    <row r="962" spans="1:8" x14ac:dyDescent="0.35">
      <c r="A962" s="4" t="s">
        <v>918</v>
      </c>
      <c r="B962" s="4" t="s">
        <v>919</v>
      </c>
      <c r="C962" s="4" t="s">
        <v>155</v>
      </c>
      <c r="D962" s="4">
        <v>4.4000000000000004</v>
      </c>
      <c r="E962" s="4">
        <v>10415</v>
      </c>
      <c r="F962" s="4">
        <v>2006</v>
      </c>
      <c r="G962" s="4"/>
      <c r="H962" s="4"/>
    </row>
    <row r="963" spans="1:8" x14ac:dyDescent="0.35">
      <c r="A963" s="4" t="s">
        <v>1512</v>
      </c>
      <c r="B963" s="4" t="s">
        <v>1513</v>
      </c>
      <c r="C963" s="4" t="s">
        <v>1514</v>
      </c>
      <c r="D963" s="4">
        <v>4.8</v>
      </c>
      <c r="E963" s="4">
        <v>10405</v>
      </c>
      <c r="F963" s="4">
        <v>2019</v>
      </c>
      <c r="G963" s="4"/>
      <c r="H963" s="4"/>
    </row>
    <row r="964" spans="1:8" x14ac:dyDescent="0.35">
      <c r="A964" s="4" t="s">
        <v>439</v>
      </c>
      <c r="B964" s="4" t="s">
        <v>440</v>
      </c>
      <c r="C964" s="4" t="s">
        <v>441</v>
      </c>
      <c r="D964" s="4">
        <v>3.6</v>
      </c>
      <c r="E964" s="4">
        <v>10390</v>
      </c>
      <c r="F964" s="4">
        <v>2021</v>
      </c>
      <c r="G964" s="4"/>
      <c r="H964" s="4"/>
    </row>
    <row r="965" spans="1:8" x14ac:dyDescent="0.35">
      <c r="A965" s="4" t="s">
        <v>241</v>
      </c>
      <c r="B965" s="4" t="s">
        <v>242</v>
      </c>
      <c r="C965" s="4" t="s">
        <v>243</v>
      </c>
      <c r="D965" s="4">
        <v>2.8</v>
      </c>
      <c r="E965" s="4">
        <v>10389</v>
      </c>
      <c r="F965" s="4">
        <v>2023</v>
      </c>
      <c r="G965" s="4"/>
      <c r="H965" s="4"/>
    </row>
    <row r="966" spans="1:8" x14ac:dyDescent="0.35">
      <c r="A966" s="4" t="s">
        <v>40</v>
      </c>
      <c r="B966" s="4" t="s">
        <v>41</v>
      </c>
      <c r="C966" s="4" t="s">
        <v>11</v>
      </c>
      <c r="D966" s="4">
        <v>1.2</v>
      </c>
      <c r="E966" s="4">
        <v>10378</v>
      </c>
      <c r="F966" s="4">
        <v>2018</v>
      </c>
      <c r="G966" s="4"/>
      <c r="H966" s="4"/>
    </row>
    <row r="967" spans="1:8" x14ac:dyDescent="0.35">
      <c r="A967" s="4" t="s">
        <v>2080</v>
      </c>
      <c r="B967" s="4" t="s">
        <v>2081</v>
      </c>
      <c r="C967" s="4" t="s">
        <v>467</v>
      </c>
      <c r="D967" s="4">
        <v>5.0999999999999996</v>
      </c>
      <c r="E967" s="4">
        <v>10359</v>
      </c>
      <c r="F967" s="4">
        <v>2022</v>
      </c>
      <c r="G967" s="4"/>
      <c r="H967" s="4"/>
    </row>
    <row r="968" spans="1:8" x14ac:dyDescent="0.35">
      <c r="A968" s="4" t="s">
        <v>522</v>
      </c>
      <c r="B968" s="4" t="s">
        <v>523</v>
      </c>
      <c r="C968" s="4" t="s">
        <v>524</v>
      </c>
      <c r="D968" s="4">
        <v>3.8</v>
      </c>
      <c r="E968" s="4">
        <v>10355</v>
      </c>
      <c r="F968" s="4">
        <v>1993</v>
      </c>
      <c r="G968" s="4"/>
      <c r="H968" s="4"/>
    </row>
    <row r="969" spans="1:8" x14ac:dyDescent="0.35">
      <c r="A969" s="4" t="s">
        <v>2082</v>
      </c>
      <c r="B969" s="4" t="s">
        <v>2083</v>
      </c>
      <c r="C969" s="4" t="s">
        <v>270</v>
      </c>
      <c r="D969" s="4">
        <v>5.0999999999999996</v>
      </c>
      <c r="E969" s="4">
        <v>10334</v>
      </c>
      <c r="F969" s="4">
        <v>2007</v>
      </c>
      <c r="G969" s="4"/>
      <c r="H969" s="4"/>
    </row>
    <row r="970" spans="1:8" x14ac:dyDescent="0.35">
      <c r="A970" s="4" t="s">
        <v>627</v>
      </c>
      <c r="B970" s="4" t="s">
        <v>628</v>
      </c>
      <c r="C970" s="4" t="s">
        <v>14</v>
      </c>
      <c r="D970" s="4">
        <v>4</v>
      </c>
      <c r="E970" s="4">
        <v>10323</v>
      </c>
      <c r="F970" s="4">
        <v>2021</v>
      </c>
      <c r="G970" s="4"/>
      <c r="H970" s="4"/>
    </row>
    <row r="971" spans="1:8" x14ac:dyDescent="0.35">
      <c r="A971" s="4" t="s">
        <v>2084</v>
      </c>
      <c r="B971" s="4" t="s">
        <v>2085</v>
      </c>
      <c r="C971" s="4" t="s">
        <v>1446</v>
      </c>
      <c r="D971" s="4">
        <v>5.0999999999999996</v>
      </c>
      <c r="E971" s="4">
        <v>10321</v>
      </c>
      <c r="F971" s="4">
        <v>1988</v>
      </c>
      <c r="G971" s="4"/>
      <c r="H971" s="4"/>
    </row>
    <row r="972" spans="1:8" x14ac:dyDescent="0.35">
      <c r="A972" s="4" t="s">
        <v>364</v>
      </c>
      <c r="B972" s="4" t="s">
        <v>365</v>
      </c>
      <c r="C972" s="4" t="s">
        <v>65</v>
      </c>
      <c r="D972" s="4">
        <v>3.4</v>
      </c>
      <c r="E972" s="4">
        <v>10288</v>
      </c>
      <c r="F972" s="4">
        <v>2016</v>
      </c>
      <c r="G972" s="4"/>
      <c r="H972" s="4"/>
    </row>
    <row r="973" spans="1:8" x14ac:dyDescent="0.35">
      <c r="A973" s="4" t="s">
        <v>1515</v>
      </c>
      <c r="B973" s="4" t="s">
        <v>1516</v>
      </c>
      <c r="C973" s="4" t="s">
        <v>933</v>
      </c>
      <c r="D973" s="4">
        <v>4.8</v>
      </c>
      <c r="E973" s="4">
        <v>10241</v>
      </c>
      <c r="F973" s="4">
        <v>2002</v>
      </c>
      <c r="G973" s="4"/>
      <c r="H973" s="4"/>
    </row>
    <row r="974" spans="1:8" x14ac:dyDescent="0.35">
      <c r="A974" s="4" t="s">
        <v>585</v>
      </c>
      <c r="B974" s="4" t="s">
        <v>586</v>
      </c>
      <c r="C974" s="4" t="s">
        <v>584</v>
      </c>
      <c r="D974" s="4">
        <v>3.9</v>
      </c>
      <c r="E974" s="4">
        <v>10232</v>
      </c>
      <c r="F974" s="4">
        <v>2008</v>
      </c>
      <c r="G974" s="4"/>
      <c r="H974" s="4"/>
    </row>
    <row r="975" spans="1:8" x14ac:dyDescent="0.35">
      <c r="A975" s="4" t="s">
        <v>2086</v>
      </c>
      <c r="B975" s="4" t="s">
        <v>2087</v>
      </c>
      <c r="C975" s="4" t="s">
        <v>146</v>
      </c>
      <c r="D975" s="4">
        <v>5.0999999999999996</v>
      </c>
      <c r="E975" s="4">
        <v>10231</v>
      </c>
      <c r="F975" s="4">
        <v>2002</v>
      </c>
      <c r="G975" s="4"/>
      <c r="H975" s="4"/>
    </row>
    <row r="976" spans="1:8" x14ac:dyDescent="0.35">
      <c r="A976" s="4" t="s">
        <v>2088</v>
      </c>
      <c r="B976" s="4" t="s">
        <v>2089</v>
      </c>
      <c r="C976" s="4" t="s">
        <v>2090</v>
      </c>
      <c r="D976" s="4">
        <v>5.0999999999999996</v>
      </c>
      <c r="E976" s="4">
        <v>10227</v>
      </c>
      <c r="F976" s="4">
        <v>2024</v>
      </c>
      <c r="G976" s="4"/>
      <c r="H976" s="4"/>
    </row>
    <row r="977" spans="1:8" x14ac:dyDescent="0.35">
      <c r="A977" s="4" t="s">
        <v>1517</v>
      </c>
      <c r="B977" s="4" t="s">
        <v>1518</v>
      </c>
      <c r="C977" s="4" t="s">
        <v>175</v>
      </c>
      <c r="D977" s="4">
        <v>4.8</v>
      </c>
      <c r="E977" s="4">
        <v>10219</v>
      </c>
      <c r="F977" s="4">
        <v>2019</v>
      </c>
      <c r="G977" s="4"/>
      <c r="H977" s="4"/>
    </row>
    <row r="978" spans="1:8" x14ac:dyDescent="0.35">
      <c r="A978" s="4" t="s">
        <v>12</v>
      </c>
      <c r="B978" s="4" t="s">
        <v>13</v>
      </c>
      <c r="C978" s="4" t="s">
        <v>14</v>
      </c>
      <c r="D978" s="4">
        <v>1</v>
      </c>
      <c r="E978" s="4">
        <v>10215</v>
      </c>
      <c r="F978" s="4">
        <v>2020</v>
      </c>
      <c r="G978" s="4"/>
      <c r="H978" s="4"/>
    </row>
    <row r="979" spans="1:8" x14ac:dyDescent="0.35">
      <c r="A979" s="4" t="s">
        <v>223</v>
      </c>
      <c r="B979" s="4" t="s">
        <v>224</v>
      </c>
      <c r="C979" s="4" t="s">
        <v>76</v>
      </c>
      <c r="D979" s="4">
        <v>2.7</v>
      </c>
      <c r="E979" s="4">
        <v>10209</v>
      </c>
      <c r="F979" s="4">
        <v>2011</v>
      </c>
      <c r="G979" s="4"/>
      <c r="H979" s="4"/>
    </row>
    <row r="980" spans="1:8" x14ac:dyDescent="0.35">
      <c r="A980" s="4" t="s">
        <v>1672</v>
      </c>
      <c r="B980" s="4" t="s">
        <v>1673</v>
      </c>
      <c r="C980" s="4" t="s">
        <v>211</v>
      </c>
      <c r="D980" s="4">
        <v>4.9000000000000004</v>
      </c>
      <c r="E980" s="4">
        <v>10203</v>
      </c>
      <c r="F980" s="4">
        <v>2013</v>
      </c>
      <c r="G980" s="4"/>
      <c r="H980" s="4"/>
    </row>
    <row r="981" spans="1:8" x14ac:dyDescent="0.35">
      <c r="A981" s="4" t="s">
        <v>2091</v>
      </c>
      <c r="B981" s="4" t="s">
        <v>2092</v>
      </c>
      <c r="C981" s="4" t="s">
        <v>2093</v>
      </c>
      <c r="D981" s="4">
        <v>5.0999999999999996</v>
      </c>
      <c r="E981" s="4">
        <v>10183</v>
      </c>
      <c r="F981" s="4">
        <v>2013</v>
      </c>
      <c r="G981" s="4"/>
      <c r="H981" s="4"/>
    </row>
    <row r="982" spans="1:8" x14ac:dyDescent="0.35">
      <c r="A982" s="4" t="s">
        <v>920</v>
      </c>
      <c r="B982" s="4" t="s">
        <v>921</v>
      </c>
      <c r="C982" s="4" t="s">
        <v>448</v>
      </c>
      <c r="D982" s="4">
        <v>4.4000000000000004</v>
      </c>
      <c r="E982" s="4">
        <v>10182</v>
      </c>
      <c r="F982" s="4">
        <v>1995</v>
      </c>
      <c r="G982" s="4"/>
      <c r="H982" s="4"/>
    </row>
    <row r="983" spans="1:8" x14ac:dyDescent="0.35">
      <c r="A983" s="4" t="s">
        <v>1845</v>
      </c>
      <c r="B983" s="4" t="s">
        <v>1846</v>
      </c>
      <c r="C983" s="4" t="s">
        <v>116</v>
      </c>
      <c r="D983" s="4">
        <v>5</v>
      </c>
      <c r="E983" s="4">
        <v>10175</v>
      </c>
      <c r="F983" s="4">
        <v>2023</v>
      </c>
      <c r="G983" s="4"/>
      <c r="H983" s="4"/>
    </row>
    <row r="984" spans="1:8" x14ac:dyDescent="0.35">
      <c r="A984" s="4" t="s">
        <v>825</v>
      </c>
      <c r="B984" s="4" t="s">
        <v>826</v>
      </c>
      <c r="C984" s="4" t="s">
        <v>143</v>
      </c>
      <c r="D984" s="4">
        <v>4.3</v>
      </c>
      <c r="E984" s="4">
        <v>10175</v>
      </c>
      <c r="F984" s="4">
        <v>2018</v>
      </c>
      <c r="G984" s="4"/>
      <c r="H984" s="4"/>
    </row>
    <row r="985" spans="1:8" x14ac:dyDescent="0.35">
      <c r="A985" s="4" t="s">
        <v>2094</v>
      </c>
      <c r="B985" s="4" t="s">
        <v>2095</v>
      </c>
      <c r="C985" s="4" t="s">
        <v>846</v>
      </c>
      <c r="D985" s="4">
        <v>5.0999999999999996</v>
      </c>
      <c r="E985" s="4">
        <v>10168</v>
      </c>
      <c r="F985" s="4">
        <v>2023</v>
      </c>
      <c r="G985" s="4"/>
      <c r="H985" s="4"/>
    </row>
    <row r="986" spans="1:8" x14ac:dyDescent="0.35">
      <c r="A986" s="4" t="s">
        <v>2096</v>
      </c>
      <c r="B986" s="4" t="s">
        <v>2097</v>
      </c>
      <c r="C986" s="4" t="s">
        <v>294</v>
      </c>
      <c r="D986" s="4">
        <v>5.0999999999999996</v>
      </c>
      <c r="E986" s="4">
        <v>10165</v>
      </c>
      <c r="F986" s="4">
        <v>2022</v>
      </c>
      <c r="G986" s="4"/>
      <c r="H986" s="4"/>
    </row>
    <row r="987" spans="1:8" x14ac:dyDescent="0.35">
      <c r="A987" s="4" t="s">
        <v>525</v>
      </c>
      <c r="B987" s="4" t="s">
        <v>526</v>
      </c>
      <c r="C987" s="4" t="s">
        <v>474</v>
      </c>
      <c r="D987" s="4">
        <v>3.8</v>
      </c>
      <c r="E987" s="4">
        <v>10164</v>
      </c>
      <c r="F987" s="4">
        <v>1982</v>
      </c>
      <c r="G987" s="4"/>
      <c r="H987" s="4"/>
    </row>
    <row r="988" spans="1:8" x14ac:dyDescent="0.35">
      <c r="A988" s="4" t="s">
        <v>629</v>
      </c>
      <c r="B988" s="4" t="s">
        <v>630</v>
      </c>
      <c r="C988" s="4" t="s">
        <v>227</v>
      </c>
      <c r="D988" s="4">
        <v>4</v>
      </c>
      <c r="E988" s="4">
        <v>10161</v>
      </c>
      <c r="F988" s="4">
        <v>2008</v>
      </c>
      <c r="G988" s="4"/>
      <c r="H988" s="4"/>
    </row>
    <row r="989" spans="1:8" x14ac:dyDescent="0.35">
      <c r="A989" s="4" t="s">
        <v>2098</v>
      </c>
      <c r="B989" s="4" t="s">
        <v>2099</v>
      </c>
      <c r="C989" s="4" t="s">
        <v>181</v>
      </c>
      <c r="D989" s="4">
        <v>5.0999999999999996</v>
      </c>
      <c r="E989" s="4">
        <v>10142</v>
      </c>
      <c r="F989" s="4">
        <v>2014</v>
      </c>
      <c r="G989" s="4"/>
      <c r="H989" s="4"/>
    </row>
    <row r="990" spans="1:8" x14ac:dyDescent="0.35">
      <c r="A990" s="4" t="s">
        <v>1519</v>
      </c>
      <c r="B990" s="4" t="s">
        <v>1520</v>
      </c>
      <c r="C990" s="4" t="s">
        <v>270</v>
      </c>
      <c r="D990" s="4">
        <v>4.8</v>
      </c>
      <c r="E990" s="4">
        <v>10133</v>
      </c>
      <c r="F990" s="4">
        <v>1990</v>
      </c>
      <c r="G990" s="4"/>
      <c r="H990" s="4"/>
    </row>
    <row r="991" spans="1:8" x14ac:dyDescent="0.35">
      <c r="A991" s="4" t="s">
        <v>179</v>
      </c>
      <c r="B991" s="4" t="s">
        <v>180</v>
      </c>
      <c r="C991" s="4" t="s">
        <v>181</v>
      </c>
      <c r="D991" s="4">
        <v>2.5</v>
      </c>
      <c r="E991" s="4">
        <v>10132</v>
      </c>
      <c r="F991" s="4">
        <v>2020</v>
      </c>
      <c r="G991" s="4"/>
      <c r="H991" s="4"/>
    </row>
    <row r="992" spans="1:8" x14ac:dyDescent="0.35">
      <c r="A992" s="4" t="s">
        <v>96</v>
      </c>
      <c r="B992" s="4" t="s">
        <v>97</v>
      </c>
      <c r="C992" s="4" t="s">
        <v>98</v>
      </c>
      <c r="D992" s="4">
        <v>1.8</v>
      </c>
      <c r="E992" s="4">
        <v>10108</v>
      </c>
      <c r="F992" s="4">
        <v>1965</v>
      </c>
      <c r="G992" s="4"/>
      <c r="H992" s="4"/>
    </row>
    <row r="993" spans="1:8" x14ac:dyDescent="0.35">
      <c r="A993" s="4" t="s">
        <v>182</v>
      </c>
      <c r="B993" s="4" t="s">
        <v>183</v>
      </c>
      <c r="C993" s="4" t="s">
        <v>184</v>
      </c>
      <c r="D993" s="4">
        <v>2.5</v>
      </c>
      <c r="E993" s="4">
        <v>10099</v>
      </c>
      <c r="F993" s="4">
        <v>1997</v>
      </c>
      <c r="G993" s="4"/>
      <c r="H993" s="4"/>
    </row>
    <row r="994" spans="1:8" x14ac:dyDescent="0.35">
      <c r="A994" s="4" t="s">
        <v>1156</v>
      </c>
      <c r="B994" s="4" t="s">
        <v>1157</v>
      </c>
      <c r="C994" s="4" t="s">
        <v>524</v>
      </c>
      <c r="D994" s="4">
        <v>4.5999999999999996</v>
      </c>
      <c r="E994" s="4">
        <v>10089</v>
      </c>
      <c r="F994" s="4">
        <v>1994</v>
      </c>
      <c r="G994" s="4"/>
      <c r="H994" s="4"/>
    </row>
    <row r="995" spans="1:8" x14ac:dyDescent="0.35">
      <c r="A995" s="4" t="s">
        <v>475</v>
      </c>
      <c r="B995" s="4" t="s">
        <v>476</v>
      </c>
      <c r="C995" s="4" t="s">
        <v>477</v>
      </c>
      <c r="D995" s="4">
        <v>3.7</v>
      </c>
      <c r="E995" s="4">
        <v>10065</v>
      </c>
      <c r="F995" s="4">
        <v>1997</v>
      </c>
      <c r="G995" s="4"/>
      <c r="H995" s="4"/>
    </row>
    <row r="996" spans="1:8" x14ac:dyDescent="0.35">
      <c r="A996" s="4" t="s">
        <v>278</v>
      </c>
      <c r="B996" s="4" t="s">
        <v>279</v>
      </c>
      <c r="C996" s="4" t="s">
        <v>178</v>
      </c>
      <c r="D996" s="4">
        <v>3</v>
      </c>
      <c r="E996" s="4">
        <v>10063</v>
      </c>
      <c r="F996" s="4">
        <v>2005</v>
      </c>
      <c r="G996" s="4"/>
      <c r="H996" s="4"/>
    </row>
    <row r="997" spans="1:8" x14ac:dyDescent="0.35">
      <c r="A997" s="4" t="s">
        <v>748</v>
      </c>
      <c r="B997" s="4" t="s">
        <v>749</v>
      </c>
      <c r="C997" s="4" t="s">
        <v>571</v>
      </c>
      <c r="D997" s="4">
        <v>4.2</v>
      </c>
      <c r="E997" s="4">
        <v>10034</v>
      </c>
      <c r="F997" s="4">
        <v>2020</v>
      </c>
      <c r="G997" s="4"/>
      <c r="H997" s="4"/>
    </row>
    <row r="998" spans="1:8" x14ac:dyDescent="0.35">
      <c r="A998" s="4" t="s">
        <v>280</v>
      </c>
      <c r="B998" s="4" t="s">
        <v>281</v>
      </c>
      <c r="C998" s="4" t="s">
        <v>93</v>
      </c>
      <c r="D998" s="4">
        <v>3</v>
      </c>
      <c r="E998" s="4">
        <v>10030</v>
      </c>
      <c r="F998" s="4">
        <v>2007</v>
      </c>
      <c r="G998" s="4"/>
      <c r="H998" s="4"/>
    </row>
    <row r="999" spans="1:8" x14ac:dyDescent="0.35">
      <c r="A999" s="4" t="s">
        <v>48</v>
      </c>
      <c r="B999" s="4" t="s">
        <v>49</v>
      </c>
      <c r="C999" s="4" t="s">
        <v>50</v>
      </c>
      <c r="D999" s="4">
        <v>1.3</v>
      </c>
      <c r="E999" s="4">
        <v>10020</v>
      </c>
      <c r="F999" s="4">
        <v>2009</v>
      </c>
      <c r="G999" s="4"/>
      <c r="H999" s="4"/>
    </row>
    <row r="1000" spans="1:8" x14ac:dyDescent="0.35">
      <c r="A1000" s="4" t="s">
        <v>1021</v>
      </c>
      <c r="B1000" s="4" t="s">
        <v>1022</v>
      </c>
      <c r="C1000" s="4" t="s">
        <v>125</v>
      </c>
      <c r="D1000" s="4">
        <v>4.5</v>
      </c>
      <c r="E1000" s="4">
        <v>10015</v>
      </c>
      <c r="F1000" s="4">
        <v>2014</v>
      </c>
      <c r="G1000" s="4"/>
      <c r="H1000" s="4"/>
    </row>
    <row r="1001" spans="1:8" x14ac:dyDescent="0.35">
      <c r="A1001" s="4" t="s">
        <v>1158</v>
      </c>
      <c r="B1001" s="4" t="s">
        <v>1159</v>
      </c>
      <c r="C1001" s="4" t="s">
        <v>1160</v>
      </c>
      <c r="D1001" s="4">
        <v>4.5999999999999996</v>
      </c>
      <c r="E1001" s="4">
        <v>10007</v>
      </c>
      <c r="F1001" s="4">
        <v>2016</v>
      </c>
      <c r="G1001" s="4"/>
    </row>
  </sheetData>
  <autoFilter ref="A1:F1001" xr:uid="{686C2B42-4D97-4135-AA2D-4EF1FA9F27DF}">
    <sortState xmlns:xlrd2="http://schemas.microsoft.com/office/spreadsheetml/2017/richdata2" ref="A2:F1001">
      <sortCondition descending="1" ref="E1:E1001"/>
    </sortState>
  </autoFilter>
  <mergeCells count="2">
    <mergeCell ref="J1:R1"/>
    <mergeCell ref="H2:J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79771-A3FF-4484-97E9-9A3EEA0C004C}">
  <sheetPr codeName="Sheet3"/>
  <dimension ref="A1:J1001"/>
  <sheetViews>
    <sheetView topLeftCell="B1" workbookViewId="0">
      <selection activeCell="J20" sqref="J20"/>
    </sheetView>
  </sheetViews>
  <sheetFormatPr defaultRowHeight="14.5" x14ac:dyDescent="0.35"/>
  <cols>
    <col min="1" max="1" width="36.7265625" customWidth="1"/>
    <col min="2" max="2" width="35.54296875" bestFit="1" customWidth="1"/>
    <col min="3" max="3" width="13.7265625" bestFit="1" customWidth="1"/>
    <col min="4" max="4" width="19.81640625" style="6" customWidth="1"/>
    <col min="5" max="5" width="10.1796875" bestFit="1" customWidth="1"/>
    <col min="6" max="6" width="11.54296875" bestFit="1" customWidth="1"/>
    <col min="8" max="8" width="19.7265625" customWidth="1"/>
    <col min="9" max="9" width="51.453125" bestFit="1" customWidth="1"/>
    <col min="10" max="10" width="14.1796875" customWidth="1"/>
  </cols>
  <sheetData>
    <row r="1" spans="1:10" x14ac:dyDescent="0.35">
      <c r="A1" s="3" t="s">
        <v>1</v>
      </c>
      <c r="B1" s="3" t="s">
        <v>2</v>
      </c>
      <c r="C1" s="3" t="s">
        <v>3</v>
      </c>
      <c r="D1" s="8" t="s">
        <v>2216</v>
      </c>
      <c r="E1" s="3" t="s">
        <v>4</v>
      </c>
      <c r="F1" s="3" t="s">
        <v>5</v>
      </c>
    </row>
    <row r="2" spans="1:10" x14ac:dyDescent="0.35">
      <c r="A2" s="4" t="s">
        <v>2195</v>
      </c>
      <c r="B2" s="4" t="s">
        <v>395</v>
      </c>
      <c r="C2" s="4">
        <v>5.2</v>
      </c>
      <c r="D2" s="6">
        <f t="shared" ref="D2:D65" si="0">_xlfn.RANK.EQ(C2, C2:C1001)</f>
        <v>1</v>
      </c>
      <c r="E2" s="4">
        <v>32479</v>
      </c>
      <c r="F2" s="4">
        <v>2024</v>
      </c>
    </row>
    <row r="3" spans="1:10" x14ac:dyDescent="0.35">
      <c r="A3" s="4" t="s">
        <v>1228</v>
      </c>
      <c r="B3" s="4" t="s">
        <v>93</v>
      </c>
      <c r="C3" s="4">
        <v>4.7</v>
      </c>
      <c r="D3" s="6">
        <f t="shared" si="0"/>
        <v>423</v>
      </c>
      <c r="E3" s="4">
        <v>25779</v>
      </c>
      <c r="F3" s="4">
        <v>2024</v>
      </c>
      <c r="H3" s="92" t="s">
        <v>2228</v>
      </c>
      <c r="I3" s="93"/>
      <c r="J3" s="94"/>
    </row>
    <row r="4" spans="1:10" x14ac:dyDescent="0.35">
      <c r="A4" s="4" t="s">
        <v>1100</v>
      </c>
      <c r="B4" s="4" t="s">
        <v>101</v>
      </c>
      <c r="C4" s="4">
        <v>4.5999999999999996</v>
      </c>
      <c r="D4" s="6">
        <f t="shared" si="0"/>
        <v>498</v>
      </c>
      <c r="E4" s="4">
        <v>17570</v>
      </c>
      <c r="F4" s="4">
        <v>2024</v>
      </c>
      <c r="H4" s="9" t="s">
        <v>2211</v>
      </c>
      <c r="I4" s="18" t="s">
        <v>2210</v>
      </c>
      <c r="J4" s="17">
        <f>AVERAGEIF(B2:B1001, "Action", C2:C1001)</f>
        <v>4.25</v>
      </c>
    </row>
    <row r="5" spans="1:10" x14ac:dyDescent="0.35">
      <c r="A5" s="4" t="s">
        <v>2089</v>
      </c>
      <c r="B5" s="4" t="s">
        <v>2090</v>
      </c>
      <c r="C5" s="4">
        <v>5.0999999999999996</v>
      </c>
      <c r="D5" s="6">
        <f t="shared" si="0"/>
        <v>48</v>
      </c>
      <c r="E5" s="4">
        <v>10227</v>
      </c>
      <c r="F5" s="4">
        <v>2024</v>
      </c>
      <c r="H5" s="9" t="s">
        <v>2213</v>
      </c>
      <c r="I5" s="18" t="s">
        <v>2212</v>
      </c>
      <c r="J5" s="17">
        <f>SUMIF(C2:C1001, "&gt;5.1", E2:E1001)</f>
        <v>3767189</v>
      </c>
    </row>
    <row r="6" spans="1:10" x14ac:dyDescent="0.35">
      <c r="A6" s="4" t="s">
        <v>1093</v>
      </c>
      <c r="B6" s="4" t="s">
        <v>76</v>
      </c>
      <c r="C6" s="4">
        <v>4.5999999999999996</v>
      </c>
      <c r="D6" s="6">
        <f t="shared" si="0"/>
        <v>497</v>
      </c>
      <c r="E6" s="4">
        <v>19176</v>
      </c>
      <c r="F6" s="4">
        <v>2024</v>
      </c>
      <c r="H6" s="9" t="s">
        <v>2214</v>
      </c>
      <c r="I6" s="18" t="s">
        <v>2207</v>
      </c>
      <c r="J6" s="17">
        <f>MEDIAN(C2:C1001)</f>
        <v>4.5999999999999996</v>
      </c>
    </row>
    <row r="7" spans="1:10" x14ac:dyDescent="0.35">
      <c r="A7" s="4" t="s">
        <v>1744</v>
      </c>
      <c r="B7" s="4" t="s">
        <v>474</v>
      </c>
      <c r="C7" s="4">
        <v>5</v>
      </c>
      <c r="D7" s="6">
        <f t="shared" si="0"/>
        <v>170</v>
      </c>
      <c r="E7" s="4">
        <v>29234</v>
      </c>
      <c r="F7" s="4">
        <v>2024</v>
      </c>
      <c r="H7" s="9" t="s">
        <v>2215</v>
      </c>
      <c r="I7" s="18" t="s">
        <v>2207</v>
      </c>
      <c r="J7" s="17">
        <f>MODE(C2:C1001)</f>
        <v>5.0999999999999996</v>
      </c>
    </row>
    <row r="8" spans="1:10" x14ac:dyDescent="0.35">
      <c r="A8" s="4" t="s">
        <v>1977</v>
      </c>
      <c r="B8" s="4" t="s">
        <v>82</v>
      </c>
      <c r="C8" s="4">
        <v>5.0999999999999996</v>
      </c>
      <c r="D8" s="6">
        <f t="shared" si="0"/>
        <v>48</v>
      </c>
      <c r="E8" s="4">
        <v>19367</v>
      </c>
      <c r="F8" s="4">
        <v>2024</v>
      </c>
      <c r="H8" s="9" t="s">
        <v>2217</v>
      </c>
      <c r="I8" s="18" t="s">
        <v>2207</v>
      </c>
      <c r="J8" s="17">
        <f>STDEV( C2:C1001)</f>
        <v>0.89266524590203511</v>
      </c>
    </row>
    <row r="9" spans="1:10" x14ac:dyDescent="0.35">
      <c r="A9" s="4" t="s">
        <v>1236</v>
      </c>
      <c r="B9" s="4" t="s">
        <v>338</v>
      </c>
      <c r="C9" s="4">
        <v>4.7</v>
      </c>
      <c r="D9" s="6">
        <f t="shared" si="0"/>
        <v>420</v>
      </c>
      <c r="E9" s="4">
        <v>24427</v>
      </c>
      <c r="F9" s="4">
        <v>2024</v>
      </c>
      <c r="H9" s="9" t="s">
        <v>2218</v>
      </c>
      <c r="I9" s="18" t="s">
        <v>2221</v>
      </c>
      <c r="J9" s="17">
        <f>COUNTIF(C2:C1001, "&gt;4.4")</f>
        <v>610</v>
      </c>
    </row>
    <row r="10" spans="1:10" x14ac:dyDescent="0.35">
      <c r="A10" s="4" t="s">
        <v>438</v>
      </c>
      <c r="B10" s="4" t="s">
        <v>227</v>
      </c>
      <c r="C10" s="4">
        <v>3.6</v>
      </c>
      <c r="D10" s="6">
        <f t="shared" si="0"/>
        <v>820</v>
      </c>
      <c r="E10" s="4">
        <v>10937</v>
      </c>
      <c r="F10" s="4">
        <v>2024</v>
      </c>
      <c r="H10" s="9" t="s">
        <v>2219</v>
      </c>
      <c r="I10" s="18" t="s">
        <v>2220</v>
      </c>
      <c r="J10" s="17">
        <f>COUNTIFS(C2:C1001, "&gt;4.4", E2:E1001, "&gt;20000")</f>
        <v>343</v>
      </c>
    </row>
    <row r="11" spans="1:10" x14ac:dyDescent="0.35">
      <c r="A11" s="4" t="s">
        <v>632</v>
      </c>
      <c r="B11" s="4" t="s">
        <v>93</v>
      </c>
      <c r="C11" s="4">
        <v>4.0999999999999996</v>
      </c>
      <c r="D11" s="6">
        <f t="shared" si="0"/>
        <v>714</v>
      </c>
      <c r="E11" s="4">
        <v>124735</v>
      </c>
      <c r="F11" s="4">
        <v>2024</v>
      </c>
      <c r="H11" s="9" t="s">
        <v>2224</v>
      </c>
      <c r="I11" s="18" t="s">
        <v>2222</v>
      </c>
      <c r="J11" s="17">
        <f>LARGE(E2:E1001, 1)</f>
        <v>341094</v>
      </c>
    </row>
    <row r="12" spans="1:10" x14ac:dyDescent="0.35">
      <c r="A12" s="4" t="s">
        <v>2039</v>
      </c>
      <c r="B12" s="4" t="s">
        <v>93</v>
      </c>
      <c r="C12" s="4">
        <v>5.0999999999999996</v>
      </c>
      <c r="D12" s="6">
        <f t="shared" si="0"/>
        <v>48</v>
      </c>
      <c r="E12" s="4">
        <v>12964</v>
      </c>
      <c r="F12" s="4">
        <v>2024</v>
      </c>
      <c r="H12" s="9" t="s">
        <v>2224</v>
      </c>
      <c r="I12" s="18" t="s">
        <v>2223</v>
      </c>
      <c r="J12" s="17">
        <f>LARGE(E2:E1001, 2)</f>
        <v>304888</v>
      </c>
    </row>
    <row r="13" spans="1:10" x14ac:dyDescent="0.35">
      <c r="A13" s="4" t="s">
        <v>1390</v>
      </c>
      <c r="B13" s="4" t="s">
        <v>76</v>
      </c>
      <c r="C13" s="4">
        <v>4.8</v>
      </c>
      <c r="D13" s="6">
        <f t="shared" si="0"/>
        <v>324</v>
      </c>
      <c r="E13" s="4">
        <v>25522</v>
      </c>
      <c r="F13" s="4">
        <v>2024</v>
      </c>
      <c r="H13" s="9" t="s">
        <v>2225</v>
      </c>
      <c r="I13" s="18" t="s">
        <v>2226</v>
      </c>
      <c r="J13" s="17">
        <f>SMALL(E2:E1001, 1)</f>
        <v>10007</v>
      </c>
    </row>
    <row r="14" spans="1:10" x14ac:dyDescent="0.35">
      <c r="A14" s="4" t="s">
        <v>1952</v>
      </c>
      <c r="B14" s="4" t="s">
        <v>93</v>
      </c>
      <c r="C14" s="4">
        <v>5.0999999999999996</v>
      </c>
      <c r="D14" s="6">
        <f t="shared" si="0"/>
        <v>48</v>
      </c>
      <c r="E14" s="4">
        <v>23343</v>
      </c>
      <c r="F14" s="4">
        <v>2024</v>
      </c>
      <c r="H14" s="9" t="s">
        <v>2225</v>
      </c>
      <c r="I14" s="18" t="s">
        <v>2227</v>
      </c>
      <c r="J14" s="17">
        <f>SMALL(E2:E1001, 2)</f>
        <v>10015</v>
      </c>
    </row>
    <row r="15" spans="1:10" x14ac:dyDescent="0.35">
      <c r="A15" s="4" t="s">
        <v>118</v>
      </c>
      <c r="B15" s="4" t="s">
        <v>119</v>
      </c>
      <c r="C15" s="4">
        <v>2</v>
      </c>
      <c r="D15" s="6">
        <f t="shared" si="0"/>
        <v>947</v>
      </c>
      <c r="E15" s="4">
        <v>16400</v>
      </c>
      <c r="F15" s="4">
        <v>2024</v>
      </c>
    </row>
    <row r="16" spans="1:10" x14ac:dyDescent="0.35">
      <c r="A16" s="4" t="s">
        <v>1234</v>
      </c>
      <c r="B16" s="4" t="s">
        <v>82</v>
      </c>
      <c r="C16" s="4">
        <v>4.7</v>
      </c>
      <c r="D16" s="6">
        <f t="shared" si="0"/>
        <v>417</v>
      </c>
      <c r="E16" s="4">
        <v>25006</v>
      </c>
      <c r="F16" s="4">
        <v>2024</v>
      </c>
      <c r="H16" s="92" t="s">
        <v>2229</v>
      </c>
      <c r="I16" s="93"/>
      <c r="J16" s="94"/>
    </row>
    <row r="17" spans="1:10" x14ac:dyDescent="0.35">
      <c r="A17" s="4" t="s">
        <v>1455</v>
      </c>
      <c r="B17" s="4" t="s">
        <v>128</v>
      </c>
      <c r="C17" s="4">
        <v>4.8</v>
      </c>
      <c r="D17" s="6">
        <f t="shared" si="0"/>
        <v>323</v>
      </c>
      <c r="E17" s="4">
        <v>15187</v>
      </c>
      <c r="F17" s="4">
        <v>2024</v>
      </c>
      <c r="H17" s="10" t="s">
        <v>2230</v>
      </c>
      <c r="I17" s="10" t="s">
        <v>2232</v>
      </c>
      <c r="J17" s="10" t="s">
        <v>2231</v>
      </c>
    </row>
    <row r="18" spans="1:10" x14ac:dyDescent="0.35">
      <c r="A18" s="4" t="s">
        <v>1993</v>
      </c>
      <c r="B18" s="4" t="s">
        <v>1994</v>
      </c>
      <c r="C18" s="4">
        <v>5.0999999999999996</v>
      </c>
      <c r="D18" s="6">
        <f t="shared" si="0"/>
        <v>48</v>
      </c>
      <c r="E18" s="4">
        <v>17457</v>
      </c>
      <c r="F18" s="4">
        <v>2024</v>
      </c>
      <c r="H18" s="11">
        <v>2015</v>
      </c>
      <c r="I18" s="11">
        <f>COUNTIF(F:F, H18)</f>
        <v>35</v>
      </c>
      <c r="J18" s="11">
        <f>ROUND(AVERAGEIF(F:F, H18, C:C), 1)</f>
        <v>4.4000000000000004</v>
      </c>
    </row>
    <row r="19" spans="1:10" x14ac:dyDescent="0.35">
      <c r="A19" s="4" t="s">
        <v>953</v>
      </c>
      <c r="B19" s="4" t="s">
        <v>568</v>
      </c>
      <c r="C19" s="4">
        <v>4.5</v>
      </c>
      <c r="D19" s="6">
        <f t="shared" si="0"/>
        <v>551</v>
      </c>
      <c r="E19" s="4">
        <v>34529</v>
      </c>
      <c r="F19" s="4">
        <v>2024</v>
      </c>
      <c r="H19" s="11">
        <v>2016</v>
      </c>
      <c r="I19" s="11">
        <f t="shared" ref="I19:I27" si="1">COUNTIF(F:F, H19)</f>
        <v>29</v>
      </c>
      <c r="J19" s="11">
        <f t="shared" ref="J19:J27" si="2">ROUND(AVERAGEIF(F:F, H19, C:C), 1)</f>
        <v>4.5</v>
      </c>
    </row>
    <row r="20" spans="1:10" x14ac:dyDescent="0.35">
      <c r="A20" s="4" t="s">
        <v>592</v>
      </c>
      <c r="B20" s="4" t="s">
        <v>163</v>
      </c>
      <c r="C20" s="4">
        <v>4</v>
      </c>
      <c r="D20" s="6">
        <f t="shared" si="0"/>
        <v>728</v>
      </c>
      <c r="E20" s="4">
        <v>91349</v>
      </c>
      <c r="F20" s="4">
        <v>2024</v>
      </c>
      <c r="H20" s="11">
        <v>2017</v>
      </c>
      <c r="I20" s="11">
        <f t="shared" si="1"/>
        <v>39</v>
      </c>
      <c r="J20" s="11">
        <f t="shared" si="2"/>
        <v>4.3</v>
      </c>
    </row>
    <row r="21" spans="1:10" x14ac:dyDescent="0.35">
      <c r="A21" s="4" t="s">
        <v>1548</v>
      </c>
      <c r="B21" s="4" t="s">
        <v>56</v>
      </c>
      <c r="C21" s="4">
        <v>4.9000000000000004</v>
      </c>
      <c r="D21" s="6">
        <f t="shared" si="0"/>
        <v>248</v>
      </c>
      <c r="E21" s="4">
        <v>58338</v>
      </c>
      <c r="F21" s="4">
        <v>2024</v>
      </c>
      <c r="H21" s="11">
        <v>2018</v>
      </c>
      <c r="I21" s="11">
        <f t="shared" si="1"/>
        <v>37</v>
      </c>
      <c r="J21" s="11">
        <f t="shared" si="2"/>
        <v>4.2</v>
      </c>
    </row>
    <row r="22" spans="1:10" x14ac:dyDescent="0.35">
      <c r="A22" s="4" t="s">
        <v>567</v>
      </c>
      <c r="B22" s="4" t="s">
        <v>568</v>
      </c>
      <c r="C22" s="4">
        <v>3.9</v>
      </c>
      <c r="D22" s="6">
        <f t="shared" si="0"/>
        <v>747</v>
      </c>
      <c r="E22" s="4">
        <v>15666</v>
      </c>
      <c r="F22" s="4">
        <v>2024</v>
      </c>
      <c r="H22" s="11">
        <v>2019</v>
      </c>
      <c r="I22" s="11">
        <f t="shared" si="1"/>
        <v>37</v>
      </c>
      <c r="J22" s="11">
        <f t="shared" si="2"/>
        <v>4.2</v>
      </c>
    </row>
    <row r="23" spans="1:10" x14ac:dyDescent="0.35">
      <c r="A23" s="4" t="s">
        <v>1274</v>
      </c>
      <c r="B23" s="4" t="s">
        <v>175</v>
      </c>
      <c r="C23" s="4">
        <v>4.7</v>
      </c>
      <c r="D23" s="6">
        <f t="shared" si="0"/>
        <v>414</v>
      </c>
      <c r="E23" s="4">
        <v>15023</v>
      </c>
      <c r="F23" s="4">
        <v>2024</v>
      </c>
      <c r="H23" s="11">
        <v>2020</v>
      </c>
      <c r="I23" s="11">
        <f t="shared" si="1"/>
        <v>47</v>
      </c>
      <c r="J23" s="11">
        <f t="shared" si="2"/>
        <v>4.0999999999999996</v>
      </c>
    </row>
    <row r="24" spans="1:10" x14ac:dyDescent="0.35">
      <c r="A24" s="4" t="s">
        <v>457</v>
      </c>
      <c r="B24" s="4" t="s">
        <v>93</v>
      </c>
      <c r="C24" s="4">
        <v>3.7</v>
      </c>
      <c r="D24" s="6">
        <f t="shared" si="0"/>
        <v>793</v>
      </c>
      <c r="E24" s="4">
        <v>25920</v>
      </c>
      <c r="F24" s="4">
        <v>2024</v>
      </c>
      <c r="H24" s="11">
        <v>2021</v>
      </c>
      <c r="I24" s="11">
        <f t="shared" si="1"/>
        <v>41</v>
      </c>
      <c r="J24" s="11">
        <f t="shared" si="2"/>
        <v>4.0999999999999996</v>
      </c>
    </row>
    <row r="25" spans="1:10" x14ac:dyDescent="0.35">
      <c r="A25" s="4" t="s">
        <v>1424</v>
      </c>
      <c r="B25" s="4" t="s">
        <v>93</v>
      </c>
      <c r="C25" s="4">
        <v>4.8</v>
      </c>
      <c r="D25" s="6">
        <f t="shared" si="0"/>
        <v>321</v>
      </c>
      <c r="E25" s="4">
        <v>17929</v>
      </c>
      <c r="F25" s="4">
        <v>2024</v>
      </c>
      <c r="H25" s="11">
        <v>2022</v>
      </c>
      <c r="I25" s="11">
        <f t="shared" si="1"/>
        <v>46</v>
      </c>
      <c r="J25" s="11">
        <f t="shared" si="2"/>
        <v>4.2</v>
      </c>
    </row>
    <row r="26" spans="1:10" x14ac:dyDescent="0.35">
      <c r="A26" s="4" t="s">
        <v>1125</v>
      </c>
      <c r="B26" s="4" t="s">
        <v>93</v>
      </c>
      <c r="C26" s="4">
        <v>4.5999999999999996</v>
      </c>
      <c r="D26" s="6">
        <f t="shared" si="0"/>
        <v>485</v>
      </c>
      <c r="E26" s="4">
        <v>12654</v>
      </c>
      <c r="F26" s="4">
        <v>2024</v>
      </c>
      <c r="H26" s="11">
        <v>2023</v>
      </c>
      <c r="I26" s="11">
        <f t="shared" si="1"/>
        <v>33</v>
      </c>
      <c r="J26" s="11">
        <f t="shared" si="2"/>
        <v>4</v>
      </c>
    </row>
    <row r="27" spans="1:10" x14ac:dyDescent="0.35">
      <c r="A27" s="4" t="s">
        <v>1063</v>
      </c>
      <c r="B27" s="4" t="s">
        <v>178</v>
      </c>
      <c r="C27" s="4">
        <v>4.5999999999999996</v>
      </c>
      <c r="D27" s="6">
        <f t="shared" si="0"/>
        <v>485</v>
      </c>
      <c r="E27" s="4">
        <v>31263</v>
      </c>
      <c r="F27" s="4">
        <v>2024</v>
      </c>
      <c r="H27" s="11">
        <v>2024</v>
      </c>
      <c r="I27" s="11">
        <f t="shared" si="1"/>
        <v>29</v>
      </c>
      <c r="J27" s="11">
        <f t="shared" si="2"/>
        <v>4.5</v>
      </c>
    </row>
    <row r="28" spans="1:10" x14ac:dyDescent="0.35">
      <c r="A28" s="4" t="s">
        <v>1736</v>
      </c>
      <c r="B28" s="4" t="s">
        <v>211</v>
      </c>
      <c r="C28" s="4">
        <v>5</v>
      </c>
      <c r="D28" s="6">
        <f t="shared" si="0"/>
        <v>166</v>
      </c>
      <c r="E28" s="4">
        <v>30918</v>
      </c>
      <c r="F28" s="4">
        <v>2024</v>
      </c>
      <c r="H28" s="12"/>
      <c r="I28" s="12"/>
      <c r="J28" s="12"/>
    </row>
    <row r="29" spans="1:10" x14ac:dyDescent="0.35">
      <c r="A29" s="4" t="s">
        <v>539</v>
      </c>
      <c r="B29" s="4" t="s">
        <v>163</v>
      </c>
      <c r="C29" s="4">
        <v>3.9</v>
      </c>
      <c r="D29" s="6">
        <f t="shared" si="0"/>
        <v>742</v>
      </c>
      <c r="E29" s="4">
        <v>38451</v>
      </c>
      <c r="F29" s="4">
        <v>2024</v>
      </c>
    </row>
    <row r="30" spans="1:10" x14ac:dyDescent="0.35">
      <c r="A30" s="4" t="s">
        <v>1593</v>
      </c>
      <c r="B30" s="4" t="s">
        <v>116</v>
      </c>
      <c r="C30" s="4">
        <v>4.9000000000000004</v>
      </c>
      <c r="D30" s="6">
        <f t="shared" si="0"/>
        <v>247</v>
      </c>
      <c r="E30" s="4">
        <v>25175</v>
      </c>
      <c r="F30" s="4">
        <v>2024</v>
      </c>
    </row>
    <row r="31" spans="1:10" x14ac:dyDescent="0.35">
      <c r="A31" s="4" t="s">
        <v>2059</v>
      </c>
      <c r="B31" s="4" t="s">
        <v>759</v>
      </c>
      <c r="C31" s="4">
        <v>5.0999999999999996</v>
      </c>
      <c r="D31" s="6">
        <f t="shared" si="0"/>
        <v>48</v>
      </c>
      <c r="E31" s="4">
        <v>11639</v>
      </c>
      <c r="F31" s="4">
        <v>2023</v>
      </c>
    </row>
    <row r="32" spans="1:10" x14ac:dyDescent="0.35">
      <c r="A32" s="4" t="s">
        <v>251</v>
      </c>
      <c r="B32" s="4" t="s">
        <v>76</v>
      </c>
      <c r="C32" s="4">
        <v>2.9</v>
      </c>
      <c r="D32" s="6">
        <f t="shared" si="0"/>
        <v>879</v>
      </c>
      <c r="E32" s="4">
        <v>31766</v>
      </c>
      <c r="F32" s="4">
        <v>2023</v>
      </c>
    </row>
    <row r="33" spans="1:6" x14ac:dyDescent="0.35">
      <c r="A33" s="4" t="s">
        <v>64</v>
      </c>
      <c r="B33" s="4" t="s">
        <v>65</v>
      </c>
      <c r="C33" s="4">
        <v>1.6</v>
      </c>
      <c r="D33" s="6">
        <f t="shared" si="0"/>
        <v>947</v>
      </c>
      <c r="E33" s="4">
        <v>79558</v>
      </c>
      <c r="F33" s="4">
        <v>2023</v>
      </c>
    </row>
    <row r="34" spans="1:6" x14ac:dyDescent="0.35">
      <c r="A34" s="4" t="s">
        <v>1648</v>
      </c>
      <c r="B34" s="4" t="s">
        <v>846</v>
      </c>
      <c r="C34" s="4">
        <v>4.9000000000000004</v>
      </c>
      <c r="D34" s="6">
        <f t="shared" si="0"/>
        <v>246</v>
      </c>
      <c r="E34" s="4">
        <v>12479</v>
      </c>
      <c r="F34" s="4">
        <v>2023</v>
      </c>
    </row>
    <row r="35" spans="1:6" x14ac:dyDescent="0.35">
      <c r="A35" s="4" t="s">
        <v>19</v>
      </c>
      <c r="B35" s="4" t="s">
        <v>20</v>
      </c>
      <c r="C35" s="4">
        <v>1.1000000000000001</v>
      </c>
      <c r="D35" s="6">
        <f t="shared" si="0"/>
        <v>962</v>
      </c>
      <c r="E35" s="4">
        <v>12019</v>
      </c>
      <c r="F35" s="4">
        <v>2023</v>
      </c>
    </row>
    <row r="36" spans="1:6" x14ac:dyDescent="0.35">
      <c r="A36" s="4" t="s">
        <v>830</v>
      </c>
      <c r="B36" s="4" t="s">
        <v>544</v>
      </c>
      <c r="C36" s="4">
        <v>4.4000000000000004</v>
      </c>
      <c r="D36" s="6">
        <f t="shared" si="0"/>
        <v>587</v>
      </c>
      <c r="E36" s="4">
        <v>112636</v>
      </c>
      <c r="F36" s="4">
        <v>2023</v>
      </c>
    </row>
    <row r="37" spans="1:6" x14ac:dyDescent="0.35">
      <c r="A37" s="4" t="s">
        <v>312</v>
      </c>
      <c r="B37" s="4" t="s">
        <v>76</v>
      </c>
      <c r="C37" s="4">
        <v>3.2</v>
      </c>
      <c r="D37" s="6">
        <f t="shared" si="0"/>
        <v>854</v>
      </c>
      <c r="E37" s="4">
        <v>12288</v>
      </c>
      <c r="F37" s="4">
        <v>2023</v>
      </c>
    </row>
    <row r="38" spans="1:6" x14ac:dyDescent="0.35">
      <c r="A38" s="4" t="s">
        <v>1346</v>
      </c>
      <c r="B38" s="4" t="s">
        <v>134</v>
      </c>
      <c r="C38" s="4">
        <v>4.8</v>
      </c>
      <c r="D38" s="6">
        <f t="shared" si="0"/>
        <v>317</v>
      </c>
      <c r="E38" s="4">
        <v>45770</v>
      </c>
      <c r="F38" s="4">
        <v>2023</v>
      </c>
    </row>
    <row r="39" spans="1:6" x14ac:dyDescent="0.35">
      <c r="A39" s="4" t="s">
        <v>1352</v>
      </c>
      <c r="B39" s="4" t="s">
        <v>76</v>
      </c>
      <c r="C39" s="4">
        <v>4.8</v>
      </c>
      <c r="D39" s="6">
        <f t="shared" si="0"/>
        <v>317</v>
      </c>
      <c r="E39" s="4">
        <v>44700</v>
      </c>
      <c r="F39" s="4">
        <v>2023</v>
      </c>
    </row>
    <row r="40" spans="1:6" x14ac:dyDescent="0.35">
      <c r="A40" s="4" t="s">
        <v>758</v>
      </c>
      <c r="B40" s="4" t="s">
        <v>759</v>
      </c>
      <c r="C40" s="4">
        <v>4.3</v>
      </c>
      <c r="D40" s="6">
        <f t="shared" si="0"/>
        <v>628</v>
      </c>
      <c r="E40" s="4">
        <v>52995</v>
      </c>
      <c r="F40" s="4">
        <v>2023</v>
      </c>
    </row>
    <row r="41" spans="1:6" x14ac:dyDescent="0.35">
      <c r="A41" s="4" t="s">
        <v>873</v>
      </c>
      <c r="B41" s="4" t="s">
        <v>568</v>
      </c>
      <c r="C41" s="4">
        <v>4.4000000000000004</v>
      </c>
      <c r="D41" s="6">
        <f t="shared" si="0"/>
        <v>585</v>
      </c>
      <c r="E41" s="4">
        <v>23267</v>
      </c>
      <c r="F41" s="4">
        <v>2023</v>
      </c>
    </row>
    <row r="42" spans="1:6" x14ac:dyDescent="0.35">
      <c r="A42" s="4" t="s">
        <v>980</v>
      </c>
      <c r="B42" s="4" t="s">
        <v>682</v>
      </c>
      <c r="C42" s="4">
        <v>4.5</v>
      </c>
      <c r="D42" s="6">
        <f t="shared" si="0"/>
        <v>540</v>
      </c>
      <c r="E42" s="4">
        <v>19385</v>
      </c>
      <c r="F42" s="4">
        <v>2023</v>
      </c>
    </row>
    <row r="43" spans="1:6" x14ac:dyDescent="0.35">
      <c r="A43" s="4" t="s">
        <v>959</v>
      </c>
      <c r="B43" s="4" t="s">
        <v>125</v>
      </c>
      <c r="C43" s="4">
        <v>4.5</v>
      </c>
      <c r="D43" s="6">
        <f t="shared" si="0"/>
        <v>540</v>
      </c>
      <c r="E43" s="4">
        <v>31620</v>
      </c>
      <c r="F43" s="4">
        <v>2023</v>
      </c>
    </row>
    <row r="44" spans="1:6" x14ac:dyDescent="0.35">
      <c r="A44" s="4" t="s">
        <v>1814</v>
      </c>
      <c r="B44" s="4" t="s">
        <v>565</v>
      </c>
      <c r="C44" s="4">
        <v>5</v>
      </c>
      <c r="D44" s="6">
        <f t="shared" si="0"/>
        <v>165</v>
      </c>
      <c r="E44" s="4">
        <v>12235</v>
      </c>
      <c r="F44" s="4">
        <v>2023</v>
      </c>
    </row>
    <row r="45" spans="1:6" x14ac:dyDescent="0.35">
      <c r="A45" s="4" t="s">
        <v>39</v>
      </c>
      <c r="B45" s="4" t="s">
        <v>20</v>
      </c>
      <c r="C45" s="4">
        <v>1.2</v>
      </c>
      <c r="D45" s="6">
        <f t="shared" si="0"/>
        <v>946</v>
      </c>
      <c r="E45" s="4">
        <v>10674</v>
      </c>
      <c r="F45" s="4">
        <v>2023</v>
      </c>
    </row>
    <row r="46" spans="1:6" x14ac:dyDescent="0.35">
      <c r="A46" s="4" t="s">
        <v>28</v>
      </c>
      <c r="B46" s="4" t="s">
        <v>20</v>
      </c>
      <c r="C46" s="4">
        <v>1.2</v>
      </c>
      <c r="D46" s="6">
        <f t="shared" si="0"/>
        <v>946</v>
      </c>
      <c r="E46" s="4">
        <v>86315</v>
      </c>
      <c r="F46" s="4">
        <v>2023</v>
      </c>
    </row>
    <row r="47" spans="1:6" x14ac:dyDescent="0.35">
      <c r="A47" s="4" t="s">
        <v>865</v>
      </c>
      <c r="B47" s="4" t="s">
        <v>90</v>
      </c>
      <c r="C47" s="4">
        <v>4.4000000000000004</v>
      </c>
      <c r="D47" s="6">
        <f t="shared" si="0"/>
        <v>582</v>
      </c>
      <c r="E47" s="4">
        <v>28639</v>
      </c>
      <c r="F47" s="4">
        <v>2023</v>
      </c>
    </row>
    <row r="48" spans="1:6" x14ac:dyDescent="0.35">
      <c r="A48" s="4" t="s">
        <v>1129</v>
      </c>
      <c r="B48" s="4" t="s">
        <v>859</v>
      </c>
      <c r="C48" s="4">
        <v>4.5999999999999996</v>
      </c>
      <c r="D48" s="6">
        <f t="shared" si="0"/>
        <v>478</v>
      </c>
      <c r="E48" s="4">
        <v>12471</v>
      </c>
      <c r="F48" s="4">
        <v>2023</v>
      </c>
    </row>
    <row r="49" spans="1:6" x14ac:dyDescent="0.35">
      <c r="A49" s="4" t="s">
        <v>1679</v>
      </c>
      <c r="B49" s="4" t="s">
        <v>122</v>
      </c>
      <c r="C49" s="4">
        <v>5</v>
      </c>
      <c r="D49" s="6">
        <f t="shared" si="0"/>
        <v>165</v>
      </c>
      <c r="E49" s="4">
        <v>87341</v>
      </c>
      <c r="F49" s="4">
        <v>2023</v>
      </c>
    </row>
    <row r="50" spans="1:6" x14ac:dyDescent="0.35">
      <c r="A50" s="4" t="s">
        <v>1846</v>
      </c>
      <c r="B50" s="4" t="s">
        <v>116</v>
      </c>
      <c r="C50" s="4">
        <v>5</v>
      </c>
      <c r="D50" s="6">
        <f t="shared" si="0"/>
        <v>165</v>
      </c>
      <c r="E50" s="4">
        <v>10175</v>
      </c>
      <c r="F50" s="4">
        <v>2023</v>
      </c>
    </row>
    <row r="51" spans="1:6" x14ac:dyDescent="0.35">
      <c r="A51" s="4" t="s">
        <v>2095</v>
      </c>
      <c r="B51" s="4" t="s">
        <v>846</v>
      </c>
      <c r="C51" s="4">
        <v>5.0999999999999996</v>
      </c>
      <c r="D51" s="6">
        <f t="shared" si="0"/>
        <v>48</v>
      </c>
      <c r="E51" s="4">
        <v>10168</v>
      </c>
      <c r="F51" s="4">
        <v>2023</v>
      </c>
    </row>
    <row r="52" spans="1:6" x14ac:dyDescent="0.35">
      <c r="A52" s="4" t="s">
        <v>2079</v>
      </c>
      <c r="B52" s="4" t="s">
        <v>26</v>
      </c>
      <c r="C52" s="4">
        <v>5.0999999999999996</v>
      </c>
      <c r="D52" s="6">
        <f t="shared" si="0"/>
        <v>48</v>
      </c>
      <c r="E52" s="4">
        <v>10639</v>
      </c>
      <c r="F52" s="4">
        <v>2023</v>
      </c>
    </row>
    <row r="53" spans="1:6" x14ac:dyDescent="0.35">
      <c r="A53" s="4" t="s">
        <v>898</v>
      </c>
      <c r="B53" s="4" t="s">
        <v>93</v>
      </c>
      <c r="C53" s="4">
        <v>4.4000000000000004</v>
      </c>
      <c r="D53" s="6">
        <f t="shared" si="0"/>
        <v>577</v>
      </c>
      <c r="E53" s="4">
        <v>14645</v>
      </c>
      <c r="F53" s="4">
        <v>2023</v>
      </c>
    </row>
    <row r="54" spans="1:6" x14ac:dyDescent="0.35">
      <c r="A54" s="4" t="s">
        <v>594</v>
      </c>
      <c r="B54" s="4" t="s">
        <v>125</v>
      </c>
      <c r="C54" s="4">
        <v>4</v>
      </c>
      <c r="D54" s="6">
        <f t="shared" si="0"/>
        <v>704</v>
      </c>
      <c r="E54" s="4">
        <v>41243</v>
      </c>
      <c r="F54" s="4">
        <v>2023</v>
      </c>
    </row>
    <row r="55" spans="1:6" x14ac:dyDescent="0.35">
      <c r="A55" s="4" t="s">
        <v>1269</v>
      </c>
      <c r="B55" s="4" t="s">
        <v>101</v>
      </c>
      <c r="C55" s="4">
        <v>4.7</v>
      </c>
      <c r="D55" s="6">
        <f t="shared" si="0"/>
        <v>402</v>
      </c>
      <c r="E55" s="4">
        <v>15442</v>
      </c>
      <c r="F55" s="4">
        <v>2023</v>
      </c>
    </row>
    <row r="56" spans="1:6" x14ac:dyDescent="0.35">
      <c r="A56" s="4" t="s">
        <v>242</v>
      </c>
      <c r="B56" s="4" t="s">
        <v>243</v>
      </c>
      <c r="C56" s="4">
        <v>2.8</v>
      </c>
      <c r="D56" s="6">
        <f t="shared" si="0"/>
        <v>866</v>
      </c>
      <c r="E56" s="4">
        <v>10389</v>
      </c>
      <c r="F56" s="4">
        <v>2023</v>
      </c>
    </row>
    <row r="57" spans="1:6" x14ac:dyDescent="0.35">
      <c r="A57" s="4" t="s">
        <v>1956</v>
      </c>
      <c r="B57" s="4" t="s">
        <v>93</v>
      </c>
      <c r="C57" s="4">
        <v>5.0999999999999996</v>
      </c>
      <c r="D57" s="6">
        <f t="shared" si="0"/>
        <v>48</v>
      </c>
      <c r="E57" s="4">
        <v>22895</v>
      </c>
      <c r="F57" s="4">
        <v>2023</v>
      </c>
    </row>
    <row r="58" spans="1:6" x14ac:dyDescent="0.35">
      <c r="A58" s="4" t="s">
        <v>666</v>
      </c>
      <c r="B58" s="4" t="s">
        <v>128</v>
      </c>
      <c r="C58" s="4">
        <v>4.0999999999999996</v>
      </c>
      <c r="D58" s="6">
        <f t="shared" si="0"/>
        <v>681</v>
      </c>
      <c r="E58" s="4">
        <v>15170</v>
      </c>
      <c r="F58" s="4">
        <v>2023</v>
      </c>
    </row>
    <row r="59" spans="1:6" x14ac:dyDescent="0.35">
      <c r="A59" s="4" t="s">
        <v>384</v>
      </c>
      <c r="B59" s="4" t="s">
        <v>128</v>
      </c>
      <c r="C59" s="4">
        <v>3.5</v>
      </c>
      <c r="D59" s="6">
        <f t="shared" si="0"/>
        <v>798</v>
      </c>
      <c r="E59" s="4">
        <v>14462</v>
      </c>
      <c r="F59" s="4">
        <v>2023</v>
      </c>
    </row>
    <row r="60" spans="1:6" x14ac:dyDescent="0.35">
      <c r="A60" s="4" t="s">
        <v>1297</v>
      </c>
      <c r="B60" s="4" t="s">
        <v>128</v>
      </c>
      <c r="C60" s="4">
        <v>4.7</v>
      </c>
      <c r="D60" s="6">
        <f t="shared" si="0"/>
        <v>401</v>
      </c>
      <c r="E60" s="4">
        <v>11841</v>
      </c>
      <c r="F60" s="4">
        <v>2023</v>
      </c>
    </row>
    <row r="61" spans="1:6" x14ac:dyDescent="0.35">
      <c r="A61" s="4" t="s">
        <v>570</v>
      </c>
      <c r="B61" s="4" t="s">
        <v>571</v>
      </c>
      <c r="C61" s="4">
        <v>3.9</v>
      </c>
      <c r="D61" s="6">
        <f t="shared" si="0"/>
        <v>719</v>
      </c>
      <c r="E61" s="4">
        <v>15551</v>
      </c>
      <c r="F61" s="4">
        <v>2023</v>
      </c>
    </row>
    <row r="62" spans="1:6" x14ac:dyDescent="0.35">
      <c r="A62" s="4" t="s">
        <v>2069</v>
      </c>
      <c r="B62" s="4" t="s">
        <v>217</v>
      </c>
      <c r="C62" s="4">
        <v>5.0999999999999996</v>
      </c>
      <c r="D62" s="6">
        <f t="shared" si="0"/>
        <v>48</v>
      </c>
      <c r="E62" s="4">
        <v>10876</v>
      </c>
      <c r="F62" s="4">
        <v>2023</v>
      </c>
    </row>
    <row r="63" spans="1:6" x14ac:dyDescent="0.35">
      <c r="A63" s="4" t="s">
        <v>202</v>
      </c>
      <c r="B63" s="4" t="s">
        <v>93</v>
      </c>
      <c r="C63" s="4">
        <v>2.7</v>
      </c>
      <c r="D63" s="6">
        <f t="shared" si="0"/>
        <v>867</v>
      </c>
      <c r="E63" s="4">
        <v>134527</v>
      </c>
      <c r="F63" s="4">
        <v>2023</v>
      </c>
    </row>
    <row r="64" spans="1:6" x14ac:dyDescent="0.35">
      <c r="A64" s="4" t="s">
        <v>1307</v>
      </c>
      <c r="B64" s="4" t="s">
        <v>565</v>
      </c>
      <c r="C64" s="4">
        <v>4.7</v>
      </c>
      <c r="D64" s="6">
        <f t="shared" si="0"/>
        <v>400</v>
      </c>
      <c r="E64" s="4">
        <v>10960</v>
      </c>
      <c r="F64" s="4">
        <v>2022</v>
      </c>
    </row>
    <row r="65" spans="1:6" x14ac:dyDescent="0.35">
      <c r="A65" s="4" t="s">
        <v>616</v>
      </c>
      <c r="B65" s="4" t="s">
        <v>565</v>
      </c>
      <c r="C65" s="4">
        <v>4</v>
      </c>
      <c r="D65" s="6">
        <f t="shared" si="0"/>
        <v>698</v>
      </c>
      <c r="E65" s="4">
        <v>12380</v>
      </c>
      <c r="F65" s="4">
        <v>2022</v>
      </c>
    </row>
    <row r="66" spans="1:6" x14ac:dyDescent="0.35">
      <c r="A66" s="4" t="s">
        <v>1564</v>
      </c>
      <c r="B66" s="4" t="s">
        <v>93</v>
      </c>
      <c r="C66" s="4">
        <v>4.9000000000000004</v>
      </c>
      <c r="D66" s="6">
        <f t="shared" ref="D66:D129" si="3">_xlfn.RANK.EQ(C66, C66:C1065)</f>
        <v>239</v>
      </c>
      <c r="E66" s="4">
        <v>45846</v>
      </c>
      <c r="F66" s="4">
        <v>2022</v>
      </c>
    </row>
    <row r="67" spans="1:6" x14ac:dyDescent="0.35">
      <c r="A67" s="4" t="s">
        <v>142</v>
      </c>
      <c r="B67" s="4" t="s">
        <v>143</v>
      </c>
      <c r="C67" s="4">
        <v>2.2999999999999998</v>
      </c>
      <c r="D67" s="6">
        <f t="shared" si="3"/>
        <v>890</v>
      </c>
      <c r="E67" s="4">
        <v>43439</v>
      </c>
      <c r="F67" s="4">
        <v>2022</v>
      </c>
    </row>
    <row r="68" spans="1:6" x14ac:dyDescent="0.35">
      <c r="A68" s="4" t="s">
        <v>16</v>
      </c>
      <c r="B68" s="4" t="s">
        <v>17</v>
      </c>
      <c r="C68" s="4">
        <v>1.1000000000000001</v>
      </c>
      <c r="D68" s="6">
        <f t="shared" si="3"/>
        <v>930</v>
      </c>
      <c r="E68" s="4">
        <v>13805</v>
      </c>
      <c r="F68" s="4">
        <v>2022</v>
      </c>
    </row>
    <row r="69" spans="1:6" x14ac:dyDescent="0.35">
      <c r="A69" s="4" t="s">
        <v>238</v>
      </c>
      <c r="B69" s="4" t="s">
        <v>208</v>
      </c>
      <c r="C69" s="4">
        <v>2.8</v>
      </c>
      <c r="D69" s="6">
        <f t="shared" si="3"/>
        <v>857</v>
      </c>
      <c r="E69" s="4">
        <v>10728</v>
      </c>
      <c r="F69" s="4">
        <v>2022</v>
      </c>
    </row>
    <row r="70" spans="1:6" x14ac:dyDescent="0.35">
      <c r="A70" s="4" t="s">
        <v>1006</v>
      </c>
      <c r="B70" s="4" t="s">
        <v>140</v>
      </c>
      <c r="C70" s="4">
        <v>4.5</v>
      </c>
      <c r="D70" s="6">
        <f t="shared" si="3"/>
        <v>528</v>
      </c>
      <c r="E70" s="4">
        <v>12066</v>
      </c>
      <c r="F70" s="4">
        <v>2022</v>
      </c>
    </row>
    <row r="71" spans="1:6" x14ac:dyDescent="0.35">
      <c r="A71" s="4" t="s">
        <v>1582</v>
      </c>
      <c r="B71" s="4" t="s">
        <v>190</v>
      </c>
      <c r="C71" s="4">
        <v>4.9000000000000004</v>
      </c>
      <c r="D71" s="6">
        <f t="shared" si="3"/>
        <v>239</v>
      </c>
      <c r="E71" s="4">
        <v>29411</v>
      </c>
      <c r="F71" s="4">
        <v>2022</v>
      </c>
    </row>
    <row r="72" spans="1:6" x14ac:dyDescent="0.35">
      <c r="A72" s="4" t="s">
        <v>793</v>
      </c>
      <c r="B72" s="4" t="s">
        <v>65</v>
      </c>
      <c r="C72" s="4">
        <v>4.3</v>
      </c>
      <c r="D72" s="6">
        <f t="shared" si="3"/>
        <v>609</v>
      </c>
      <c r="E72" s="4">
        <v>17381</v>
      </c>
      <c r="F72" s="4">
        <v>2022</v>
      </c>
    </row>
    <row r="73" spans="1:6" x14ac:dyDescent="0.35">
      <c r="A73" s="4" t="s">
        <v>1217</v>
      </c>
      <c r="B73" s="4" t="s">
        <v>11</v>
      </c>
      <c r="C73" s="4">
        <v>4.7</v>
      </c>
      <c r="D73" s="6">
        <f t="shared" si="3"/>
        <v>398</v>
      </c>
      <c r="E73" s="4">
        <v>29113</v>
      </c>
      <c r="F73" s="4">
        <v>2022</v>
      </c>
    </row>
    <row r="74" spans="1:6" x14ac:dyDescent="0.35">
      <c r="A74" s="4" t="s">
        <v>1170</v>
      </c>
      <c r="B74" s="4" t="s">
        <v>352</v>
      </c>
      <c r="C74" s="4">
        <v>4.7</v>
      </c>
      <c r="D74" s="6">
        <f t="shared" si="3"/>
        <v>398</v>
      </c>
      <c r="E74" s="4">
        <v>64356</v>
      </c>
      <c r="F74" s="4">
        <v>2022</v>
      </c>
    </row>
    <row r="75" spans="1:6" x14ac:dyDescent="0.35">
      <c r="A75" s="4" t="s">
        <v>1435</v>
      </c>
      <c r="B75" s="4" t="s">
        <v>448</v>
      </c>
      <c r="C75" s="4">
        <v>4.8</v>
      </c>
      <c r="D75" s="6">
        <f t="shared" si="3"/>
        <v>308</v>
      </c>
      <c r="E75" s="4">
        <v>17348</v>
      </c>
      <c r="F75" s="4">
        <v>2022</v>
      </c>
    </row>
    <row r="76" spans="1:6" x14ac:dyDescent="0.35">
      <c r="A76" s="4" t="s">
        <v>1226</v>
      </c>
      <c r="B76" s="4" t="s">
        <v>508</v>
      </c>
      <c r="C76" s="4">
        <v>4.7</v>
      </c>
      <c r="D76" s="6">
        <f t="shared" si="3"/>
        <v>397</v>
      </c>
      <c r="E76" s="4">
        <v>26511</v>
      </c>
      <c r="F76" s="4">
        <v>2022</v>
      </c>
    </row>
    <row r="77" spans="1:6" x14ac:dyDescent="0.35">
      <c r="A77" s="4" t="s">
        <v>2103</v>
      </c>
      <c r="B77" s="4" t="s">
        <v>178</v>
      </c>
      <c r="C77" s="4">
        <v>5.2</v>
      </c>
      <c r="D77" s="6">
        <f t="shared" si="3"/>
        <v>1</v>
      </c>
      <c r="E77" s="4">
        <v>195388</v>
      </c>
      <c r="F77" s="4">
        <v>2022</v>
      </c>
    </row>
    <row r="78" spans="1:6" x14ac:dyDescent="0.35">
      <c r="A78" s="4" t="s">
        <v>1176</v>
      </c>
      <c r="B78" s="4" t="s">
        <v>93</v>
      </c>
      <c r="C78" s="4">
        <v>4.7</v>
      </c>
      <c r="D78" s="6">
        <f t="shared" si="3"/>
        <v>396</v>
      </c>
      <c r="E78" s="4">
        <v>57367</v>
      </c>
      <c r="F78" s="4">
        <v>2022</v>
      </c>
    </row>
    <row r="79" spans="1:6" x14ac:dyDescent="0.35">
      <c r="A79" s="4" t="s">
        <v>697</v>
      </c>
      <c r="B79" s="4" t="s">
        <v>155</v>
      </c>
      <c r="C79" s="4">
        <v>4.2</v>
      </c>
      <c r="D79" s="6">
        <f t="shared" si="3"/>
        <v>636</v>
      </c>
      <c r="E79" s="4">
        <v>46900</v>
      </c>
      <c r="F79" s="4">
        <v>2022</v>
      </c>
    </row>
    <row r="80" spans="1:6" x14ac:dyDescent="0.35">
      <c r="A80" s="4" t="s">
        <v>1897</v>
      </c>
      <c r="B80" s="4" t="s">
        <v>549</v>
      </c>
      <c r="C80" s="4">
        <v>5.0999999999999996</v>
      </c>
      <c r="D80" s="6">
        <f t="shared" si="3"/>
        <v>47</v>
      </c>
      <c r="E80" s="4">
        <v>43252</v>
      </c>
      <c r="F80" s="4">
        <v>2022</v>
      </c>
    </row>
    <row r="81" spans="1:6" x14ac:dyDescent="0.35">
      <c r="A81" s="4" t="s">
        <v>2002</v>
      </c>
      <c r="B81" s="4" t="s">
        <v>2003</v>
      </c>
      <c r="C81" s="4">
        <v>5.0999999999999996</v>
      </c>
      <c r="D81" s="6">
        <f t="shared" si="3"/>
        <v>47</v>
      </c>
      <c r="E81" s="4">
        <v>16206</v>
      </c>
      <c r="F81" s="4">
        <v>2022</v>
      </c>
    </row>
    <row r="82" spans="1:6" x14ac:dyDescent="0.35">
      <c r="A82" s="4" t="s">
        <v>1850</v>
      </c>
      <c r="B82" s="4" t="s">
        <v>122</v>
      </c>
      <c r="C82" s="4">
        <v>5.0999999999999996</v>
      </c>
      <c r="D82" s="6">
        <f t="shared" si="3"/>
        <v>47</v>
      </c>
      <c r="E82" s="4">
        <v>158856</v>
      </c>
      <c r="F82" s="4">
        <v>2022</v>
      </c>
    </row>
    <row r="83" spans="1:6" x14ac:dyDescent="0.35">
      <c r="A83" s="4" t="s">
        <v>1862</v>
      </c>
      <c r="B83" s="4" t="s">
        <v>163</v>
      </c>
      <c r="C83" s="4">
        <v>5.0999999999999996</v>
      </c>
      <c r="D83" s="6">
        <f t="shared" si="3"/>
        <v>47</v>
      </c>
      <c r="E83" s="4">
        <v>103225</v>
      </c>
      <c r="F83" s="4">
        <v>2022</v>
      </c>
    </row>
    <row r="84" spans="1:6" x14ac:dyDescent="0.35">
      <c r="A84" s="4" t="s">
        <v>1902</v>
      </c>
      <c r="B84" s="4" t="s">
        <v>11</v>
      </c>
      <c r="C84" s="4">
        <v>5.0999999999999996</v>
      </c>
      <c r="D84" s="6">
        <f t="shared" si="3"/>
        <v>47</v>
      </c>
      <c r="E84" s="4">
        <v>41961</v>
      </c>
      <c r="F84" s="4">
        <v>2022</v>
      </c>
    </row>
    <row r="85" spans="1:6" x14ac:dyDescent="0.35">
      <c r="A85" s="4" t="s">
        <v>503</v>
      </c>
      <c r="B85" s="4" t="s">
        <v>8</v>
      </c>
      <c r="C85" s="4">
        <v>3.8</v>
      </c>
      <c r="D85" s="6">
        <f t="shared" si="3"/>
        <v>722</v>
      </c>
      <c r="E85" s="4">
        <v>15745</v>
      </c>
      <c r="F85" s="4">
        <v>2022</v>
      </c>
    </row>
    <row r="86" spans="1:6" x14ac:dyDescent="0.35">
      <c r="A86" s="4" t="s">
        <v>189</v>
      </c>
      <c r="B86" s="4" t="s">
        <v>190</v>
      </c>
      <c r="C86" s="4">
        <v>2.6</v>
      </c>
      <c r="D86" s="6">
        <f t="shared" si="3"/>
        <v>855</v>
      </c>
      <c r="E86" s="4">
        <v>47934</v>
      </c>
      <c r="F86" s="4">
        <v>2022</v>
      </c>
    </row>
    <row r="87" spans="1:6" x14ac:dyDescent="0.35">
      <c r="A87" s="4" t="s">
        <v>1145</v>
      </c>
      <c r="B87" s="4" t="s">
        <v>82</v>
      </c>
      <c r="C87" s="4">
        <v>4.5999999999999996</v>
      </c>
      <c r="D87" s="6">
        <f t="shared" si="3"/>
        <v>456</v>
      </c>
      <c r="E87" s="4">
        <v>10942</v>
      </c>
      <c r="F87" s="4">
        <v>2022</v>
      </c>
    </row>
    <row r="88" spans="1:6" x14ac:dyDescent="0.35">
      <c r="A88" s="4" t="s">
        <v>1465</v>
      </c>
      <c r="B88" s="4" t="s">
        <v>178</v>
      </c>
      <c r="C88" s="4">
        <v>4.8</v>
      </c>
      <c r="D88" s="6">
        <f t="shared" si="3"/>
        <v>302</v>
      </c>
      <c r="E88" s="4">
        <v>13382</v>
      </c>
      <c r="F88" s="4">
        <v>2022</v>
      </c>
    </row>
    <row r="89" spans="1:6" x14ac:dyDescent="0.35">
      <c r="A89" s="4" t="s">
        <v>174</v>
      </c>
      <c r="B89" s="4" t="s">
        <v>175</v>
      </c>
      <c r="C89" s="4">
        <v>2.5</v>
      </c>
      <c r="D89" s="6">
        <f t="shared" si="3"/>
        <v>858</v>
      </c>
      <c r="E89" s="4">
        <v>15339</v>
      </c>
      <c r="F89" s="4">
        <v>2022</v>
      </c>
    </row>
    <row r="90" spans="1:6" x14ac:dyDescent="0.35">
      <c r="A90" s="4" t="s">
        <v>1224</v>
      </c>
      <c r="B90" s="4" t="s">
        <v>93</v>
      </c>
      <c r="C90" s="4">
        <v>4.7</v>
      </c>
      <c r="D90" s="6">
        <f t="shared" si="3"/>
        <v>390</v>
      </c>
      <c r="E90" s="4">
        <v>27979</v>
      </c>
      <c r="F90" s="4">
        <v>2022</v>
      </c>
    </row>
    <row r="91" spans="1:6" x14ac:dyDescent="0.35">
      <c r="A91" s="4" t="s">
        <v>145</v>
      </c>
      <c r="B91" s="4" t="s">
        <v>146</v>
      </c>
      <c r="C91" s="4">
        <v>2.2999999999999998</v>
      </c>
      <c r="D91" s="6">
        <f t="shared" si="3"/>
        <v>868</v>
      </c>
      <c r="E91" s="4">
        <v>27734</v>
      </c>
      <c r="F91" s="4">
        <v>2022</v>
      </c>
    </row>
    <row r="92" spans="1:6" x14ac:dyDescent="0.35">
      <c r="A92" s="4" t="s">
        <v>1946</v>
      </c>
      <c r="B92" s="4" t="s">
        <v>1947</v>
      </c>
      <c r="C92" s="4">
        <v>5.0999999999999996</v>
      </c>
      <c r="D92" s="6">
        <f t="shared" si="3"/>
        <v>47</v>
      </c>
      <c r="E92" s="4">
        <v>23649</v>
      </c>
      <c r="F92" s="4">
        <v>2022</v>
      </c>
    </row>
    <row r="93" spans="1:6" x14ac:dyDescent="0.35">
      <c r="A93" s="4" t="s">
        <v>1689</v>
      </c>
      <c r="B93" s="4" t="s">
        <v>565</v>
      </c>
      <c r="C93" s="4">
        <v>5</v>
      </c>
      <c r="D93" s="6">
        <f t="shared" si="3"/>
        <v>154</v>
      </c>
      <c r="E93" s="4">
        <v>75937</v>
      </c>
      <c r="F93" s="4">
        <v>2022</v>
      </c>
    </row>
    <row r="94" spans="1:6" x14ac:dyDescent="0.35">
      <c r="A94" s="4" t="s">
        <v>22</v>
      </c>
      <c r="B94" s="4" t="s">
        <v>23</v>
      </c>
      <c r="C94" s="4">
        <v>1.1000000000000001</v>
      </c>
      <c r="D94" s="6">
        <f t="shared" si="3"/>
        <v>905</v>
      </c>
      <c r="E94" s="4">
        <v>11177</v>
      </c>
      <c r="F94" s="4">
        <v>2022</v>
      </c>
    </row>
    <row r="95" spans="1:6" x14ac:dyDescent="0.35">
      <c r="A95" s="4" t="s">
        <v>1074</v>
      </c>
      <c r="B95" s="4" t="s">
        <v>1075</v>
      </c>
      <c r="C95" s="4">
        <v>4.5999999999999996</v>
      </c>
      <c r="D95" s="6">
        <f t="shared" si="3"/>
        <v>452</v>
      </c>
      <c r="E95" s="4">
        <v>23801</v>
      </c>
      <c r="F95" s="4">
        <v>2022</v>
      </c>
    </row>
    <row r="96" spans="1:6" x14ac:dyDescent="0.35">
      <c r="A96" s="4" t="s">
        <v>127</v>
      </c>
      <c r="B96" s="4" t="s">
        <v>128</v>
      </c>
      <c r="C96" s="4">
        <v>2.2000000000000002</v>
      </c>
      <c r="D96" s="6">
        <f t="shared" si="3"/>
        <v>867</v>
      </c>
      <c r="E96" s="4">
        <v>18999</v>
      </c>
      <c r="F96" s="4">
        <v>2022</v>
      </c>
    </row>
    <row r="97" spans="1:6" x14ac:dyDescent="0.35">
      <c r="A97" s="4" t="s">
        <v>895</v>
      </c>
      <c r="B97" s="4" t="s">
        <v>896</v>
      </c>
      <c r="C97" s="4">
        <v>4.4000000000000004</v>
      </c>
      <c r="D97" s="6">
        <f t="shared" si="3"/>
        <v>552</v>
      </c>
      <c r="E97" s="4">
        <v>15885</v>
      </c>
      <c r="F97" s="4">
        <v>2022</v>
      </c>
    </row>
    <row r="98" spans="1:6" x14ac:dyDescent="0.35">
      <c r="A98" s="4" t="s">
        <v>1603</v>
      </c>
      <c r="B98" s="4" t="s">
        <v>1422</v>
      </c>
      <c r="C98" s="4">
        <v>4.9000000000000004</v>
      </c>
      <c r="D98" s="6">
        <f t="shared" si="3"/>
        <v>231</v>
      </c>
      <c r="E98" s="4">
        <v>21157</v>
      </c>
      <c r="F98" s="4">
        <v>2022</v>
      </c>
    </row>
    <row r="99" spans="1:6" x14ac:dyDescent="0.35">
      <c r="A99" s="4" t="s">
        <v>514</v>
      </c>
      <c r="B99" s="4" t="s">
        <v>294</v>
      </c>
      <c r="C99" s="4">
        <v>3.8</v>
      </c>
      <c r="D99" s="6">
        <f t="shared" si="3"/>
        <v>714</v>
      </c>
      <c r="E99" s="4">
        <v>12159</v>
      </c>
      <c r="F99" s="4">
        <v>2022</v>
      </c>
    </row>
    <row r="100" spans="1:6" x14ac:dyDescent="0.35">
      <c r="A100" s="4" t="s">
        <v>772</v>
      </c>
      <c r="B100" s="4" t="s">
        <v>646</v>
      </c>
      <c r="C100" s="4">
        <v>4.3</v>
      </c>
      <c r="D100" s="6">
        <f t="shared" si="3"/>
        <v>590</v>
      </c>
      <c r="E100" s="4">
        <v>23940</v>
      </c>
      <c r="F100" s="4">
        <v>2022</v>
      </c>
    </row>
    <row r="101" spans="1:6" x14ac:dyDescent="0.35">
      <c r="A101" s="4" t="s">
        <v>1382</v>
      </c>
      <c r="B101" s="4" t="s">
        <v>584</v>
      </c>
      <c r="C101" s="4">
        <v>4.8</v>
      </c>
      <c r="D101" s="6">
        <f t="shared" si="3"/>
        <v>299</v>
      </c>
      <c r="E101" s="4">
        <v>26839</v>
      </c>
      <c r="F101" s="4">
        <v>2022</v>
      </c>
    </row>
    <row r="102" spans="1:6" x14ac:dyDescent="0.35">
      <c r="A102" s="4" t="s">
        <v>2097</v>
      </c>
      <c r="B102" s="4" t="s">
        <v>294</v>
      </c>
      <c r="C102" s="4">
        <v>5.0999999999999996</v>
      </c>
      <c r="D102" s="6">
        <f t="shared" si="3"/>
        <v>47</v>
      </c>
      <c r="E102" s="4">
        <v>10165</v>
      </c>
      <c r="F102" s="4">
        <v>2022</v>
      </c>
    </row>
    <row r="103" spans="1:6" x14ac:dyDescent="0.35">
      <c r="A103" s="4" t="s">
        <v>729</v>
      </c>
      <c r="B103" s="4" t="s">
        <v>508</v>
      </c>
      <c r="C103" s="4">
        <v>4.2</v>
      </c>
      <c r="D103" s="6">
        <f t="shared" si="3"/>
        <v>620</v>
      </c>
      <c r="E103" s="4">
        <v>14029</v>
      </c>
      <c r="F103" s="4">
        <v>2022</v>
      </c>
    </row>
    <row r="104" spans="1:6" x14ac:dyDescent="0.35">
      <c r="A104" s="4" t="s">
        <v>1388</v>
      </c>
      <c r="B104" s="4" t="s">
        <v>568</v>
      </c>
      <c r="C104" s="4">
        <v>4.8</v>
      </c>
      <c r="D104" s="6">
        <f t="shared" si="3"/>
        <v>298</v>
      </c>
      <c r="E104" s="4">
        <v>25593</v>
      </c>
      <c r="F104" s="4">
        <v>2022</v>
      </c>
    </row>
    <row r="105" spans="1:6" x14ac:dyDescent="0.35">
      <c r="A105" s="4" t="s">
        <v>2183</v>
      </c>
      <c r="B105" s="4" t="s">
        <v>146</v>
      </c>
      <c r="C105" s="4">
        <v>5.2</v>
      </c>
      <c r="D105" s="6">
        <f t="shared" si="3"/>
        <v>1</v>
      </c>
      <c r="E105" s="4">
        <v>37368</v>
      </c>
      <c r="F105" s="4">
        <v>2022</v>
      </c>
    </row>
    <row r="106" spans="1:6" x14ac:dyDescent="0.35">
      <c r="A106" s="4" t="s">
        <v>1716</v>
      </c>
      <c r="B106" s="4" t="s">
        <v>146</v>
      </c>
      <c r="C106" s="4">
        <v>5</v>
      </c>
      <c r="D106" s="6">
        <f t="shared" si="3"/>
        <v>152</v>
      </c>
      <c r="E106" s="4">
        <v>36822</v>
      </c>
      <c r="F106" s="4">
        <v>2022</v>
      </c>
    </row>
    <row r="107" spans="1:6" x14ac:dyDescent="0.35">
      <c r="A107" s="4" t="s">
        <v>1291</v>
      </c>
      <c r="B107" s="4" t="s">
        <v>208</v>
      </c>
      <c r="C107" s="4">
        <v>4.7</v>
      </c>
      <c r="D107" s="6">
        <f t="shared" si="3"/>
        <v>382</v>
      </c>
      <c r="E107" s="4">
        <v>12438</v>
      </c>
      <c r="F107" s="4">
        <v>2022</v>
      </c>
    </row>
    <row r="108" spans="1:6" x14ac:dyDescent="0.35">
      <c r="A108" s="4" t="s">
        <v>207</v>
      </c>
      <c r="B108" s="4" t="s">
        <v>208</v>
      </c>
      <c r="C108" s="4">
        <v>2.7</v>
      </c>
      <c r="D108" s="6">
        <f t="shared" si="3"/>
        <v>830</v>
      </c>
      <c r="E108" s="4">
        <v>25301</v>
      </c>
      <c r="F108" s="4">
        <v>2022</v>
      </c>
    </row>
    <row r="109" spans="1:6" x14ac:dyDescent="0.35">
      <c r="A109" s="4" t="s">
        <v>2081</v>
      </c>
      <c r="B109" s="4" t="s">
        <v>467</v>
      </c>
      <c r="C109" s="4">
        <v>5.0999999999999996</v>
      </c>
      <c r="D109" s="6">
        <f t="shared" si="3"/>
        <v>46</v>
      </c>
      <c r="E109" s="4">
        <v>10359</v>
      </c>
      <c r="F109" s="4">
        <v>2022</v>
      </c>
    </row>
    <row r="110" spans="1:6" x14ac:dyDescent="0.35">
      <c r="A110" s="4" t="s">
        <v>2041</v>
      </c>
      <c r="B110" s="4" t="s">
        <v>846</v>
      </c>
      <c r="C110" s="4">
        <v>5.0999999999999996</v>
      </c>
      <c r="D110" s="6">
        <f t="shared" si="3"/>
        <v>46</v>
      </c>
      <c r="E110" s="4">
        <v>12808</v>
      </c>
      <c r="F110" s="4">
        <v>2021</v>
      </c>
    </row>
    <row r="111" spans="1:6" x14ac:dyDescent="0.35">
      <c r="A111" s="4" t="s">
        <v>1041</v>
      </c>
      <c r="B111" s="4" t="s">
        <v>178</v>
      </c>
      <c r="C111" s="4">
        <v>4.5999999999999996</v>
      </c>
      <c r="D111" s="6">
        <f t="shared" si="3"/>
        <v>443</v>
      </c>
      <c r="E111" s="4">
        <v>46282</v>
      </c>
      <c r="F111" s="4">
        <v>2021</v>
      </c>
    </row>
    <row r="112" spans="1:6" x14ac:dyDescent="0.35">
      <c r="A112" s="4" t="s">
        <v>1607</v>
      </c>
      <c r="B112" s="4" t="s">
        <v>175</v>
      </c>
      <c r="C112" s="4">
        <v>4.9000000000000004</v>
      </c>
      <c r="D112" s="6">
        <f t="shared" si="3"/>
        <v>226</v>
      </c>
      <c r="E112" s="4">
        <v>20483</v>
      </c>
      <c r="F112" s="4">
        <v>2021</v>
      </c>
    </row>
    <row r="113" spans="1:6" x14ac:dyDescent="0.35">
      <c r="A113" s="4" t="s">
        <v>1926</v>
      </c>
      <c r="B113" s="4" t="s">
        <v>565</v>
      </c>
      <c r="C113" s="4">
        <v>5.0999999999999996</v>
      </c>
      <c r="D113" s="6">
        <f t="shared" si="3"/>
        <v>46</v>
      </c>
      <c r="E113" s="4">
        <v>28873</v>
      </c>
      <c r="F113" s="4">
        <v>2021</v>
      </c>
    </row>
    <row r="114" spans="1:6" x14ac:dyDescent="0.35">
      <c r="A114" s="4" t="s">
        <v>993</v>
      </c>
      <c r="B114" s="4" t="s">
        <v>178</v>
      </c>
      <c r="C114" s="4">
        <v>4.5</v>
      </c>
      <c r="D114" s="6">
        <f t="shared" si="3"/>
        <v>498</v>
      </c>
      <c r="E114" s="4">
        <v>14124</v>
      </c>
      <c r="F114" s="4">
        <v>2021</v>
      </c>
    </row>
    <row r="115" spans="1:6" x14ac:dyDescent="0.35">
      <c r="A115" s="4" t="s">
        <v>1398</v>
      </c>
      <c r="B115" s="4" t="s">
        <v>116</v>
      </c>
      <c r="C115" s="4">
        <v>4.8</v>
      </c>
      <c r="D115" s="6">
        <f t="shared" si="3"/>
        <v>292</v>
      </c>
      <c r="E115" s="4">
        <v>23297</v>
      </c>
      <c r="F115" s="4">
        <v>2021</v>
      </c>
    </row>
    <row r="116" spans="1:6" x14ac:dyDescent="0.35">
      <c r="A116" s="4" t="s">
        <v>610</v>
      </c>
      <c r="B116" s="4" t="s">
        <v>508</v>
      </c>
      <c r="C116" s="4">
        <v>4</v>
      </c>
      <c r="D116" s="6">
        <f t="shared" si="3"/>
        <v>659</v>
      </c>
      <c r="E116" s="4">
        <v>15140</v>
      </c>
      <c r="F116" s="4">
        <v>2021</v>
      </c>
    </row>
    <row r="117" spans="1:6" x14ac:dyDescent="0.35">
      <c r="A117" s="4" t="s">
        <v>1261</v>
      </c>
      <c r="B117" s="4" t="s">
        <v>709</v>
      </c>
      <c r="C117" s="4">
        <v>4.7</v>
      </c>
      <c r="D117" s="6">
        <f t="shared" si="3"/>
        <v>377</v>
      </c>
      <c r="E117" s="4">
        <v>17304</v>
      </c>
      <c r="F117" s="4">
        <v>2021</v>
      </c>
    </row>
    <row r="118" spans="1:6" x14ac:dyDescent="0.35">
      <c r="A118" s="4" t="s">
        <v>55</v>
      </c>
      <c r="B118" s="4" t="s">
        <v>56</v>
      </c>
      <c r="C118" s="4">
        <v>1.5</v>
      </c>
      <c r="D118" s="6">
        <f t="shared" si="3"/>
        <v>870</v>
      </c>
      <c r="E118" s="4">
        <v>40625</v>
      </c>
      <c r="F118" s="4">
        <v>2021</v>
      </c>
    </row>
    <row r="119" spans="1:6" x14ac:dyDescent="0.35">
      <c r="A119" s="4" t="s">
        <v>1032</v>
      </c>
      <c r="B119" s="4" t="s">
        <v>31</v>
      </c>
      <c r="C119" s="4">
        <v>4.5999999999999996</v>
      </c>
      <c r="D119" s="6">
        <f t="shared" si="3"/>
        <v>439</v>
      </c>
      <c r="E119" s="4">
        <v>61159</v>
      </c>
      <c r="F119" s="4">
        <v>2021</v>
      </c>
    </row>
    <row r="120" spans="1:6" x14ac:dyDescent="0.35">
      <c r="A120" s="4" t="s">
        <v>2137</v>
      </c>
      <c r="B120" s="4" t="s">
        <v>175</v>
      </c>
      <c r="C120" s="4">
        <v>5.2</v>
      </c>
      <c r="D120" s="6">
        <f t="shared" si="3"/>
        <v>1</v>
      </c>
      <c r="E120" s="4">
        <v>71042</v>
      </c>
      <c r="F120" s="4">
        <v>2021</v>
      </c>
    </row>
    <row r="121" spans="1:6" x14ac:dyDescent="0.35">
      <c r="A121" s="4" t="s">
        <v>930</v>
      </c>
      <c r="B121" s="4" t="s">
        <v>65</v>
      </c>
      <c r="C121" s="4">
        <v>4.5</v>
      </c>
      <c r="D121" s="6">
        <f t="shared" si="3"/>
        <v>494</v>
      </c>
      <c r="E121" s="4">
        <v>82226</v>
      </c>
      <c r="F121" s="4">
        <v>2021</v>
      </c>
    </row>
    <row r="122" spans="1:6" x14ac:dyDescent="0.35">
      <c r="A122" s="4" t="s">
        <v>628</v>
      </c>
      <c r="B122" s="4" t="s">
        <v>14</v>
      </c>
      <c r="C122" s="4">
        <v>4</v>
      </c>
      <c r="D122" s="6">
        <f t="shared" si="3"/>
        <v>655</v>
      </c>
      <c r="E122" s="4">
        <v>10323</v>
      </c>
      <c r="F122" s="4">
        <v>2021</v>
      </c>
    </row>
    <row r="123" spans="1:6" x14ac:dyDescent="0.35">
      <c r="A123" s="4" t="s">
        <v>356</v>
      </c>
      <c r="B123" s="4" t="s">
        <v>56</v>
      </c>
      <c r="C123" s="4">
        <v>3.4</v>
      </c>
      <c r="D123" s="6">
        <f t="shared" si="3"/>
        <v>761</v>
      </c>
      <c r="E123" s="4">
        <v>16210</v>
      </c>
      <c r="F123" s="4">
        <v>2021</v>
      </c>
    </row>
    <row r="124" spans="1:6" x14ac:dyDescent="0.35">
      <c r="A124" s="4" t="s">
        <v>86</v>
      </c>
      <c r="B124" s="4" t="s">
        <v>87</v>
      </c>
      <c r="C124" s="4">
        <v>1.7</v>
      </c>
      <c r="D124" s="6">
        <f t="shared" si="3"/>
        <v>855</v>
      </c>
      <c r="E124" s="4">
        <v>15623</v>
      </c>
      <c r="F124" s="4">
        <v>2021</v>
      </c>
    </row>
    <row r="125" spans="1:6" x14ac:dyDescent="0.35">
      <c r="A125" s="4" t="s">
        <v>818</v>
      </c>
      <c r="B125" s="4" t="s">
        <v>211</v>
      </c>
      <c r="C125" s="4">
        <v>4.3</v>
      </c>
      <c r="D125" s="6">
        <f t="shared" si="3"/>
        <v>573</v>
      </c>
      <c r="E125" s="4">
        <v>11182</v>
      </c>
      <c r="F125" s="4">
        <v>2021</v>
      </c>
    </row>
    <row r="126" spans="1:6" x14ac:dyDescent="0.35">
      <c r="A126" s="4" t="s">
        <v>2147</v>
      </c>
      <c r="B126" s="4" t="s">
        <v>155</v>
      </c>
      <c r="C126" s="4">
        <v>5.2</v>
      </c>
      <c r="D126" s="6">
        <f t="shared" si="3"/>
        <v>1</v>
      </c>
      <c r="E126" s="4">
        <v>66376</v>
      </c>
      <c r="F126" s="4">
        <v>2021</v>
      </c>
    </row>
    <row r="127" spans="1:6" x14ac:dyDescent="0.35">
      <c r="A127" s="4" t="s">
        <v>971</v>
      </c>
      <c r="B127" s="4" t="s">
        <v>568</v>
      </c>
      <c r="C127" s="4">
        <v>4.5</v>
      </c>
      <c r="D127" s="6">
        <f t="shared" si="3"/>
        <v>493</v>
      </c>
      <c r="E127" s="4">
        <v>24338</v>
      </c>
      <c r="F127" s="4">
        <v>2021</v>
      </c>
    </row>
    <row r="128" spans="1:6" x14ac:dyDescent="0.35">
      <c r="A128" s="4" t="s">
        <v>100</v>
      </c>
      <c r="B128" s="4" t="s">
        <v>101</v>
      </c>
      <c r="C128" s="4">
        <v>1.9</v>
      </c>
      <c r="D128" s="6">
        <f t="shared" si="3"/>
        <v>845</v>
      </c>
      <c r="E128" s="4">
        <v>180273</v>
      </c>
      <c r="F128" s="4">
        <v>2021</v>
      </c>
    </row>
    <row r="129" spans="1:6" x14ac:dyDescent="0.35">
      <c r="A129" s="4" t="s">
        <v>1221</v>
      </c>
      <c r="B129" s="4" t="s">
        <v>1222</v>
      </c>
      <c r="C129" s="4">
        <v>4.7</v>
      </c>
      <c r="D129" s="6">
        <f t="shared" si="3"/>
        <v>375</v>
      </c>
      <c r="E129" s="4">
        <v>28236</v>
      </c>
      <c r="F129" s="4">
        <v>2021</v>
      </c>
    </row>
    <row r="130" spans="1:6" x14ac:dyDescent="0.35">
      <c r="A130" s="4" t="s">
        <v>725</v>
      </c>
      <c r="B130" s="4" t="s">
        <v>639</v>
      </c>
      <c r="C130" s="4">
        <v>4.2</v>
      </c>
      <c r="D130" s="6">
        <f t="shared" ref="D130:D193" si="4">_xlfn.RANK.EQ(C130, C130:C1129)</f>
        <v>601</v>
      </c>
      <c r="E130" s="4">
        <v>14639</v>
      </c>
      <c r="F130" s="4">
        <v>2021</v>
      </c>
    </row>
    <row r="131" spans="1:6" x14ac:dyDescent="0.35">
      <c r="A131" s="4" t="s">
        <v>440</v>
      </c>
      <c r="B131" s="4" t="s">
        <v>441</v>
      </c>
      <c r="C131" s="4">
        <v>3.6</v>
      </c>
      <c r="D131" s="6">
        <f t="shared" si="4"/>
        <v>723</v>
      </c>
      <c r="E131" s="4">
        <v>10390</v>
      </c>
      <c r="F131" s="4">
        <v>2021</v>
      </c>
    </row>
    <row r="132" spans="1:6" x14ac:dyDescent="0.35">
      <c r="A132" s="4" t="s">
        <v>1830</v>
      </c>
      <c r="B132" s="4" t="s">
        <v>14</v>
      </c>
      <c r="C132" s="4">
        <v>5</v>
      </c>
      <c r="D132" s="6">
        <f t="shared" si="4"/>
        <v>147</v>
      </c>
      <c r="E132" s="4">
        <v>11281</v>
      </c>
      <c r="F132" s="4">
        <v>2021</v>
      </c>
    </row>
    <row r="133" spans="1:6" x14ac:dyDescent="0.35">
      <c r="A133" s="4" t="s">
        <v>1601</v>
      </c>
      <c r="B133" s="4" t="s">
        <v>951</v>
      </c>
      <c r="C133" s="4">
        <v>4.9000000000000004</v>
      </c>
      <c r="D133" s="6">
        <f t="shared" si="4"/>
        <v>222</v>
      </c>
      <c r="E133" s="4">
        <v>21611</v>
      </c>
      <c r="F133" s="4">
        <v>2021</v>
      </c>
    </row>
    <row r="134" spans="1:6" x14ac:dyDescent="0.35">
      <c r="A134" s="4" t="s">
        <v>1155</v>
      </c>
      <c r="B134" s="4" t="s">
        <v>577</v>
      </c>
      <c r="C134" s="4">
        <v>4.5999999999999996</v>
      </c>
      <c r="D134" s="6">
        <f t="shared" si="4"/>
        <v>434</v>
      </c>
      <c r="E134" s="4">
        <v>10442</v>
      </c>
      <c r="F134" s="4">
        <v>2021</v>
      </c>
    </row>
    <row r="135" spans="1:6" x14ac:dyDescent="0.35">
      <c r="A135" s="4" t="s">
        <v>386</v>
      </c>
      <c r="B135" s="4" t="s">
        <v>172</v>
      </c>
      <c r="C135" s="4">
        <v>3.5</v>
      </c>
      <c r="D135" s="6">
        <f t="shared" si="4"/>
        <v>737</v>
      </c>
      <c r="E135" s="4">
        <v>14143</v>
      </c>
      <c r="F135" s="4">
        <v>2021</v>
      </c>
    </row>
    <row r="136" spans="1:6" x14ac:dyDescent="0.35">
      <c r="A136" s="4" t="s">
        <v>2051</v>
      </c>
      <c r="B136" s="4" t="s">
        <v>565</v>
      </c>
      <c r="C136" s="4">
        <v>5.0999999999999996</v>
      </c>
      <c r="D136" s="6">
        <f t="shared" si="4"/>
        <v>44</v>
      </c>
      <c r="E136" s="4">
        <v>12061</v>
      </c>
      <c r="F136" s="4">
        <v>2021</v>
      </c>
    </row>
    <row r="137" spans="1:6" x14ac:dyDescent="0.35">
      <c r="A137" s="4" t="s">
        <v>416</v>
      </c>
      <c r="B137" s="4" t="s">
        <v>193</v>
      </c>
      <c r="C137" s="4">
        <v>3.6</v>
      </c>
      <c r="D137" s="6">
        <f t="shared" si="4"/>
        <v>719</v>
      </c>
      <c r="E137" s="4">
        <v>20763</v>
      </c>
      <c r="F137" s="4">
        <v>2021</v>
      </c>
    </row>
    <row r="138" spans="1:6" x14ac:dyDescent="0.35">
      <c r="A138" s="4" t="s">
        <v>863</v>
      </c>
      <c r="B138" s="4" t="s">
        <v>116</v>
      </c>
      <c r="C138" s="4">
        <v>4.4000000000000004</v>
      </c>
      <c r="D138" s="6">
        <f t="shared" si="4"/>
        <v>527</v>
      </c>
      <c r="E138" s="4">
        <v>29652</v>
      </c>
      <c r="F138" s="4">
        <v>2021</v>
      </c>
    </row>
    <row r="139" spans="1:6" x14ac:dyDescent="0.35">
      <c r="A139" s="4" t="s">
        <v>334</v>
      </c>
      <c r="B139" s="4" t="s">
        <v>335</v>
      </c>
      <c r="C139" s="4">
        <v>3.3</v>
      </c>
      <c r="D139" s="6">
        <f t="shared" si="4"/>
        <v>760</v>
      </c>
      <c r="E139" s="4">
        <v>12139</v>
      </c>
      <c r="F139" s="4">
        <v>2021</v>
      </c>
    </row>
    <row r="140" spans="1:6" x14ac:dyDescent="0.35">
      <c r="A140" s="4" t="s">
        <v>2111</v>
      </c>
      <c r="B140" s="4" t="s">
        <v>101</v>
      </c>
      <c r="C140" s="4">
        <v>5.2</v>
      </c>
      <c r="D140" s="6">
        <f t="shared" si="4"/>
        <v>1</v>
      </c>
      <c r="E140" s="4">
        <v>166852</v>
      </c>
      <c r="F140" s="4">
        <v>2021</v>
      </c>
    </row>
    <row r="141" spans="1:6" x14ac:dyDescent="0.35">
      <c r="A141" s="4" t="s">
        <v>679</v>
      </c>
      <c r="B141" s="4" t="s">
        <v>584</v>
      </c>
      <c r="C141" s="4">
        <v>4.0999999999999996</v>
      </c>
      <c r="D141" s="6">
        <f t="shared" si="4"/>
        <v>624</v>
      </c>
      <c r="E141" s="4">
        <v>11634</v>
      </c>
      <c r="F141" s="4">
        <v>2021</v>
      </c>
    </row>
    <row r="142" spans="1:6" x14ac:dyDescent="0.35">
      <c r="A142" s="4" t="s">
        <v>507</v>
      </c>
      <c r="B142" s="4" t="s">
        <v>508</v>
      </c>
      <c r="C142" s="4">
        <v>3.8</v>
      </c>
      <c r="D142" s="6">
        <f t="shared" si="4"/>
        <v>681</v>
      </c>
      <c r="E142" s="4">
        <v>13929</v>
      </c>
      <c r="F142" s="4">
        <v>2021</v>
      </c>
    </row>
    <row r="143" spans="1:6" x14ac:dyDescent="0.35">
      <c r="A143" s="4" t="s">
        <v>171</v>
      </c>
      <c r="B143" s="4" t="s">
        <v>172</v>
      </c>
      <c r="C143" s="4">
        <v>2.5</v>
      </c>
      <c r="D143" s="6">
        <f t="shared" si="4"/>
        <v>811</v>
      </c>
      <c r="E143" s="4">
        <v>15382</v>
      </c>
      <c r="F143" s="4">
        <v>2021</v>
      </c>
    </row>
    <row r="144" spans="1:6" x14ac:dyDescent="0.35">
      <c r="A144" s="4" t="s">
        <v>840</v>
      </c>
      <c r="B144" s="4" t="s">
        <v>140</v>
      </c>
      <c r="C144" s="4">
        <v>4.4000000000000004</v>
      </c>
      <c r="D144" s="6">
        <f t="shared" si="4"/>
        <v>526</v>
      </c>
      <c r="E144" s="4">
        <v>47835</v>
      </c>
      <c r="F144" s="4">
        <v>2021</v>
      </c>
    </row>
    <row r="145" spans="1:6" x14ac:dyDescent="0.35">
      <c r="A145" s="4" t="s">
        <v>708</v>
      </c>
      <c r="B145" s="4" t="s">
        <v>709</v>
      </c>
      <c r="C145" s="4">
        <v>4.2</v>
      </c>
      <c r="D145" s="6">
        <f t="shared" si="4"/>
        <v>594</v>
      </c>
      <c r="E145" s="4">
        <v>25030</v>
      </c>
      <c r="F145" s="4">
        <v>2021</v>
      </c>
    </row>
    <row r="146" spans="1:6" x14ac:dyDescent="0.35">
      <c r="A146" s="4" t="s">
        <v>1588</v>
      </c>
      <c r="B146" s="4" t="s">
        <v>93</v>
      </c>
      <c r="C146" s="4">
        <v>4.9000000000000004</v>
      </c>
      <c r="D146" s="6">
        <f t="shared" si="4"/>
        <v>220</v>
      </c>
      <c r="E146" s="4">
        <v>26968</v>
      </c>
      <c r="F146" s="4">
        <v>2021</v>
      </c>
    </row>
    <row r="147" spans="1:6" x14ac:dyDescent="0.35">
      <c r="A147" s="4" t="s">
        <v>624</v>
      </c>
      <c r="B147" s="4" t="s">
        <v>125</v>
      </c>
      <c r="C147" s="4">
        <v>4</v>
      </c>
      <c r="D147" s="6">
        <f t="shared" si="4"/>
        <v>640</v>
      </c>
      <c r="E147" s="4">
        <v>10894</v>
      </c>
      <c r="F147" s="4">
        <v>2021</v>
      </c>
    </row>
    <row r="148" spans="1:6" x14ac:dyDescent="0.35">
      <c r="A148" s="4" t="s">
        <v>820</v>
      </c>
      <c r="B148" s="4" t="s">
        <v>56</v>
      </c>
      <c r="C148" s="4">
        <v>4.3</v>
      </c>
      <c r="D148" s="6">
        <f t="shared" si="4"/>
        <v>562</v>
      </c>
      <c r="E148" s="4">
        <v>10914</v>
      </c>
      <c r="F148" s="4">
        <v>2021</v>
      </c>
    </row>
    <row r="149" spans="1:6" x14ac:dyDescent="0.35">
      <c r="A149" s="4" t="s">
        <v>1409</v>
      </c>
      <c r="B149" s="4" t="s">
        <v>208</v>
      </c>
      <c r="C149" s="4">
        <v>4.8</v>
      </c>
      <c r="D149" s="6">
        <f t="shared" si="4"/>
        <v>285</v>
      </c>
      <c r="E149" s="4">
        <v>21536</v>
      </c>
      <c r="F149" s="4">
        <v>2021</v>
      </c>
    </row>
    <row r="150" spans="1:6" x14ac:dyDescent="0.35">
      <c r="A150" s="4" t="s">
        <v>33</v>
      </c>
      <c r="B150" s="4" t="s">
        <v>34</v>
      </c>
      <c r="C150" s="4">
        <v>1.2</v>
      </c>
      <c r="D150" s="6">
        <f t="shared" si="4"/>
        <v>845</v>
      </c>
      <c r="E150" s="4">
        <v>20687</v>
      </c>
      <c r="F150" s="4">
        <v>2021</v>
      </c>
    </row>
    <row r="151" spans="1:6" x14ac:dyDescent="0.35">
      <c r="A151" s="4" t="s">
        <v>1258</v>
      </c>
      <c r="B151" s="4" t="s">
        <v>1259</v>
      </c>
      <c r="C151" s="4">
        <v>4.7</v>
      </c>
      <c r="D151" s="6">
        <f t="shared" si="4"/>
        <v>369</v>
      </c>
      <c r="E151" s="4">
        <v>17665</v>
      </c>
      <c r="F151" s="4">
        <v>2020</v>
      </c>
    </row>
    <row r="152" spans="1:6" x14ac:dyDescent="0.35">
      <c r="A152" s="4" t="s">
        <v>1987</v>
      </c>
      <c r="B152" s="4" t="s">
        <v>1048</v>
      </c>
      <c r="C152" s="4">
        <v>5.0999999999999996</v>
      </c>
      <c r="D152" s="6">
        <f t="shared" si="4"/>
        <v>43</v>
      </c>
      <c r="E152" s="4">
        <v>18086</v>
      </c>
      <c r="F152" s="4">
        <v>2020</v>
      </c>
    </row>
    <row r="153" spans="1:6" x14ac:dyDescent="0.35">
      <c r="A153" s="4" t="s">
        <v>1450</v>
      </c>
      <c r="B153" s="4" t="s">
        <v>1451</v>
      </c>
      <c r="C153" s="4">
        <v>4.8</v>
      </c>
      <c r="D153" s="6">
        <f t="shared" si="4"/>
        <v>284</v>
      </c>
      <c r="E153" s="4">
        <v>15399</v>
      </c>
      <c r="F153" s="4">
        <v>2020</v>
      </c>
    </row>
    <row r="154" spans="1:6" x14ac:dyDescent="0.35">
      <c r="A154" s="4" t="s">
        <v>982</v>
      </c>
      <c r="B154" s="4" t="s">
        <v>983</v>
      </c>
      <c r="C154" s="4">
        <v>4.5</v>
      </c>
      <c r="D154" s="6">
        <f t="shared" si="4"/>
        <v>482</v>
      </c>
      <c r="E154" s="4">
        <v>18677</v>
      </c>
      <c r="F154" s="4">
        <v>2020</v>
      </c>
    </row>
    <row r="155" spans="1:6" x14ac:dyDescent="0.35">
      <c r="A155" s="4" t="s">
        <v>564</v>
      </c>
      <c r="B155" s="4" t="s">
        <v>565</v>
      </c>
      <c r="C155" s="4">
        <v>3.9</v>
      </c>
      <c r="D155" s="6">
        <f t="shared" si="4"/>
        <v>649</v>
      </c>
      <c r="E155" s="4">
        <v>16563</v>
      </c>
      <c r="F155" s="4">
        <v>2020</v>
      </c>
    </row>
    <row r="156" spans="1:6" x14ac:dyDescent="0.35">
      <c r="A156" s="4" t="s">
        <v>1443</v>
      </c>
      <c r="B156" s="4" t="s">
        <v>56</v>
      </c>
      <c r="C156" s="4">
        <v>4.8</v>
      </c>
      <c r="D156" s="6">
        <f t="shared" si="4"/>
        <v>284</v>
      </c>
      <c r="E156" s="4">
        <v>15773</v>
      </c>
      <c r="F156" s="4">
        <v>2020</v>
      </c>
    </row>
    <row r="157" spans="1:6" x14ac:dyDescent="0.35">
      <c r="A157" s="4" t="s">
        <v>889</v>
      </c>
      <c r="B157" s="4" t="s">
        <v>508</v>
      </c>
      <c r="C157" s="4">
        <v>4.4000000000000004</v>
      </c>
      <c r="D157" s="6">
        <f t="shared" si="4"/>
        <v>519</v>
      </c>
      <c r="E157" s="4">
        <v>16948</v>
      </c>
      <c r="F157" s="4">
        <v>2020</v>
      </c>
    </row>
    <row r="158" spans="1:6" x14ac:dyDescent="0.35">
      <c r="A158" s="4" t="s">
        <v>512</v>
      </c>
      <c r="B158" s="4" t="s">
        <v>56</v>
      </c>
      <c r="C158" s="4">
        <v>3.8</v>
      </c>
      <c r="D158" s="6">
        <f t="shared" si="4"/>
        <v>668</v>
      </c>
      <c r="E158" s="4">
        <v>12566</v>
      </c>
      <c r="F158" s="4">
        <v>2020</v>
      </c>
    </row>
    <row r="159" spans="1:6" x14ac:dyDescent="0.35">
      <c r="A159" s="4" t="s">
        <v>1102</v>
      </c>
      <c r="B159" s="4" t="s">
        <v>400</v>
      </c>
      <c r="C159" s="4">
        <v>4.5999999999999996</v>
      </c>
      <c r="D159" s="6">
        <f t="shared" si="4"/>
        <v>426</v>
      </c>
      <c r="E159" s="4">
        <v>17285</v>
      </c>
      <c r="F159" s="4">
        <v>2020</v>
      </c>
    </row>
    <row r="160" spans="1:6" x14ac:dyDescent="0.35">
      <c r="A160" s="4" t="s">
        <v>2073</v>
      </c>
      <c r="B160" s="4" t="s">
        <v>8</v>
      </c>
      <c r="C160" s="4">
        <v>5.0999999999999996</v>
      </c>
      <c r="D160" s="6">
        <f t="shared" si="4"/>
        <v>43</v>
      </c>
      <c r="E160" s="4">
        <v>10816</v>
      </c>
      <c r="F160" s="4">
        <v>2020</v>
      </c>
    </row>
    <row r="161" spans="1:6" x14ac:dyDescent="0.35">
      <c r="A161" s="4" t="s">
        <v>618</v>
      </c>
      <c r="B161" s="4" t="s">
        <v>568</v>
      </c>
      <c r="C161" s="4">
        <v>4</v>
      </c>
      <c r="D161" s="6">
        <f t="shared" si="4"/>
        <v>630</v>
      </c>
      <c r="E161" s="4">
        <v>12082</v>
      </c>
      <c r="F161" s="4">
        <v>2020</v>
      </c>
    </row>
    <row r="162" spans="1:6" x14ac:dyDescent="0.35">
      <c r="A162" s="4" t="s">
        <v>1484</v>
      </c>
      <c r="B162" s="4" t="s">
        <v>951</v>
      </c>
      <c r="C162" s="4">
        <v>4.8</v>
      </c>
      <c r="D162" s="6">
        <f t="shared" si="4"/>
        <v>283</v>
      </c>
      <c r="E162" s="4">
        <v>11904</v>
      </c>
      <c r="F162" s="4">
        <v>2020</v>
      </c>
    </row>
    <row r="163" spans="1:6" x14ac:dyDescent="0.35">
      <c r="A163" s="4" t="s">
        <v>358</v>
      </c>
      <c r="B163" s="4" t="s">
        <v>359</v>
      </c>
      <c r="C163" s="4">
        <v>3.4</v>
      </c>
      <c r="D163" s="6">
        <f t="shared" si="4"/>
        <v>727</v>
      </c>
      <c r="E163" s="4">
        <v>15510</v>
      </c>
      <c r="F163" s="4">
        <v>2020</v>
      </c>
    </row>
    <row r="164" spans="1:6" x14ac:dyDescent="0.35">
      <c r="A164" s="4" t="s">
        <v>1730</v>
      </c>
      <c r="B164" s="4" t="s">
        <v>1731</v>
      </c>
      <c r="C164" s="4">
        <v>5</v>
      </c>
      <c r="D164" s="6">
        <f t="shared" si="4"/>
        <v>143</v>
      </c>
      <c r="E164" s="4">
        <v>32153</v>
      </c>
      <c r="F164" s="4">
        <v>2020</v>
      </c>
    </row>
    <row r="165" spans="1:6" x14ac:dyDescent="0.35">
      <c r="A165" s="4" t="s">
        <v>25</v>
      </c>
      <c r="B165" s="4" t="s">
        <v>26</v>
      </c>
      <c r="C165" s="4">
        <v>1.2</v>
      </c>
      <c r="D165" s="6">
        <f t="shared" si="4"/>
        <v>831</v>
      </c>
      <c r="E165" s="4">
        <v>96853</v>
      </c>
      <c r="F165" s="4">
        <v>2020</v>
      </c>
    </row>
    <row r="166" spans="1:6" x14ac:dyDescent="0.35">
      <c r="A166" s="4" t="s">
        <v>749</v>
      </c>
      <c r="B166" s="4" t="s">
        <v>571</v>
      </c>
      <c r="C166" s="4">
        <v>4.2</v>
      </c>
      <c r="D166" s="6">
        <f t="shared" si="4"/>
        <v>581</v>
      </c>
      <c r="E166" s="4">
        <v>10034</v>
      </c>
      <c r="F166" s="4">
        <v>2020</v>
      </c>
    </row>
    <row r="167" spans="1:6" x14ac:dyDescent="0.35">
      <c r="A167" s="4" t="s">
        <v>1265</v>
      </c>
      <c r="B167" s="4" t="s">
        <v>172</v>
      </c>
      <c r="C167" s="4">
        <v>4.7</v>
      </c>
      <c r="D167" s="6">
        <f t="shared" si="4"/>
        <v>363</v>
      </c>
      <c r="E167" s="4">
        <v>15602</v>
      </c>
      <c r="F167" s="4">
        <v>2020</v>
      </c>
    </row>
    <row r="168" spans="1:6" x14ac:dyDescent="0.35">
      <c r="A168" s="4" t="s">
        <v>1629</v>
      </c>
      <c r="B168" s="4" t="s">
        <v>915</v>
      </c>
      <c r="C168" s="4">
        <v>4.9000000000000004</v>
      </c>
      <c r="D168" s="6">
        <f t="shared" si="4"/>
        <v>217</v>
      </c>
      <c r="E168" s="4">
        <v>14610</v>
      </c>
      <c r="F168" s="4">
        <v>2020</v>
      </c>
    </row>
    <row r="169" spans="1:6" x14ac:dyDescent="0.35">
      <c r="A169" s="4" t="s">
        <v>605</v>
      </c>
      <c r="B169" s="4" t="s">
        <v>606</v>
      </c>
      <c r="C169" s="4">
        <v>4</v>
      </c>
      <c r="D169" s="6">
        <f t="shared" si="4"/>
        <v>625</v>
      </c>
      <c r="E169" s="4">
        <v>19213</v>
      </c>
      <c r="F169" s="4">
        <v>2020</v>
      </c>
    </row>
    <row r="170" spans="1:6" x14ac:dyDescent="0.35">
      <c r="A170" s="4" t="s">
        <v>2139</v>
      </c>
      <c r="B170" s="4" t="s">
        <v>166</v>
      </c>
      <c r="C170" s="4">
        <v>5.2</v>
      </c>
      <c r="D170" s="6">
        <f t="shared" si="4"/>
        <v>1</v>
      </c>
      <c r="E170" s="4">
        <v>69645</v>
      </c>
      <c r="F170" s="4">
        <v>2020</v>
      </c>
    </row>
    <row r="171" spans="1:6" x14ac:dyDescent="0.35">
      <c r="A171" s="4" t="s">
        <v>1317</v>
      </c>
      <c r="B171" s="4" t="s">
        <v>208</v>
      </c>
      <c r="C171" s="4">
        <v>4.7</v>
      </c>
      <c r="D171" s="6">
        <f t="shared" si="4"/>
        <v>361</v>
      </c>
      <c r="E171" s="4">
        <v>10789</v>
      </c>
      <c r="F171" s="4">
        <v>2020</v>
      </c>
    </row>
    <row r="172" spans="1:6" x14ac:dyDescent="0.35">
      <c r="A172" s="4" t="s">
        <v>1267</v>
      </c>
      <c r="B172" s="4" t="s">
        <v>11</v>
      </c>
      <c r="C172" s="4">
        <v>4.7</v>
      </c>
      <c r="D172" s="6">
        <f t="shared" si="4"/>
        <v>361</v>
      </c>
      <c r="E172" s="4">
        <v>15510</v>
      </c>
      <c r="F172" s="4">
        <v>2020</v>
      </c>
    </row>
    <row r="173" spans="1:6" x14ac:dyDescent="0.35">
      <c r="A173" s="4" t="s">
        <v>168</v>
      </c>
      <c r="B173" s="4" t="s">
        <v>169</v>
      </c>
      <c r="C173" s="4">
        <v>2.5</v>
      </c>
      <c r="D173" s="6">
        <f t="shared" si="4"/>
        <v>784</v>
      </c>
      <c r="E173" s="4">
        <v>59055</v>
      </c>
      <c r="F173" s="4">
        <v>2020</v>
      </c>
    </row>
    <row r="174" spans="1:6" x14ac:dyDescent="0.35">
      <c r="A174" s="4" t="s">
        <v>180</v>
      </c>
      <c r="B174" s="4" t="s">
        <v>181</v>
      </c>
      <c r="C174" s="4">
        <v>2.5</v>
      </c>
      <c r="D174" s="6">
        <f t="shared" si="4"/>
        <v>784</v>
      </c>
      <c r="E174" s="4">
        <v>10132</v>
      </c>
      <c r="F174" s="4">
        <v>2020</v>
      </c>
    </row>
    <row r="175" spans="1:6" x14ac:dyDescent="0.35">
      <c r="A175" s="4" t="s">
        <v>418</v>
      </c>
      <c r="B175" s="4" t="s">
        <v>14</v>
      </c>
      <c r="C175" s="4">
        <v>3.6</v>
      </c>
      <c r="D175" s="6">
        <f t="shared" si="4"/>
        <v>689</v>
      </c>
      <c r="E175" s="4">
        <v>19147</v>
      </c>
      <c r="F175" s="4">
        <v>2020</v>
      </c>
    </row>
    <row r="176" spans="1:6" x14ac:dyDescent="0.35">
      <c r="A176" s="4" t="s">
        <v>258</v>
      </c>
      <c r="B176" s="4" t="s">
        <v>143</v>
      </c>
      <c r="C176" s="4">
        <v>2.9</v>
      </c>
      <c r="D176" s="6">
        <f t="shared" si="4"/>
        <v>759</v>
      </c>
      <c r="E176" s="4">
        <v>10685</v>
      </c>
      <c r="F176" s="4">
        <v>2020</v>
      </c>
    </row>
    <row r="177" spans="1:6" x14ac:dyDescent="0.35">
      <c r="A177" s="4" t="s">
        <v>1486</v>
      </c>
      <c r="B177" s="4" t="s">
        <v>93</v>
      </c>
      <c r="C177" s="4">
        <v>4.8</v>
      </c>
      <c r="D177" s="6">
        <f t="shared" si="4"/>
        <v>280</v>
      </c>
      <c r="E177" s="4">
        <v>11898</v>
      </c>
      <c r="F177" s="4">
        <v>2020</v>
      </c>
    </row>
    <row r="178" spans="1:6" x14ac:dyDescent="0.35">
      <c r="A178" s="4" t="s">
        <v>293</v>
      </c>
      <c r="B178" s="4" t="s">
        <v>294</v>
      </c>
      <c r="C178" s="4">
        <v>3.1</v>
      </c>
      <c r="D178" s="6">
        <f t="shared" si="4"/>
        <v>745</v>
      </c>
      <c r="E178" s="4">
        <v>19617</v>
      </c>
      <c r="F178" s="4">
        <v>2020</v>
      </c>
    </row>
    <row r="179" spans="1:6" x14ac:dyDescent="0.35">
      <c r="A179" s="4" t="s">
        <v>1119</v>
      </c>
      <c r="B179" s="4" t="s">
        <v>275</v>
      </c>
      <c r="C179" s="4">
        <v>4.5999999999999996</v>
      </c>
      <c r="D179" s="6">
        <f t="shared" si="4"/>
        <v>417</v>
      </c>
      <c r="E179" s="4">
        <v>13742</v>
      </c>
      <c r="F179" s="4">
        <v>2020</v>
      </c>
    </row>
    <row r="180" spans="1:6" x14ac:dyDescent="0.35">
      <c r="A180" s="4" t="s">
        <v>1544</v>
      </c>
      <c r="B180" s="4" t="s">
        <v>915</v>
      </c>
      <c r="C180" s="4">
        <v>4.9000000000000004</v>
      </c>
      <c r="D180" s="6">
        <f t="shared" si="4"/>
        <v>216</v>
      </c>
      <c r="E180" s="4">
        <v>60238</v>
      </c>
      <c r="F180" s="4">
        <v>2020</v>
      </c>
    </row>
    <row r="181" spans="1:6" x14ac:dyDescent="0.35">
      <c r="A181" s="4" t="s">
        <v>746</v>
      </c>
      <c r="B181" s="4" t="s">
        <v>747</v>
      </c>
      <c r="C181" s="4">
        <v>4.2</v>
      </c>
      <c r="D181" s="6">
        <f t="shared" si="4"/>
        <v>573</v>
      </c>
      <c r="E181" s="4">
        <v>10487</v>
      </c>
      <c r="F181" s="4">
        <v>2020</v>
      </c>
    </row>
    <row r="182" spans="1:6" x14ac:dyDescent="0.35">
      <c r="A182" s="4" t="s">
        <v>1633</v>
      </c>
      <c r="B182" s="4" t="s">
        <v>646</v>
      </c>
      <c r="C182" s="4">
        <v>4.9000000000000004</v>
      </c>
      <c r="D182" s="6">
        <f t="shared" si="4"/>
        <v>216</v>
      </c>
      <c r="E182" s="4">
        <v>14021</v>
      </c>
      <c r="F182" s="4">
        <v>2020</v>
      </c>
    </row>
    <row r="183" spans="1:6" x14ac:dyDescent="0.35">
      <c r="A183" s="4" t="s">
        <v>408</v>
      </c>
      <c r="B183" s="4" t="s">
        <v>14</v>
      </c>
      <c r="C183" s="4">
        <v>3.6</v>
      </c>
      <c r="D183" s="6">
        <f t="shared" si="4"/>
        <v>684</v>
      </c>
      <c r="E183" s="4">
        <v>32880</v>
      </c>
      <c r="F183" s="4">
        <v>2020</v>
      </c>
    </row>
    <row r="184" spans="1:6" x14ac:dyDescent="0.35">
      <c r="A184" s="4" t="s">
        <v>686</v>
      </c>
      <c r="B184" s="4" t="s">
        <v>181</v>
      </c>
      <c r="C184" s="4">
        <v>4.2</v>
      </c>
      <c r="D184" s="6">
        <f t="shared" si="4"/>
        <v>572</v>
      </c>
      <c r="E184" s="4">
        <v>74378</v>
      </c>
      <c r="F184" s="4">
        <v>2020</v>
      </c>
    </row>
    <row r="185" spans="1:6" x14ac:dyDescent="0.35">
      <c r="A185" s="4" t="s">
        <v>1242</v>
      </c>
      <c r="B185" s="4" t="s">
        <v>1243</v>
      </c>
      <c r="C185" s="4">
        <v>4.7</v>
      </c>
      <c r="D185" s="6">
        <f t="shared" si="4"/>
        <v>358</v>
      </c>
      <c r="E185" s="4">
        <v>23690</v>
      </c>
      <c r="F185" s="4">
        <v>2020</v>
      </c>
    </row>
    <row r="186" spans="1:6" x14ac:dyDescent="0.35">
      <c r="A186" s="4" t="s">
        <v>256</v>
      </c>
      <c r="B186" s="4" t="s">
        <v>155</v>
      </c>
      <c r="C186" s="4">
        <v>2.9</v>
      </c>
      <c r="D186" s="6">
        <f t="shared" si="4"/>
        <v>750</v>
      </c>
      <c r="E186" s="4">
        <v>20235</v>
      </c>
      <c r="F186" s="4">
        <v>2020</v>
      </c>
    </row>
    <row r="187" spans="1:6" x14ac:dyDescent="0.35">
      <c r="A187" s="4" t="s">
        <v>1245</v>
      </c>
      <c r="B187" s="4" t="s">
        <v>565</v>
      </c>
      <c r="C187" s="4">
        <v>4.7</v>
      </c>
      <c r="D187" s="6">
        <f t="shared" si="4"/>
        <v>358</v>
      </c>
      <c r="E187" s="4">
        <v>21253</v>
      </c>
      <c r="F187" s="4">
        <v>2020</v>
      </c>
    </row>
    <row r="188" spans="1:6" x14ac:dyDescent="0.35">
      <c r="A188" s="4" t="s">
        <v>133</v>
      </c>
      <c r="B188" s="4" t="s">
        <v>134</v>
      </c>
      <c r="C188" s="4">
        <v>2.2000000000000002</v>
      </c>
      <c r="D188" s="6">
        <f t="shared" si="4"/>
        <v>781</v>
      </c>
      <c r="E188" s="4">
        <v>14178</v>
      </c>
      <c r="F188" s="4">
        <v>2020</v>
      </c>
    </row>
    <row r="189" spans="1:6" x14ac:dyDescent="0.35">
      <c r="A189" s="4" t="s">
        <v>764</v>
      </c>
      <c r="B189" s="4" t="s">
        <v>90</v>
      </c>
      <c r="C189" s="4">
        <v>4.3</v>
      </c>
      <c r="D189" s="6">
        <f t="shared" si="4"/>
        <v>540</v>
      </c>
      <c r="E189" s="4">
        <v>30755</v>
      </c>
      <c r="F189" s="4">
        <v>2020</v>
      </c>
    </row>
    <row r="190" spans="1:6" x14ac:dyDescent="0.35">
      <c r="A190" s="4" t="s">
        <v>581</v>
      </c>
      <c r="B190" s="4" t="s">
        <v>116</v>
      </c>
      <c r="C190" s="4">
        <v>3.9</v>
      </c>
      <c r="D190" s="6">
        <f t="shared" si="4"/>
        <v>626</v>
      </c>
      <c r="E190" s="4">
        <v>11282</v>
      </c>
      <c r="F190" s="4">
        <v>2020</v>
      </c>
    </row>
    <row r="191" spans="1:6" x14ac:dyDescent="0.35">
      <c r="A191" s="4" t="s">
        <v>735</v>
      </c>
      <c r="B191" s="4" t="s">
        <v>736</v>
      </c>
      <c r="C191" s="4">
        <v>4.2</v>
      </c>
      <c r="D191" s="6">
        <f t="shared" si="4"/>
        <v>569</v>
      </c>
      <c r="E191" s="4">
        <v>12894</v>
      </c>
      <c r="F191" s="4">
        <v>2020</v>
      </c>
    </row>
    <row r="192" spans="1:6" x14ac:dyDescent="0.35">
      <c r="A192" s="4" t="s">
        <v>1906</v>
      </c>
      <c r="B192" s="4" t="s">
        <v>208</v>
      </c>
      <c r="C192" s="4">
        <v>5.0999999999999996</v>
      </c>
      <c r="D192" s="6">
        <f t="shared" si="4"/>
        <v>42</v>
      </c>
      <c r="E192" s="4">
        <v>40049</v>
      </c>
      <c r="F192" s="4">
        <v>2020</v>
      </c>
    </row>
    <row r="193" spans="1:6" x14ac:dyDescent="0.35">
      <c r="A193" s="4" t="s">
        <v>723</v>
      </c>
      <c r="B193" s="4" t="s">
        <v>249</v>
      </c>
      <c r="C193" s="4">
        <v>4.2</v>
      </c>
      <c r="D193" s="6">
        <f t="shared" si="4"/>
        <v>568</v>
      </c>
      <c r="E193" s="4">
        <v>16219</v>
      </c>
      <c r="F193" s="4">
        <v>2020</v>
      </c>
    </row>
    <row r="194" spans="1:6" x14ac:dyDescent="0.35">
      <c r="A194" s="4" t="s">
        <v>675</v>
      </c>
      <c r="B194" s="4" t="s">
        <v>669</v>
      </c>
      <c r="C194" s="4">
        <v>4.0999999999999996</v>
      </c>
      <c r="D194" s="6">
        <f t="shared" ref="D194:D257" si="5">_xlfn.RANK.EQ(C194, C194:C1193)</f>
        <v>591</v>
      </c>
      <c r="E194" s="4">
        <v>11817</v>
      </c>
      <c r="F194" s="4">
        <v>2020</v>
      </c>
    </row>
    <row r="195" spans="1:6" x14ac:dyDescent="0.35">
      <c r="A195" s="4" t="s">
        <v>318</v>
      </c>
      <c r="B195" s="4" t="s">
        <v>208</v>
      </c>
      <c r="C195" s="4">
        <v>3.3</v>
      </c>
      <c r="D195" s="6">
        <f t="shared" si="5"/>
        <v>714</v>
      </c>
      <c r="E195" s="4">
        <v>101121</v>
      </c>
      <c r="F195" s="4">
        <v>2020</v>
      </c>
    </row>
    <row r="196" spans="1:6" x14ac:dyDescent="0.35">
      <c r="A196" s="4" t="s">
        <v>13</v>
      </c>
      <c r="B196" s="4" t="s">
        <v>14</v>
      </c>
      <c r="C196" s="4">
        <v>1</v>
      </c>
      <c r="D196" s="6">
        <f t="shared" si="5"/>
        <v>804</v>
      </c>
      <c r="E196" s="4">
        <v>10215</v>
      </c>
      <c r="F196" s="4">
        <v>2020</v>
      </c>
    </row>
    <row r="197" spans="1:6" x14ac:dyDescent="0.35">
      <c r="A197" s="4">
        <v>2067</v>
      </c>
      <c r="B197" s="4" t="s">
        <v>1654</v>
      </c>
      <c r="C197" s="4">
        <v>4.9000000000000004</v>
      </c>
      <c r="D197" s="6">
        <f t="shared" si="5"/>
        <v>215</v>
      </c>
      <c r="E197" s="4">
        <v>12090</v>
      </c>
      <c r="F197" s="4">
        <v>2020</v>
      </c>
    </row>
    <row r="198" spans="1:6" x14ac:dyDescent="0.35">
      <c r="A198" s="4" t="s">
        <v>651</v>
      </c>
      <c r="B198" s="4" t="s">
        <v>565</v>
      </c>
      <c r="C198" s="4">
        <v>4.0999999999999996</v>
      </c>
      <c r="D198" s="6">
        <f t="shared" si="5"/>
        <v>590</v>
      </c>
      <c r="E198" s="4">
        <v>22267</v>
      </c>
      <c r="F198" s="4">
        <v>2019</v>
      </c>
    </row>
    <row r="199" spans="1:6" x14ac:dyDescent="0.35">
      <c r="A199" s="4" t="s">
        <v>620</v>
      </c>
      <c r="B199" s="4" t="s">
        <v>294</v>
      </c>
      <c r="C199" s="4">
        <v>4</v>
      </c>
      <c r="D199" s="6">
        <f t="shared" si="5"/>
        <v>607</v>
      </c>
      <c r="E199" s="4">
        <v>12059</v>
      </c>
      <c r="F199" s="4">
        <v>2019</v>
      </c>
    </row>
    <row r="200" spans="1:6" x14ac:dyDescent="0.35">
      <c r="A200" s="4" t="s">
        <v>1496</v>
      </c>
      <c r="B200" s="4" t="s">
        <v>577</v>
      </c>
      <c r="C200" s="4">
        <v>4.8</v>
      </c>
      <c r="D200" s="6">
        <f t="shared" si="5"/>
        <v>276</v>
      </c>
      <c r="E200" s="4">
        <v>11449</v>
      </c>
      <c r="F200" s="4">
        <v>2019</v>
      </c>
    </row>
    <row r="201" spans="1:6" x14ac:dyDescent="0.35">
      <c r="A201" s="4" t="s">
        <v>1513</v>
      </c>
      <c r="B201" s="4" t="s">
        <v>1514</v>
      </c>
      <c r="C201" s="4">
        <v>4.8</v>
      </c>
      <c r="D201" s="6">
        <f t="shared" si="5"/>
        <v>276</v>
      </c>
      <c r="E201" s="4">
        <v>10405</v>
      </c>
      <c r="F201" s="4">
        <v>2019</v>
      </c>
    </row>
    <row r="202" spans="1:6" x14ac:dyDescent="0.35">
      <c r="A202" s="4" t="s">
        <v>588</v>
      </c>
      <c r="B202" s="4" t="s">
        <v>93</v>
      </c>
      <c r="C202" s="4">
        <v>4</v>
      </c>
      <c r="D202" s="6">
        <f t="shared" si="5"/>
        <v>605</v>
      </c>
      <c r="E202" s="4">
        <v>267936</v>
      </c>
      <c r="F202" s="4">
        <v>2019</v>
      </c>
    </row>
    <row r="203" spans="1:6" x14ac:dyDescent="0.35">
      <c r="A203" s="4" t="s">
        <v>1253</v>
      </c>
      <c r="B203" s="4" t="s">
        <v>1254</v>
      </c>
      <c r="C203" s="4">
        <v>4.7</v>
      </c>
      <c r="D203" s="6">
        <f t="shared" si="5"/>
        <v>354</v>
      </c>
      <c r="E203" s="4">
        <v>19875</v>
      </c>
      <c r="F203" s="4">
        <v>2019</v>
      </c>
    </row>
    <row r="204" spans="1:6" x14ac:dyDescent="0.35">
      <c r="A204" s="4" t="s">
        <v>858</v>
      </c>
      <c r="B204" s="4" t="s">
        <v>859</v>
      </c>
      <c r="C204" s="4">
        <v>4.4000000000000004</v>
      </c>
      <c r="D204" s="6">
        <f t="shared" si="5"/>
        <v>499</v>
      </c>
      <c r="E204" s="4">
        <v>30284</v>
      </c>
      <c r="F204" s="4">
        <v>2019</v>
      </c>
    </row>
    <row r="205" spans="1:6" x14ac:dyDescent="0.35">
      <c r="A205" s="4" t="s">
        <v>668</v>
      </c>
      <c r="B205" s="4" t="s">
        <v>669</v>
      </c>
      <c r="C205" s="4">
        <v>4.0999999999999996</v>
      </c>
      <c r="D205" s="6">
        <f t="shared" si="5"/>
        <v>586</v>
      </c>
      <c r="E205" s="4">
        <v>12749</v>
      </c>
      <c r="F205" s="4">
        <v>2019</v>
      </c>
    </row>
    <row r="206" spans="1:6" x14ac:dyDescent="0.35">
      <c r="A206" s="4" t="s">
        <v>1488</v>
      </c>
      <c r="B206" s="4" t="s">
        <v>56</v>
      </c>
      <c r="C206" s="4">
        <v>4.8</v>
      </c>
      <c r="D206" s="6">
        <f t="shared" si="5"/>
        <v>276</v>
      </c>
      <c r="E206" s="4">
        <v>11849</v>
      </c>
      <c r="F206" s="4">
        <v>2019</v>
      </c>
    </row>
    <row r="207" spans="1:6" x14ac:dyDescent="0.35">
      <c r="A207" s="4" t="s">
        <v>124</v>
      </c>
      <c r="B207" s="4" t="s">
        <v>125</v>
      </c>
      <c r="C207" s="4">
        <v>2.2000000000000002</v>
      </c>
      <c r="D207" s="6">
        <f t="shared" si="5"/>
        <v>764</v>
      </c>
      <c r="E207" s="4">
        <v>22954</v>
      </c>
      <c r="F207" s="4">
        <v>2019</v>
      </c>
    </row>
    <row r="208" spans="1:6" x14ac:dyDescent="0.35">
      <c r="A208" s="4" t="s">
        <v>967</v>
      </c>
      <c r="B208" s="4" t="s">
        <v>508</v>
      </c>
      <c r="C208" s="4">
        <v>4.5</v>
      </c>
      <c r="D208" s="6">
        <f t="shared" si="5"/>
        <v>460</v>
      </c>
      <c r="E208" s="4">
        <v>24829</v>
      </c>
      <c r="F208" s="4">
        <v>2019</v>
      </c>
    </row>
    <row r="209" spans="1:6" x14ac:dyDescent="0.35">
      <c r="A209" s="4" t="s">
        <v>1944</v>
      </c>
      <c r="B209" s="4" t="s">
        <v>294</v>
      </c>
      <c r="C209" s="4">
        <v>5.0999999999999996</v>
      </c>
      <c r="D209" s="6">
        <f t="shared" si="5"/>
        <v>42</v>
      </c>
      <c r="E209" s="4">
        <v>24451</v>
      </c>
      <c r="F209" s="4">
        <v>2019</v>
      </c>
    </row>
    <row r="210" spans="1:6" x14ac:dyDescent="0.35">
      <c r="A210" s="4" t="s">
        <v>234</v>
      </c>
      <c r="B210" s="4" t="s">
        <v>208</v>
      </c>
      <c r="C210" s="4">
        <v>2.8</v>
      </c>
      <c r="D210" s="6">
        <f t="shared" si="5"/>
        <v>734</v>
      </c>
      <c r="E210" s="4">
        <v>15791</v>
      </c>
      <c r="F210" s="4">
        <v>2019</v>
      </c>
    </row>
    <row r="211" spans="1:6" x14ac:dyDescent="0.35">
      <c r="A211" s="4" t="s">
        <v>1656</v>
      </c>
      <c r="B211" s="4" t="s">
        <v>294</v>
      </c>
      <c r="C211" s="4">
        <v>4.9000000000000004</v>
      </c>
      <c r="D211" s="6">
        <f t="shared" si="5"/>
        <v>214</v>
      </c>
      <c r="E211" s="4">
        <v>11630</v>
      </c>
      <c r="F211" s="4">
        <v>2019</v>
      </c>
    </row>
    <row r="212" spans="1:6" x14ac:dyDescent="0.35">
      <c r="A212" s="4" t="s">
        <v>1998</v>
      </c>
      <c r="B212" s="4" t="s">
        <v>44</v>
      </c>
      <c r="C212" s="4">
        <v>5.0999999999999996</v>
      </c>
      <c r="D212" s="6">
        <f t="shared" si="5"/>
        <v>42</v>
      </c>
      <c r="E212" s="4">
        <v>16869</v>
      </c>
      <c r="F212" s="4">
        <v>2019</v>
      </c>
    </row>
    <row r="213" spans="1:6" x14ac:dyDescent="0.35">
      <c r="A213" s="4" t="s">
        <v>914</v>
      </c>
      <c r="B213" s="4" t="s">
        <v>915</v>
      </c>
      <c r="C213" s="4">
        <v>4.4000000000000004</v>
      </c>
      <c r="D213" s="6">
        <f t="shared" si="5"/>
        <v>494</v>
      </c>
      <c r="E213" s="4">
        <v>11206</v>
      </c>
      <c r="F213" s="4">
        <v>2019</v>
      </c>
    </row>
    <row r="214" spans="1:6" x14ac:dyDescent="0.35">
      <c r="A214" s="4" t="s">
        <v>626</v>
      </c>
      <c r="B214" s="4" t="s">
        <v>462</v>
      </c>
      <c r="C214" s="4">
        <v>4</v>
      </c>
      <c r="D214" s="6">
        <f t="shared" si="5"/>
        <v>596</v>
      </c>
      <c r="E214" s="4">
        <v>10435</v>
      </c>
      <c r="F214" s="4">
        <v>2019</v>
      </c>
    </row>
    <row r="215" spans="1:6" x14ac:dyDescent="0.35">
      <c r="A215" s="4" t="s">
        <v>422</v>
      </c>
      <c r="B215" s="4" t="s">
        <v>208</v>
      </c>
      <c r="C215" s="4">
        <v>3.6</v>
      </c>
      <c r="D215" s="6">
        <f t="shared" si="5"/>
        <v>659</v>
      </c>
      <c r="E215" s="4">
        <v>17299</v>
      </c>
      <c r="F215" s="4">
        <v>2019</v>
      </c>
    </row>
    <row r="216" spans="1:6" x14ac:dyDescent="0.35">
      <c r="A216" s="4" t="s">
        <v>399</v>
      </c>
      <c r="B216" s="4" t="s">
        <v>400</v>
      </c>
      <c r="C216" s="4">
        <v>3.5</v>
      </c>
      <c r="D216" s="6">
        <f t="shared" si="5"/>
        <v>672</v>
      </c>
      <c r="E216" s="4">
        <v>10590</v>
      </c>
      <c r="F216" s="4">
        <v>2019</v>
      </c>
    </row>
    <row r="217" spans="1:6" x14ac:dyDescent="0.35">
      <c r="A217" s="4" t="s">
        <v>1816</v>
      </c>
      <c r="B217" s="4" t="s">
        <v>178</v>
      </c>
      <c r="C217" s="4">
        <v>5</v>
      </c>
      <c r="D217" s="6">
        <f t="shared" si="5"/>
        <v>139</v>
      </c>
      <c r="E217" s="4">
        <v>12014</v>
      </c>
      <c r="F217" s="4">
        <v>2019</v>
      </c>
    </row>
    <row r="218" spans="1:6" x14ac:dyDescent="0.35">
      <c r="A218" s="4" t="s">
        <v>1366</v>
      </c>
      <c r="B218" s="4" t="s">
        <v>560</v>
      </c>
      <c r="C218" s="4">
        <v>4.8</v>
      </c>
      <c r="D218" s="6">
        <f t="shared" si="5"/>
        <v>272</v>
      </c>
      <c r="E218" s="4">
        <v>36718</v>
      </c>
      <c r="F218" s="4">
        <v>2019</v>
      </c>
    </row>
    <row r="219" spans="1:6" x14ac:dyDescent="0.35">
      <c r="A219" s="4" t="s">
        <v>429</v>
      </c>
      <c r="B219" s="4" t="s">
        <v>125</v>
      </c>
      <c r="C219" s="4">
        <v>3.6</v>
      </c>
      <c r="D219" s="6">
        <f t="shared" si="5"/>
        <v>657</v>
      </c>
      <c r="E219" s="4">
        <v>14588</v>
      </c>
      <c r="F219" s="4">
        <v>2019</v>
      </c>
    </row>
    <row r="220" spans="1:6" x14ac:dyDescent="0.35">
      <c r="A220" s="4" t="s">
        <v>197</v>
      </c>
      <c r="B220" s="4" t="s">
        <v>198</v>
      </c>
      <c r="C220" s="4">
        <v>2.6</v>
      </c>
      <c r="D220" s="6">
        <f t="shared" si="5"/>
        <v>737</v>
      </c>
      <c r="E220" s="4">
        <v>23076</v>
      </c>
      <c r="F220" s="4">
        <v>2019</v>
      </c>
    </row>
    <row r="221" spans="1:6" x14ac:dyDescent="0.35">
      <c r="A221" s="4" t="s">
        <v>1303</v>
      </c>
      <c r="B221" s="4" t="s">
        <v>565</v>
      </c>
      <c r="C221" s="4">
        <v>4.7</v>
      </c>
      <c r="D221" s="6">
        <f t="shared" si="5"/>
        <v>348</v>
      </c>
      <c r="E221" s="4">
        <v>11364</v>
      </c>
      <c r="F221" s="4">
        <v>2019</v>
      </c>
    </row>
    <row r="222" spans="1:6" x14ac:dyDescent="0.35">
      <c r="A222" s="4" t="s">
        <v>879</v>
      </c>
      <c r="B222" s="4" t="s">
        <v>736</v>
      </c>
      <c r="C222" s="4">
        <v>4.4000000000000004</v>
      </c>
      <c r="D222" s="6">
        <f t="shared" si="5"/>
        <v>491</v>
      </c>
      <c r="E222" s="4">
        <v>21193</v>
      </c>
      <c r="F222" s="4">
        <v>2019</v>
      </c>
    </row>
    <row r="223" spans="1:6" x14ac:dyDescent="0.35">
      <c r="A223" s="4" t="s">
        <v>887</v>
      </c>
      <c r="B223" s="4" t="s">
        <v>101</v>
      </c>
      <c r="C223" s="4">
        <v>4.4000000000000004</v>
      </c>
      <c r="D223" s="6">
        <f t="shared" si="5"/>
        <v>491</v>
      </c>
      <c r="E223" s="4">
        <v>17631</v>
      </c>
      <c r="F223" s="4">
        <v>2019</v>
      </c>
    </row>
    <row r="224" spans="1:6" x14ac:dyDescent="0.35">
      <c r="A224" s="4" t="s">
        <v>783</v>
      </c>
      <c r="B224" s="4" t="s">
        <v>784</v>
      </c>
      <c r="C224" s="4">
        <v>4.3</v>
      </c>
      <c r="D224" s="6">
        <f t="shared" si="5"/>
        <v>523</v>
      </c>
      <c r="E224" s="4">
        <v>20092</v>
      </c>
      <c r="F224" s="4">
        <v>2019</v>
      </c>
    </row>
    <row r="225" spans="1:6" x14ac:dyDescent="0.35">
      <c r="A225" s="4" t="s">
        <v>521</v>
      </c>
      <c r="B225" s="4" t="s">
        <v>122</v>
      </c>
      <c r="C225" s="4">
        <v>3.8</v>
      </c>
      <c r="D225" s="6">
        <f t="shared" si="5"/>
        <v>620</v>
      </c>
      <c r="E225" s="4">
        <v>10644</v>
      </c>
      <c r="F225" s="4">
        <v>2019</v>
      </c>
    </row>
    <row r="226" spans="1:6" x14ac:dyDescent="0.35">
      <c r="A226" s="4" t="s">
        <v>272</v>
      </c>
      <c r="B226" s="4" t="s">
        <v>146</v>
      </c>
      <c r="C226" s="4">
        <v>3</v>
      </c>
      <c r="D226" s="6">
        <f t="shared" si="5"/>
        <v>708</v>
      </c>
      <c r="E226" s="4">
        <v>20580</v>
      </c>
      <c r="F226" s="4">
        <v>2019</v>
      </c>
    </row>
    <row r="227" spans="1:6" x14ac:dyDescent="0.35">
      <c r="A227" s="4" t="s">
        <v>903</v>
      </c>
      <c r="B227" s="4" t="s">
        <v>606</v>
      </c>
      <c r="C227" s="4">
        <v>4.4000000000000004</v>
      </c>
      <c r="D227" s="6">
        <f t="shared" si="5"/>
        <v>491</v>
      </c>
      <c r="E227" s="4">
        <v>13639</v>
      </c>
      <c r="F227" s="4">
        <v>2019</v>
      </c>
    </row>
    <row r="228" spans="1:6" x14ac:dyDescent="0.35">
      <c r="A228" s="4" t="s">
        <v>1683</v>
      </c>
      <c r="B228" s="4" t="s">
        <v>178</v>
      </c>
      <c r="C228" s="4">
        <v>5</v>
      </c>
      <c r="D228" s="6">
        <f t="shared" si="5"/>
        <v>139</v>
      </c>
      <c r="E228" s="4">
        <v>81360</v>
      </c>
      <c r="F228" s="4">
        <v>2019</v>
      </c>
    </row>
    <row r="229" spans="1:6" x14ac:dyDescent="0.35">
      <c r="A229" s="4" t="s">
        <v>231</v>
      </c>
      <c r="B229" s="4" t="s">
        <v>232</v>
      </c>
      <c r="C229" s="4">
        <v>2.8</v>
      </c>
      <c r="D229" s="6">
        <f t="shared" si="5"/>
        <v>717</v>
      </c>
      <c r="E229" s="4">
        <v>56736</v>
      </c>
      <c r="F229" s="4">
        <v>2019</v>
      </c>
    </row>
    <row r="230" spans="1:6" x14ac:dyDescent="0.35">
      <c r="A230" s="4" t="s">
        <v>380</v>
      </c>
      <c r="B230" s="4" t="s">
        <v>175</v>
      </c>
      <c r="C230" s="4">
        <v>3.5</v>
      </c>
      <c r="D230" s="6">
        <f t="shared" si="5"/>
        <v>662</v>
      </c>
      <c r="E230" s="4">
        <v>19518</v>
      </c>
      <c r="F230" s="4">
        <v>2019</v>
      </c>
    </row>
    <row r="231" spans="1:6" x14ac:dyDescent="0.35">
      <c r="A231" s="4" t="s">
        <v>1208</v>
      </c>
      <c r="B231" s="4" t="s">
        <v>125</v>
      </c>
      <c r="C231" s="4">
        <v>4.7</v>
      </c>
      <c r="D231" s="6">
        <f t="shared" si="5"/>
        <v>347</v>
      </c>
      <c r="E231" s="4">
        <v>32768</v>
      </c>
      <c r="F231" s="4">
        <v>2019</v>
      </c>
    </row>
    <row r="232" spans="1:6" x14ac:dyDescent="0.35">
      <c r="A232" s="4" t="s">
        <v>406</v>
      </c>
      <c r="B232" s="4" t="s">
        <v>275</v>
      </c>
      <c r="C232" s="4">
        <v>3.6</v>
      </c>
      <c r="D232" s="6">
        <f t="shared" si="5"/>
        <v>649</v>
      </c>
      <c r="E232" s="4">
        <v>46875</v>
      </c>
      <c r="F232" s="4">
        <v>2019</v>
      </c>
    </row>
    <row r="233" spans="1:6" x14ac:dyDescent="0.35">
      <c r="A233" s="4" t="s">
        <v>1518</v>
      </c>
      <c r="B233" s="4" t="s">
        <v>175</v>
      </c>
      <c r="C233" s="4">
        <v>4.8</v>
      </c>
      <c r="D233" s="6">
        <f t="shared" si="5"/>
        <v>271</v>
      </c>
      <c r="E233" s="4">
        <v>10219</v>
      </c>
      <c r="F233" s="4">
        <v>2019</v>
      </c>
    </row>
    <row r="234" spans="1:6" x14ac:dyDescent="0.35">
      <c r="A234" s="4" t="s">
        <v>1733</v>
      </c>
      <c r="B234" s="4" t="s">
        <v>1734</v>
      </c>
      <c r="C234" s="4">
        <v>5</v>
      </c>
      <c r="D234" s="6">
        <f t="shared" si="5"/>
        <v>139</v>
      </c>
      <c r="E234" s="4">
        <v>31684</v>
      </c>
      <c r="F234" s="4">
        <v>2019</v>
      </c>
    </row>
    <row r="235" spans="1:6" x14ac:dyDescent="0.35">
      <c r="A235" s="4" t="s">
        <v>330</v>
      </c>
      <c r="B235" s="4" t="s">
        <v>11</v>
      </c>
      <c r="C235" s="4">
        <v>3.3</v>
      </c>
      <c r="D235" s="6">
        <f t="shared" si="5"/>
        <v>681</v>
      </c>
      <c r="E235" s="4">
        <v>13339</v>
      </c>
      <c r="F235" s="4">
        <v>2018</v>
      </c>
    </row>
    <row r="236" spans="1:6" x14ac:dyDescent="0.35">
      <c r="A236" s="4" t="s">
        <v>2145</v>
      </c>
      <c r="B236" s="4" t="s">
        <v>175</v>
      </c>
      <c r="C236" s="4">
        <v>5.2</v>
      </c>
      <c r="D236" s="6">
        <f t="shared" si="5"/>
        <v>1</v>
      </c>
      <c r="E236" s="4">
        <v>67262</v>
      </c>
      <c r="F236" s="4">
        <v>2018</v>
      </c>
    </row>
    <row r="237" spans="1:6" x14ac:dyDescent="0.35">
      <c r="A237" s="4" t="s">
        <v>664</v>
      </c>
      <c r="B237" s="4" t="s">
        <v>166</v>
      </c>
      <c r="C237" s="4">
        <v>4.0999999999999996</v>
      </c>
      <c r="D237" s="6">
        <f t="shared" si="5"/>
        <v>568</v>
      </c>
      <c r="E237" s="4">
        <v>15709</v>
      </c>
      <c r="F237" s="4">
        <v>2018</v>
      </c>
    </row>
    <row r="238" spans="1:6" x14ac:dyDescent="0.35">
      <c r="A238" s="4" t="s">
        <v>653</v>
      </c>
      <c r="B238" s="4" t="s">
        <v>654</v>
      </c>
      <c r="C238" s="4">
        <v>4.0999999999999996</v>
      </c>
      <c r="D238" s="6">
        <f t="shared" si="5"/>
        <v>568</v>
      </c>
      <c r="E238" s="4">
        <v>22226</v>
      </c>
      <c r="F238" s="4">
        <v>2018</v>
      </c>
    </row>
    <row r="239" spans="1:6" x14ac:dyDescent="0.35">
      <c r="A239" s="4" t="s">
        <v>1372</v>
      </c>
      <c r="B239" s="4" t="s">
        <v>933</v>
      </c>
      <c r="C239" s="4">
        <v>4.8</v>
      </c>
      <c r="D239" s="6">
        <f t="shared" si="5"/>
        <v>269</v>
      </c>
      <c r="E239" s="4">
        <v>33903</v>
      </c>
      <c r="F239" s="4">
        <v>2018</v>
      </c>
    </row>
    <row r="240" spans="1:6" x14ac:dyDescent="0.35">
      <c r="A240" s="4" t="s">
        <v>326</v>
      </c>
      <c r="B240" s="4" t="s">
        <v>82</v>
      </c>
      <c r="C240" s="4">
        <v>3.3</v>
      </c>
      <c r="D240" s="6">
        <f t="shared" si="5"/>
        <v>677</v>
      </c>
      <c r="E240" s="4">
        <v>37715</v>
      </c>
      <c r="F240" s="4">
        <v>2018</v>
      </c>
    </row>
    <row r="241" spans="1:6" x14ac:dyDescent="0.35">
      <c r="A241" s="4" t="s">
        <v>1661</v>
      </c>
      <c r="B241" s="4" t="s">
        <v>1662</v>
      </c>
      <c r="C241" s="4">
        <v>4.9000000000000004</v>
      </c>
      <c r="D241" s="6">
        <f t="shared" si="5"/>
        <v>209</v>
      </c>
      <c r="E241" s="4">
        <v>11544</v>
      </c>
      <c r="F241" s="4">
        <v>2018</v>
      </c>
    </row>
    <row r="242" spans="1:6" x14ac:dyDescent="0.35">
      <c r="A242" s="4" t="s">
        <v>1958</v>
      </c>
      <c r="B242" s="4" t="s">
        <v>275</v>
      </c>
      <c r="C242" s="4">
        <v>5.0999999999999996</v>
      </c>
      <c r="D242" s="6">
        <f t="shared" si="5"/>
        <v>41</v>
      </c>
      <c r="E242" s="4">
        <v>22787</v>
      </c>
      <c r="F242" s="4">
        <v>2018</v>
      </c>
    </row>
    <row r="243" spans="1:6" x14ac:dyDescent="0.35">
      <c r="A243" s="4" t="s">
        <v>2131</v>
      </c>
      <c r="B243" s="4" t="s">
        <v>155</v>
      </c>
      <c r="C243" s="4">
        <v>5.2</v>
      </c>
      <c r="D243" s="6">
        <f t="shared" si="5"/>
        <v>1</v>
      </c>
      <c r="E243" s="4">
        <v>73638</v>
      </c>
      <c r="F243" s="4">
        <v>2018</v>
      </c>
    </row>
    <row r="244" spans="1:6" x14ac:dyDescent="0.35">
      <c r="A244" s="4" t="s">
        <v>1141</v>
      </c>
      <c r="B244" s="4" t="s">
        <v>146</v>
      </c>
      <c r="C244" s="4">
        <v>4.5999999999999996</v>
      </c>
      <c r="D244" s="6">
        <f t="shared" si="5"/>
        <v>392</v>
      </c>
      <c r="E244" s="4">
        <v>11123</v>
      </c>
      <c r="F244" s="4">
        <v>2018</v>
      </c>
    </row>
    <row r="245" spans="1:6" x14ac:dyDescent="0.35">
      <c r="A245" s="4" t="s">
        <v>236</v>
      </c>
      <c r="B245" s="4" t="s">
        <v>116</v>
      </c>
      <c r="C245" s="4">
        <v>2.8</v>
      </c>
      <c r="D245" s="6">
        <f t="shared" si="5"/>
        <v>702</v>
      </c>
      <c r="E245" s="4">
        <v>12870</v>
      </c>
      <c r="F245" s="4">
        <v>2018</v>
      </c>
    </row>
    <row r="246" spans="1:6" x14ac:dyDescent="0.35">
      <c r="A246" s="4" t="s">
        <v>324</v>
      </c>
      <c r="B246" s="4" t="s">
        <v>175</v>
      </c>
      <c r="C246" s="4">
        <v>3.3</v>
      </c>
      <c r="D246" s="6">
        <f t="shared" si="5"/>
        <v>673</v>
      </c>
      <c r="E246" s="4">
        <v>39628</v>
      </c>
      <c r="F246" s="4">
        <v>2018</v>
      </c>
    </row>
    <row r="247" spans="1:6" x14ac:dyDescent="0.35">
      <c r="A247" s="4" t="s">
        <v>790</v>
      </c>
      <c r="B247" s="4" t="s">
        <v>791</v>
      </c>
      <c r="C247" s="4">
        <v>4.3</v>
      </c>
      <c r="D247" s="6">
        <f t="shared" si="5"/>
        <v>512</v>
      </c>
      <c r="E247" s="4">
        <v>17474</v>
      </c>
      <c r="F247" s="4">
        <v>2018</v>
      </c>
    </row>
    <row r="248" spans="1:6" x14ac:dyDescent="0.35">
      <c r="A248" s="4" t="s">
        <v>106</v>
      </c>
      <c r="B248" s="4" t="s">
        <v>101</v>
      </c>
      <c r="C248" s="4">
        <v>1.9</v>
      </c>
      <c r="D248" s="6">
        <f t="shared" si="5"/>
        <v>729</v>
      </c>
      <c r="E248" s="4">
        <v>48996</v>
      </c>
      <c r="F248" s="4">
        <v>2018</v>
      </c>
    </row>
    <row r="249" spans="1:6" x14ac:dyDescent="0.35">
      <c r="A249" s="4" t="s">
        <v>1840</v>
      </c>
      <c r="B249" s="4" t="s">
        <v>56</v>
      </c>
      <c r="C249" s="4">
        <v>5</v>
      </c>
      <c r="D249" s="6">
        <f t="shared" si="5"/>
        <v>136</v>
      </c>
      <c r="E249" s="4">
        <v>11010</v>
      </c>
      <c r="F249" s="4">
        <v>2018</v>
      </c>
    </row>
    <row r="250" spans="1:6" x14ac:dyDescent="0.35">
      <c r="A250" s="4" t="s">
        <v>1153</v>
      </c>
      <c r="B250" s="4" t="s">
        <v>395</v>
      </c>
      <c r="C250" s="4">
        <v>4.5999999999999996</v>
      </c>
      <c r="D250" s="6">
        <f t="shared" si="5"/>
        <v>391</v>
      </c>
      <c r="E250" s="4">
        <v>10445</v>
      </c>
      <c r="F250" s="4">
        <v>2018</v>
      </c>
    </row>
    <row r="251" spans="1:6" x14ac:dyDescent="0.35">
      <c r="A251" s="4" t="s">
        <v>985</v>
      </c>
      <c r="B251" s="4" t="s">
        <v>243</v>
      </c>
      <c r="C251" s="4">
        <v>4.5</v>
      </c>
      <c r="D251" s="6">
        <f t="shared" si="5"/>
        <v>442</v>
      </c>
      <c r="E251" s="4">
        <v>17532</v>
      </c>
      <c r="F251" s="4">
        <v>2018</v>
      </c>
    </row>
    <row r="252" spans="1:6" x14ac:dyDescent="0.35">
      <c r="A252" s="4" t="s">
        <v>160</v>
      </c>
      <c r="B252" s="4" t="s">
        <v>8</v>
      </c>
      <c r="C252" s="4">
        <v>2.4</v>
      </c>
      <c r="D252" s="6">
        <f t="shared" si="5"/>
        <v>715</v>
      </c>
      <c r="E252" s="4">
        <v>23140</v>
      </c>
      <c r="F252" s="4">
        <v>2018</v>
      </c>
    </row>
    <row r="253" spans="1:6" x14ac:dyDescent="0.35">
      <c r="A253" s="4" t="s">
        <v>1613</v>
      </c>
      <c r="B253" s="4" t="s">
        <v>175</v>
      </c>
      <c r="C253" s="4">
        <v>4.9000000000000004</v>
      </c>
      <c r="D253" s="6">
        <f t="shared" si="5"/>
        <v>206</v>
      </c>
      <c r="E253" s="4">
        <v>17755</v>
      </c>
      <c r="F253" s="4">
        <v>2018</v>
      </c>
    </row>
    <row r="254" spans="1:6" x14ac:dyDescent="0.35">
      <c r="A254" s="4" t="s">
        <v>576</v>
      </c>
      <c r="B254" s="4" t="s">
        <v>577</v>
      </c>
      <c r="C254" s="4">
        <v>3.9</v>
      </c>
      <c r="D254" s="6">
        <f t="shared" si="5"/>
        <v>582</v>
      </c>
      <c r="E254" s="4">
        <v>12499</v>
      </c>
      <c r="F254" s="4">
        <v>2018</v>
      </c>
    </row>
    <row r="255" spans="1:6" x14ac:dyDescent="0.35">
      <c r="A255" s="4" t="s">
        <v>1879</v>
      </c>
      <c r="B255" s="4" t="s">
        <v>395</v>
      </c>
      <c r="C255" s="4">
        <v>5.0999999999999996</v>
      </c>
      <c r="D255" s="6">
        <f t="shared" si="5"/>
        <v>40</v>
      </c>
      <c r="E255" s="4">
        <v>59981</v>
      </c>
      <c r="F255" s="4">
        <v>2018</v>
      </c>
    </row>
    <row r="256" spans="1:6" x14ac:dyDescent="0.35">
      <c r="A256" s="4" t="s">
        <v>534</v>
      </c>
      <c r="B256" s="4" t="s">
        <v>535</v>
      </c>
      <c r="C256" s="4">
        <v>3.9</v>
      </c>
      <c r="D256" s="6">
        <f t="shared" si="5"/>
        <v>581</v>
      </c>
      <c r="E256" s="4">
        <v>40065</v>
      </c>
      <c r="F256" s="4">
        <v>2018</v>
      </c>
    </row>
    <row r="257" spans="1:6" x14ac:dyDescent="0.35">
      <c r="A257" s="4" t="s">
        <v>1431</v>
      </c>
      <c r="B257" s="4" t="s">
        <v>1243</v>
      </c>
      <c r="C257" s="4">
        <v>4.8</v>
      </c>
      <c r="D257" s="6">
        <f t="shared" si="5"/>
        <v>263</v>
      </c>
      <c r="E257" s="4">
        <v>17488</v>
      </c>
      <c r="F257" s="4">
        <v>2018</v>
      </c>
    </row>
    <row r="258" spans="1:6" x14ac:dyDescent="0.35">
      <c r="A258" s="4" t="s">
        <v>932</v>
      </c>
      <c r="B258" s="4" t="s">
        <v>933</v>
      </c>
      <c r="C258" s="4">
        <v>4.5</v>
      </c>
      <c r="D258" s="6">
        <f t="shared" ref="D258:D310" si="6">_xlfn.RANK.EQ(C258, C258:C1257)</f>
        <v>439</v>
      </c>
      <c r="E258" s="4">
        <v>76596</v>
      </c>
      <c r="F258" s="4">
        <v>2018</v>
      </c>
    </row>
    <row r="259" spans="1:6" x14ac:dyDescent="0.35">
      <c r="A259" s="4" t="s">
        <v>1756</v>
      </c>
      <c r="B259" s="4" t="s">
        <v>951</v>
      </c>
      <c r="C259" s="4">
        <v>5</v>
      </c>
      <c r="D259" s="6">
        <f t="shared" si="6"/>
        <v>135</v>
      </c>
      <c r="E259" s="4">
        <v>23421</v>
      </c>
      <c r="F259" s="4">
        <v>2018</v>
      </c>
    </row>
    <row r="260" spans="1:6" x14ac:dyDescent="0.35">
      <c r="A260" s="4" t="s">
        <v>541</v>
      </c>
      <c r="B260" s="4" t="s">
        <v>462</v>
      </c>
      <c r="C260" s="4">
        <v>3.9</v>
      </c>
      <c r="D260" s="6">
        <f t="shared" si="6"/>
        <v>578</v>
      </c>
      <c r="E260" s="4">
        <v>36065</v>
      </c>
      <c r="F260" s="4">
        <v>2018</v>
      </c>
    </row>
    <row r="261" spans="1:6" x14ac:dyDescent="0.35">
      <c r="A261" s="4" t="s">
        <v>113</v>
      </c>
      <c r="B261" s="4" t="s">
        <v>11</v>
      </c>
      <c r="C261" s="4">
        <v>2</v>
      </c>
      <c r="D261" s="6">
        <f t="shared" si="6"/>
        <v>715</v>
      </c>
      <c r="E261" s="4">
        <v>56196</v>
      </c>
      <c r="F261" s="4">
        <v>2018</v>
      </c>
    </row>
    <row r="262" spans="1:6" x14ac:dyDescent="0.35">
      <c r="A262" s="4" t="s">
        <v>2021</v>
      </c>
      <c r="B262" s="4" t="s">
        <v>400</v>
      </c>
      <c r="C262" s="4">
        <v>5.0999999999999996</v>
      </c>
      <c r="D262" s="6">
        <f t="shared" si="6"/>
        <v>40</v>
      </c>
      <c r="E262" s="4">
        <v>15092</v>
      </c>
      <c r="F262" s="4">
        <v>2018</v>
      </c>
    </row>
    <row r="263" spans="1:6" x14ac:dyDescent="0.35">
      <c r="A263" s="4" t="s">
        <v>1149</v>
      </c>
      <c r="B263" s="4" t="s">
        <v>208</v>
      </c>
      <c r="C263" s="4">
        <v>4.5999999999999996</v>
      </c>
      <c r="D263" s="6">
        <f t="shared" si="6"/>
        <v>386</v>
      </c>
      <c r="E263" s="4">
        <v>10673</v>
      </c>
      <c r="F263" s="4">
        <v>2018</v>
      </c>
    </row>
    <row r="264" spans="1:6" x14ac:dyDescent="0.35">
      <c r="A264" s="4" t="s">
        <v>41</v>
      </c>
      <c r="B264" s="4" t="s">
        <v>11</v>
      </c>
      <c r="C264" s="4">
        <v>1.2</v>
      </c>
      <c r="D264" s="6">
        <f t="shared" si="6"/>
        <v>734</v>
      </c>
      <c r="E264" s="4">
        <v>10378</v>
      </c>
      <c r="F264" s="4">
        <v>2018</v>
      </c>
    </row>
    <row r="265" spans="1:6" x14ac:dyDescent="0.35">
      <c r="A265" s="4" t="s">
        <v>1421</v>
      </c>
      <c r="B265" s="4" t="s">
        <v>1422</v>
      </c>
      <c r="C265" s="4">
        <v>4.8</v>
      </c>
      <c r="D265" s="6">
        <f t="shared" si="6"/>
        <v>261</v>
      </c>
      <c r="E265" s="4">
        <v>18249</v>
      </c>
      <c r="F265" s="4">
        <v>2018</v>
      </c>
    </row>
    <row r="266" spans="1:6" x14ac:dyDescent="0.35">
      <c r="A266" s="4" t="s">
        <v>1482</v>
      </c>
      <c r="B266" s="4" t="s">
        <v>56</v>
      </c>
      <c r="C266" s="4">
        <v>4.8</v>
      </c>
      <c r="D266" s="6">
        <f t="shared" si="6"/>
        <v>261</v>
      </c>
      <c r="E266" s="4">
        <v>11945</v>
      </c>
      <c r="F266" s="4">
        <v>2018</v>
      </c>
    </row>
    <row r="267" spans="1:6" x14ac:dyDescent="0.35">
      <c r="A267" s="4" t="s">
        <v>2045</v>
      </c>
      <c r="B267" s="4" t="s">
        <v>11</v>
      </c>
      <c r="C267" s="4">
        <v>5.0999999999999996</v>
      </c>
      <c r="D267" s="6">
        <f t="shared" si="6"/>
        <v>40</v>
      </c>
      <c r="E267" s="4">
        <v>12359</v>
      </c>
      <c r="F267" s="4">
        <v>2018</v>
      </c>
    </row>
    <row r="268" spans="1:6" x14ac:dyDescent="0.35">
      <c r="A268" s="4" t="s">
        <v>1658</v>
      </c>
      <c r="B268" s="4" t="s">
        <v>1659</v>
      </c>
      <c r="C268" s="4">
        <v>4.9000000000000004</v>
      </c>
      <c r="D268" s="6">
        <f t="shared" si="6"/>
        <v>202</v>
      </c>
      <c r="E268" s="4">
        <v>11564</v>
      </c>
      <c r="F268" s="4">
        <v>2018</v>
      </c>
    </row>
    <row r="269" spans="1:6" x14ac:dyDescent="0.35">
      <c r="A269" s="4" t="s">
        <v>761</v>
      </c>
      <c r="B269" s="4" t="s">
        <v>762</v>
      </c>
      <c r="C269" s="4">
        <v>4.3</v>
      </c>
      <c r="D269" s="6">
        <f t="shared" si="6"/>
        <v>498</v>
      </c>
      <c r="E269" s="4">
        <v>48349</v>
      </c>
      <c r="F269" s="4">
        <v>2018</v>
      </c>
    </row>
    <row r="270" spans="1:6" x14ac:dyDescent="0.35">
      <c r="A270" s="4" t="s">
        <v>826</v>
      </c>
      <c r="B270" s="4" t="s">
        <v>143</v>
      </c>
      <c r="C270" s="4">
        <v>4.3</v>
      </c>
      <c r="D270" s="6">
        <f t="shared" si="6"/>
        <v>498</v>
      </c>
      <c r="E270" s="4">
        <v>10175</v>
      </c>
      <c r="F270" s="4">
        <v>2018</v>
      </c>
    </row>
    <row r="271" spans="1:6" x14ac:dyDescent="0.35">
      <c r="A271" s="4" t="s">
        <v>2049</v>
      </c>
      <c r="B271" s="4" t="s">
        <v>846</v>
      </c>
      <c r="C271" s="4">
        <v>5.0999999999999996</v>
      </c>
      <c r="D271" s="6">
        <f t="shared" si="6"/>
        <v>40</v>
      </c>
      <c r="E271" s="4">
        <v>12066</v>
      </c>
      <c r="F271" s="4">
        <v>2018</v>
      </c>
    </row>
    <row r="272" spans="1:6" x14ac:dyDescent="0.35">
      <c r="A272" s="4" t="s">
        <v>1279</v>
      </c>
      <c r="B272" s="4" t="s">
        <v>508</v>
      </c>
      <c r="C272" s="4">
        <v>4.7</v>
      </c>
      <c r="D272" s="6">
        <f t="shared" si="6"/>
        <v>329</v>
      </c>
      <c r="E272" s="4">
        <v>14622</v>
      </c>
      <c r="F272" s="4">
        <v>2017</v>
      </c>
    </row>
    <row r="273" spans="1:6" x14ac:dyDescent="0.35">
      <c r="A273" s="4" t="s">
        <v>2121</v>
      </c>
      <c r="B273" s="4" t="s">
        <v>134</v>
      </c>
      <c r="C273" s="4">
        <v>5.2</v>
      </c>
      <c r="D273" s="6">
        <f t="shared" si="6"/>
        <v>1</v>
      </c>
      <c r="E273" s="4">
        <v>98457</v>
      </c>
      <c r="F273" s="4">
        <v>2017</v>
      </c>
    </row>
    <row r="274" spans="1:6" x14ac:dyDescent="0.35">
      <c r="A274" s="4" t="s">
        <v>1127</v>
      </c>
      <c r="B274" s="4" t="s">
        <v>76</v>
      </c>
      <c r="C274" s="4">
        <v>4.5999999999999996</v>
      </c>
      <c r="D274" s="6">
        <f t="shared" si="6"/>
        <v>379</v>
      </c>
      <c r="E274" s="4">
        <v>12545</v>
      </c>
      <c r="F274" s="4">
        <v>2017</v>
      </c>
    </row>
    <row r="275" spans="1:6" x14ac:dyDescent="0.35">
      <c r="A275" s="4" t="s">
        <v>1950</v>
      </c>
      <c r="B275" s="4" t="s">
        <v>400</v>
      </c>
      <c r="C275" s="4">
        <v>5.0999999999999996</v>
      </c>
      <c r="D275" s="6">
        <f t="shared" si="6"/>
        <v>39</v>
      </c>
      <c r="E275" s="4">
        <v>23465</v>
      </c>
      <c r="F275" s="4">
        <v>2017</v>
      </c>
    </row>
    <row r="276" spans="1:6" x14ac:dyDescent="0.35">
      <c r="A276" s="4" t="s">
        <v>1448</v>
      </c>
      <c r="B276" s="4" t="s">
        <v>1160</v>
      </c>
      <c r="C276" s="4">
        <v>4.8</v>
      </c>
      <c r="D276" s="6">
        <f t="shared" si="6"/>
        <v>256</v>
      </c>
      <c r="E276" s="4">
        <v>15608</v>
      </c>
      <c r="F276" s="4">
        <v>2017</v>
      </c>
    </row>
    <row r="277" spans="1:6" x14ac:dyDescent="0.35">
      <c r="A277" s="4" t="s">
        <v>1996</v>
      </c>
      <c r="B277" s="4" t="s">
        <v>31</v>
      </c>
      <c r="C277" s="4">
        <v>5.0999999999999996</v>
      </c>
      <c r="D277" s="6">
        <f t="shared" si="6"/>
        <v>39</v>
      </c>
      <c r="E277" s="4">
        <v>16938</v>
      </c>
      <c r="F277" s="4">
        <v>2017</v>
      </c>
    </row>
    <row r="278" spans="1:6" x14ac:dyDescent="0.35">
      <c r="A278" s="4" t="s">
        <v>556</v>
      </c>
      <c r="B278" s="4" t="s">
        <v>557</v>
      </c>
      <c r="C278" s="4">
        <v>3.9</v>
      </c>
      <c r="D278" s="6">
        <f t="shared" si="6"/>
        <v>563</v>
      </c>
      <c r="E278" s="4">
        <v>22055</v>
      </c>
      <c r="F278" s="4">
        <v>2017</v>
      </c>
    </row>
    <row r="279" spans="1:6" x14ac:dyDescent="0.35">
      <c r="A279" s="4" t="s">
        <v>2109</v>
      </c>
      <c r="B279" s="4" t="s">
        <v>163</v>
      </c>
      <c r="C279" s="4">
        <v>5.2</v>
      </c>
      <c r="D279" s="6">
        <f t="shared" si="6"/>
        <v>1</v>
      </c>
      <c r="E279" s="4">
        <v>172818</v>
      </c>
      <c r="F279" s="4">
        <v>2017</v>
      </c>
    </row>
    <row r="280" spans="1:6" x14ac:dyDescent="0.35">
      <c r="A280" s="4" t="s">
        <v>1635</v>
      </c>
      <c r="B280" s="4" t="s">
        <v>1072</v>
      </c>
      <c r="C280" s="4">
        <v>4.9000000000000004</v>
      </c>
      <c r="D280" s="6">
        <f t="shared" si="6"/>
        <v>197</v>
      </c>
      <c r="E280" s="4">
        <v>13836</v>
      </c>
      <c r="F280" s="4">
        <v>2017</v>
      </c>
    </row>
    <row r="281" spans="1:6" x14ac:dyDescent="0.35">
      <c r="A281" s="4" t="s">
        <v>2133</v>
      </c>
      <c r="B281" s="4" t="s">
        <v>508</v>
      </c>
      <c r="C281" s="4">
        <v>5.2</v>
      </c>
      <c r="D281" s="6">
        <f t="shared" si="6"/>
        <v>1</v>
      </c>
      <c r="E281" s="4">
        <v>73530</v>
      </c>
      <c r="F281" s="4">
        <v>2017</v>
      </c>
    </row>
    <row r="282" spans="1:6" x14ac:dyDescent="0.35">
      <c r="A282" s="4" t="s">
        <v>1437</v>
      </c>
      <c r="B282" s="4" t="s">
        <v>116</v>
      </c>
      <c r="C282" s="4">
        <v>4.8</v>
      </c>
      <c r="D282" s="6">
        <f t="shared" si="6"/>
        <v>252</v>
      </c>
      <c r="E282" s="4">
        <v>17244</v>
      </c>
      <c r="F282" s="4">
        <v>2017</v>
      </c>
    </row>
    <row r="283" spans="1:6" x14ac:dyDescent="0.35">
      <c r="A283" s="4" t="s">
        <v>1003</v>
      </c>
      <c r="B283" s="4" t="s">
        <v>1004</v>
      </c>
      <c r="C283" s="4">
        <v>4.5</v>
      </c>
      <c r="D283" s="6">
        <f t="shared" si="6"/>
        <v>421</v>
      </c>
      <c r="E283" s="4">
        <v>12266</v>
      </c>
      <c r="F283" s="4">
        <v>2017</v>
      </c>
    </row>
    <row r="284" spans="1:6" x14ac:dyDescent="0.35">
      <c r="A284" s="4" t="s">
        <v>612</v>
      </c>
      <c r="B284" s="4" t="s">
        <v>178</v>
      </c>
      <c r="C284" s="4">
        <v>4</v>
      </c>
      <c r="D284" s="6">
        <f t="shared" si="6"/>
        <v>548</v>
      </c>
      <c r="E284" s="4">
        <v>14748</v>
      </c>
      <c r="F284" s="4">
        <v>2017</v>
      </c>
    </row>
    <row r="285" spans="1:6" x14ac:dyDescent="0.35">
      <c r="A285" s="4" t="s">
        <v>340</v>
      </c>
      <c r="B285" s="4" t="s">
        <v>65</v>
      </c>
      <c r="C285" s="4">
        <v>3.4</v>
      </c>
      <c r="D285" s="6">
        <f t="shared" si="6"/>
        <v>628</v>
      </c>
      <c r="E285" s="4">
        <v>73536</v>
      </c>
      <c r="F285" s="4">
        <v>2017</v>
      </c>
    </row>
    <row r="286" spans="1:6" x14ac:dyDescent="0.35">
      <c r="A286" s="4" t="s">
        <v>766</v>
      </c>
      <c r="B286" s="4" t="s">
        <v>400</v>
      </c>
      <c r="C286" s="4">
        <v>4.3</v>
      </c>
      <c r="D286" s="6">
        <f t="shared" si="6"/>
        <v>486</v>
      </c>
      <c r="E286" s="4">
        <v>26593</v>
      </c>
      <c r="F286" s="4">
        <v>2017</v>
      </c>
    </row>
    <row r="287" spans="1:6" x14ac:dyDescent="0.35">
      <c r="A287" s="4" t="s">
        <v>1201</v>
      </c>
      <c r="B287" s="4" t="s">
        <v>178</v>
      </c>
      <c r="C287" s="4">
        <v>4.7</v>
      </c>
      <c r="D287" s="6">
        <f t="shared" si="6"/>
        <v>321</v>
      </c>
      <c r="E287" s="4">
        <v>37988</v>
      </c>
      <c r="F287" s="4">
        <v>2017</v>
      </c>
    </row>
    <row r="288" spans="1:6" x14ac:dyDescent="0.35">
      <c r="A288" s="4" t="s">
        <v>436</v>
      </c>
      <c r="B288" s="4" t="s">
        <v>93</v>
      </c>
      <c r="C288" s="4">
        <v>3.6</v>
      </c>
      <c r="D288" s="6">
        <f t="shared" si="6"/>
        <v>603</v>
      </c>
      <c r="E288" s="4">
        <v>11755</v>
      </c>
      <c r="F288" s="4">
        <v>2017</v>
      </c>
    </row>
    <row r="289" spans="1:6" x14ac:dyDescent="0.35">
      <c r="A289" s="4" t="s">
        <v>2161</v>
      </c>
      <c r="B289" s="4" t="s">
        <v>11</v>
      </c>
      <c r="C289" s="4">
        <v>5.2</v>
      </c>
      <c r="D289" s="6">
        <f t="shared" si="6"/>
        <v>1</v>
      </c>
      <c r="E289" s="4">
        <v>56722</v>
      </c>
      <c r="F289" s="4">
        <v>2017</v>
      </c>
    </row>
    <row r="290" spans="1:6" x14ac:dyDescent="0.35">
      <c r="A290" s="4" t="s">
        <v>948</v>
      </c>
      <c r="B290" s="4" t="s">
        <v>565</v>
      </c>
      <c r="C290" s="4">
        <v>4.5</v>
      </c>
      <c r="D290" s="6">
        <f t="shared" si="6"/>
        <v>419</v>
      </c>
      <c r="E290" s="4">
        <v>43887</v>
      </c>
      <c r="F290" s="4">
        <v>2017</v>
      </c>
    </row>
    <row r="291" spans="1:6" x14ac:dyDescent="0.35">
      <c r="A291" s="4" t="s">
        <v>7</v>
      </c>
      <c r="B291" s="4" t="s">
        <v>8</v>
      </c>
      <c r="C291" s="4">
        <v>1</v>
      </c>
      <c r="D291" s="6">
        <f t="shared" si="6"/>
        <v>710</v>
      </c>
      <c r="E291" s="4">
        <v>74167</v>
      </c>
      <c r="F291" s="4">
        <v>2017</v>
      </c>
    </row>
    <row r="292" spans="1:6" x14ac:dyDescent="0.35">
      <c r="A292" s="4" t="s">
        <v>354</v>
      </c>
      <c r="B292" s="4" t="s">
        <v>11</v>
      </c>
      <c r="C292" s="4">
        <v>3.4</v>
      </c>
      <c r="D292" s="6">
        <f t="shared" si="6"/>
        <v>623</v>
      </c>
      <c r="E292" s="4">
        <v>18370</v>
      </c>
      <c r="F292" s="4">
        <v>2017</v>
      </c>
    </row>
    <row r="293" spans="1:6" x14ac:dyDescent="0.35">
      <c r="A293" s="4" t="s">
        <v>1826</v>
      </c>
      <c r="B293" s="4" t="s">
        <v>709</v>
      </c>
      <c r="C293" s="4">
        <v>5</v>
      </c>
      <c r="D293" s="6">
        <f t="shared" si="6"/>
        <v>126</v>
      </c>
      <c r="E293" s="4">
        <v>11416</v>
      </c>
      <c r="F293" s="4">
        <v>2017</v>
      </c>
    </row>
    <row r="294" spans="1:6" x14ac:dyDescent="0.35">
      <c r="A294" s="4" t="s">
        <v>1746</v>
      </c>
      <c r="B294" s="4" t="s">
        <v>352</v>
      </c>
      <c r="C294" s="4">
        <v>5</v>
      </c>
      <c r="D294" s="6">
        <f t="shared" si="6"/>
        <v>126</v>
      </c>
      <c r="E294" s="4">
        <v>28881</v>
      </c>
      <c r="F294" s="4">
        <v>2017</v>
      </c>
    </row>
    <row r="295" spans="1:6" x14ac:dyDescent="0.35">
      <c r="A295" s="4" t="s">
        <v>434</v>
      </c>
      <c r="B295" s="4" t="s">
        <v>181</v>
      </c>
      <c r="C295" s="4">
        <v>3.6</v>
      </c>
      <c r="D295" s="6">
        <f t="shared" si="6"/>
        <v>599</v>
      </c>
      <c r="E295" s="4">
        <v>11928</v>
      </c>
      <c r="F295" s="4">
        <v>2017</v>
      </c>
    </row>
    <row r="296" spans="1:6" x14ac:dyDescent="0.35">
      <c r="A296" s="4" t="s">
        <v>551</v>
      </c>
      <c r="B296" s="4" t="s">
        <v>76</v>
      </c>
      <c r="C296" s="4">
        <v>3.9</v>
      </c>
      <c r="D296" s="6">
        <f t="shared" si="6"/>
        <v>551</v>
      </c>
      <c r="E296" s="4">
        <v>25083</v>
      </c>
      <c r="F296" s="4">
        <v>2017</v>
      </c>
    </row>
    <row r="297" spans="1:6" x14ac:dyDescent="0.35">
      <c r="A297" s="4" t="s">
        <v>1954</v>
      </c>
      <c r="B297" s="4" t="s">
        <v>128</v>
      </c>
      <c r="C297" s="4">
        <v>5.0999999999999996</v>
      </c>
      <c r="D297" s="6">
        <f t="shared" si="6"/>
        <v>36</v>
      </c>
      <c r="E297" s="4">
        <v>23205</v>
      </c>
      <c r="F297" s="4">
        <v>2017</v>
      </c>
    </row>
    <row r="298" spans="1:6" x14ac:dyDescent="0.35">
      <c r="A298" s="4" t="s">
        <v>1584</v>
      </c>
      <c r="B298" s="4" t="s">
        <v>163</v>
      </c>
      <c r="C298" s="4">
        <v>4.9000000000000004</v>
      </c>
      <c r="D298" s="6">
        <f t="shared" si="6"/>
        <v>192</v>
      </c>
      <c r="E298" s="4">
        <v>29336</v>
      </c>
      <c r="F298" s="4">
        <v>2017</v>
      </c>
    </row>
    <row r="299" spans="1:6" x14ac:dyDescent="0.35">
      <c r="A299" s="4" t="s">
        <v>1838</v>
      </c>
      <c r="B299" s="4" t="s">
        <v>169</v>
      </c>
      <c r="C299" s="4">
        <v>5</v>
      </c>
      <c r="D299" s="6">
        <f t="shared" si="6"/>
        <v>125</v>
      </c>
      <c r="E299" s="4">
        <v>11097</v>
      </c>
      <c r="F299" s="4">
        <v>2017</v>
      </c>
    </row>
    <row r="300" spans="1:6" x14ac:dyDescent="0.35">
      <c r="A300" s="4" t="s">
        <v>2165</v>
      </c>
      <c r="B300" s="4" t="s">
        <v>565</v>
      </c>
      <c r="C300" s="4">
        <v>5.2</v>
      </c>
      <c r="D300" s="6">
        <f t="shared" si="6"/>
        <v>1</v>
      </c>
      <c r="E300" s="4">
        <v>51830</v>
      </c>
      <c r="F300" s="4">
        <v>2017</v>
      </c>
    </row>
    <row r="301" spans="1:6" x14ac:dyDescent="0.35">
      <c r="A301" s="4" t="s">
        <v>1810</v>
      </c>
      <c r="B301" s="4" t="s">
        <v>294</v>
      </c>
      <c r="C301" s="4">
        <v>5</v>
      </c>
      <c r="D301" s="6">
        <f t="shared" si="6"/>
        <v>124</v>
      </c>
      <c r="E301" s="4">
        <v>12582</v>
      </c>
      <c r="F301" s="4">
        <v>2017</v>
      </c>
    </row>
    <row r="302" spans="1:6" x14ac:dyDescent="0.35">
      <c r="A302" s="4" t="s">
        <v>1028</v>
      </c>
      <c r="B302" s="4" t="s">
        <v>933</v>
      </c>
      <c r="C302" s="4">
        <v>4.5999999999999996</v>
      </c>
      <c r="D302" s="6">
        <f t="shared" si="6"/>
        <v>363</v>
      </c>
      <c r="E302" s="4">
        <v>114344</v>
      </c>
      <c r="F302" s="4">
        <v>2017</v>
      </c>
    </row>
    <row r="303" spans="1:6" x14ac:dyDescent="0.35">
      <c r="A303" s="4" t="s">
        <v>727</v>
      </c>
      <c r="B303" s="4" t="s">
        <v>82</v>
      </c>
      <c r="C303" s="4">
        <v>4.2</v>
      </c>
      <c r="D303" s="6">
        <f t="shared" si="6"/>
        <v>499</v>
      </c>
      <c r="E303" s="4">
        <v>14288</v>
      </c>
      <c r="F303" s="4">
        <v>2017</v>
      </c>
    </row>
    <row r="304" spans="1:6" x14ac:dyDescent="0.35">
      <c r="A304" s="4" t="s">
        <v>814</v>
      </c>
      <c r="B304" s="4" t="s">
        <v>217</v>
      </c>
      <c r="C304" s="4">
        <v>4.3</v>
      </c>
      <c r="D304" s="6">
        <f t="shared" si="6"/>
        <v>475</v>
      </c>
      <c r="E304" s="4">
        <v>11363</v>
      </c>
      <c r="F304" s="4">
        <v>2017</v>
      </c>
    </row>
    <row r="305" spans="1:6" x14ac:dyDescent="0.35">
      <c r="A305" s="4" t="s">
        <v>925</v>
      </c>
      <c r="B305" s="4" t="s">
        <v>926</v>
      </c>
      <c r="C305" s="4">
        <v>4.5</v>
      </c>
      <c r="D305" s="6">
        <f t="shared" si="6"/>
        <v>411</v>
      </c>
      <c r="E305" s="4">
        <v>91834</v>
      </c>
      <c r="F305" s="4">
        <v>2017</v>
      </c>
    </row>
    <row r="306" spans="1:6" x14ac:dyDescent="0.35">
      <c r="A306" s="4" t="s">
        <v>394</v>
      </c>
      <c r="B306" s="4" t="s">
        <v>395</v>
      </c>
      <c r="C306" s="4">
        <v>3.5</v>
      </c>
      <c r="D306" s="6">
        <f t="shared" si="6"/>
        <v>598</v>
      </c>
      <c r="E306" s="4">
        <v>12616</v>
      </c>
      <c r="F306" s="4">
        <v>2017</v>
      </c>
    </row>
    <row r="307" spans="1:6" x14ac:dyDescent="0.35">
      <c r="A307" s="4" t="s">
        <v>10</v>
      </c>
      <c r="B307" s="4" t="s">
        <v>11</v>
      </c>
      <c r="C307" s="4">
        <v>1</v>
      </c>
      <c r="D307" s="6">
        <f t="shared" si="6"/>
        <v>695</v>
      </c>
      <c r="E307" s="4">
        <v>39466</v>
      </c>
      <c r="F307" s="4">
        <v>2017</v>
      </c>
    </row>
    <row r="308" spans="1:6" x14ac:dyDescent="0.35">
      <c r="A308" s="4" t="s">
        <v>371</v>
      </c>
      <c r="B308" s="4" t="s">
        <v>26</v>
      </c>
      <c r="C308" s="4">
        <v>3.5</v>
      </c>
      <c r="D308" s="6">
        <f t="shared" si="6"/>
        <v>598</v>
      </c>
      <c r="E308" s="4">
        <v>33641</v>
      </c>
      <c r="F308" s="4">
        <v>2017</v>
      </c>
    </row>
    <row r="309" spans="1:6" x14ac:dyDescent="0.35">
      <c r="A309" s="4" t="s">
        <v>316</v>
      </c>
      <c r="B309" s="4" t="s">
        <v>11</v>
      </c>
      <c r="C309" s="4">
        <v>3.2</v>
      </c>
      <c r="D309" s="6">
        <f t="shared" si="6"/>
        <v>621</v>
      </c>
      <c r="E309" s="4">
        <v>10677</v>
      </c>
      <c r="F309" s="4">
        <v>2017</v>
      </c>
    </row>
    <row r="310" spans="1:6" x14ac:dyDescent="0.35">
      <c r="A310" s="4" t="s">
        <v>1441</v>
      </c>
      <c r="B310" s="4" t="s">
        <v>82</v>
      </c>
      <c r="C310" s="4">
        <v>4.8</v>
      </c>
      <c r="D310" s="6">
        <f t="shared" si="6"/>
        <v>244</v>
      </c>
      <c r="E310" s="4">
        <v>15866</v>
      </c>
      <c r="F310" s="4">
        <v>2017</v>
      </c>
    </row>
    <row r="311" spans="1:6" x14ac:dyDescent="0.35">
      <c r="A311" s="4" t="s">
        <v>1166</v>
      </c>
      <c r="B311" s="4" t="s">
        <v>178</v>
      </c>
      <c r="C311" s="4">
        <v>4.7</v>
      </c>
      <c r="D311" s="6">
        <f>_xlfn.RANK.EQ(C311, C310:C1310)</f>
        <v>313</v>
      </c>
      <c r="E311" s="4">
        <v>77401</v>
      </c>
      <c r="F311" s="4">
        <v>2016</v>
      </c>
    </row>
    <row r="312" spans="1:6" x14ac:dyDescent="0.35">
      <c r="A312" s="4" t="s">
        <v>799</v>
      </c>
      <c r="B312" s="4" t="s">
        <v>169</v>
      </c>
      <c r="C312" s="4">
        <v>4.3</v>
      </c>
      <c r="D312" s="6">
        <f t="shared" ref="D312:D375" si="7">_xlfn.RANK.EQ(C312, C312:C1311)</f>
        <v>472</v>
      </c>
      <c r="E312" s="4">
        <v>15799</v>
      </c>
      <c r="F312" s="4">
        <v>2016</v>
      </c>
    </row>
    <row r="313" spans="1:6" x14ac:dyDescent="0.35">
      <c r="A313" s="4" t="s">
        <v>1344</v>
      </c>
      <c r="B313" s="4" t="s">
        <v>175</v>
      </c>
      <c r="C313" s="4">
        <v>4.8</v>
      </c>
      <c r="D313" s="6">
        <f t="shared" si="7"/>
        <v>244</v>
      </c>
      <c r="E313" s="4">
        <v>46299</v>
      </c>
      <c r="F313" s="4">
        <v>2016</v>
      </c>
    </row>
    <row r="314" spans="1:6" x14ac:dyDescent="0.35">
      <c r="A314" s="4" t="s">
        <v>583</v>
      </c>
      <c r="B314" s="4" t="s">
        <v>584</v>
      </c>
      <c r="C314" s="4">
        <v>3.9</v>
      </c>
      <c r="D314" s="6">
        <f t="shared" si="7"/>
        <v>538</v>
      </c>
      <c r="E314" s="4">
        <v>10882</v>
      </c>
      <c r="F314" s="4">
        <v>2016</v>
      </c>
    </row>
    <row r="315" spans="1:6" x14ac:dyDescent="0.35">
      <c r="A315" s="4" t="s">
        <v>987</v>
      </c>
      <c r="B315" s="4" t="s">
        <v>82</v>
      </c>
      <c r="C315" s="4">
        <v>4.5</v>
      </c>
      <c r="D315" s="6">
        <f t="shared" si="7"/>
        <v>408</v>
      </c>
      <c r="E315" s="4">
        <v>17302</v>
      </c>
      <c r="F315" s="4">
        <v>2016</v>
      </c>
    </row>
    <row r="316" spans="1:6" x14ac:dyDescent="0.35">
      <c r="A316" s="4" t="s">
        <v>2187</v>
      </c>
      <c r="B316" s="4" t="s">
        <v>1778</v>
      </c>
      <c r="C316" s="4">
        <v>5.2</v>
      </c>
      <c r="D316" s="6">
        <f t="shared" si="7"/>
        <v>1</v>
      </c>
      <c r="E316" s="4">
        <v>36196</v>
      </c>
      <c r="F316" s="4">
        <v>2016</v>
      </c>
    </row>
    <row r="317" spans="1:6" x14ac:dyDescent="0.35">
      <c r="A317" s="4" t="s">
        <v>2115</v>
      </c>
      <c r="B317" s="4" t="s">
        <v>163</v>
      </c>
      <c r="C317" s="4">
        <v>5.2</v>
      </c>
      <c r="D317" s="6">
        <f t="shared" si="7"/>
        <v>1</v>
      </c>
      <c r="E317" s="4">
        <v>119294</v>
      </c>
      <c r="F317" s="4">
        <v>2016</v>
      </c>
    </row>
    <row r="318" spans="1:6" x14ac:dyDescent="0.35">
      <c r="A318" s="4" t="s">
        <v>30</v>
      </c>
      <c r="B318" s="4" t="s">
        <v>31</v>
      </c>
      <c r="C318" s="4">
        <v>1.2</v>
      </c>
      <c r="D318" s="6">
        <f t="shared" si="7"/>
        <v>683</v>
      </c>
      <c r="E318" s="4">
        <v>40233</v>
      </c>
      <c r="F318" s="4">
        <v>2016</v>
      </c>
    </row>
    <row r="319" spans="1:6" x14ac:dyDescent="0.35">
      <c r="A319" s="4" t="s">
        <v>1457</v>
      </c>
      <c r="B319" s="4" t="s">
        <v>565</v>
      </c>
      <c r="C319" s="4">
        <v>4.8</v>
      </c>
      <c r="D319" s="6">
        <f t="shared" si="7"/>
        <v>242</v>
      </c>
      <c r="E319" s="4">
        <v>15180</v>
      </c>
      <c r="F319" s="4">
        <v>2016</v>
      </c>
    </row>
    <row r="320" spans="1:6" x14ac:dyDescent="0.35">
      <c r="A320" s="4" t="s">
        <v>1159</v>
      </c>
      <c r="B320" s="4" t="s">
        <v>1160</v>
      </c>
      <c r="C320" s="4">
        <v>4.5999999999999996</v>
      </c>
      <c r="D320" s="6">
        <f t="shared" si="7"/>
        <v>357</v>
      </c>
      <c r="E320" s="4">
        <v>10007</v>
      </c>
      <c r="F320" s="4">
        <v>2016</v>
      </c>
    </row>
    <row r="321" spans="1:6" x14ac:dyDescent="0.35">
      <c r="A321" s="4" t="s">
        <v>365</v>
      </c>
      <c r="B321" s="4" t="s">
        <v>65</v>
      </c>
      <c r="C321" s="4">
        <v>3.4</v>
      </c>
      <c r="D321" s="6">
        <f t="shared" si="7"/>
        <v>598</v>
      </c>
      <c r="E321" s="4">
        <v>10288</v>
      </c>
      <c r="F321" s="4">
        <v>2016</v>
      </c>
    </row>
    <row r="322" spans="1:6" x14ac:dyDescent="0.35">
      <c r="A322" s="4" t="s">
        <v>1360</v>
      </c>
      <c r="B322" s="4" t="s">
        <v>211</v>
      </c>
      <c r="C322" s="4">
        <v>4.8</v>
      </c>
      <c r="D322" s="6">
        <f t="shared" si="7"/>
        <v>242</v>
      </c>
      <c r="E322" s="4">
        <v>38080</v>
      </c>
      <c r="F322" s="4">
        <v>2016</v>
      </c>
    </row>
    <row r="323" spans="1:6" x14ac:dyDescent="0.35">
      <c r="A323" s="4" t="s">
        <v>1085</v>
      </c>
      <c r="B323" s="4" t="s">
        <v>166</v>
      </c>
      <c r="C323" s="4">
        <v>4.5999999999999996</v>
      </c>
      <c r="D323" s="6">
        <f t="shared" si="7"/>
        <v>356</v>
      </c>
      <c r="E323" s="4">
        <v>20856</v>
      </c>
      <c r="F323" s="4">
        <v>2016</v>
      </c>
    </row>
    <row r="324" spans="1:6" x14ac:dyDescent="0.35">
      <c r="A324" s="4" t="s">
        <v>1650</v>
      </c>
      <c r="B324" s="4" t="s">
        <v>56</v>
      </c>
      <c r="C324" s="4">
        <v>4.9000000000000004</v>
      </c>
      <c r="D324" s="6">
        <f t="shared" si="7"/>
        <v>187</v>
      </c>
      <c r="E324" s="4">
        <v>12353</v>
      </c>
      <c r="F324" s="4">
        <v>2016</v>
      </c>
    </row>
    <row r="325" spans="1:6" x14ac:dyDescent="0.35">
      <c r="A325" s="4" t="s">
        <v>2105</v>
      </c>
      <c r="B325" s="4" t="s">
        <v>163</v>
      </c>
      <c r="C325" s="4">
        <v>5.2</v>
      </c>
      <c r="D325" s="6">
        <f t="shared" si="7"/>
        <v>1</v>
      </c>
      <c r="E325" s="4">
        <v>192018</v>
      </c>
      <c r="F325" s="4">
        <v>2016</v>
      </c>
    </row>
    <row r="326" spans="1:6" x14ac:dyDescent="0.35">
      <c r="A326" s="4" t="s">
        <v>1108</v>
      </c>
      <c r="B326" s="4" t="s">
        <v>565</v>
      </c>
      <c r="C326" s="4">
        <v>4.5999999999999996</v>
      </c>
      <c r="D326" s="6">
        <f t="shared" si="7"/>
        <v>354</v>
      </c>
      <c r="E326" s="4">
        <v>16725</v>
      </c>
      <c r="F326" s="4">
        <v>2016</v>
      </c>
    </row>
    <row r="327" spans="1:6" x14ac:dyDescent="0.35">
      <c r="A327" s="4" t="s">
        <v>1664</v>
      </c>
      <c r="B327" s="4" t="s">
        <v>181</v>
      </c>
      <c r="C327" s="4">
        <v>4.9000000000000004</v>
      </c>
      <c r="D327" s="6">
        <f t="shared" si="7"/>
        <v>186</v>
      </c>
      <c r="E327" s="4">
        <v>11121</v>
      </c>
      <c r="F327" s="4">
        <v>2016</v>
      </c>
    </row>
    <row r="328" spans="1:6" x14ac:dyDescent="0.35">
      <c r="A328" s="4" t="s">
        <v>2053</v>
      </c>
      <c r="B328" s="4" t="s">
        <v>915</v>
      </c>
      <c r="C328" s="4">
        <v>5.0999999999999996</v>
      </c>
      <c r="D328" s="6">
        <f t="shared" si="7"/>
        <v>32</v>
      </c>
      <c r="E328" s="4">
        <v>12010</v>
      </c>
      <c r="F328" s="4">
        <v>2016</v>
      </c>
    </row>
    <row r="329" spans="1:6" x14ac:dyDescent="0.35">
      <c r="A329" s="4" t="s">
        <v>810</v>
      </c>
      <c r="B329" s="4" t="s">
        <v>14</v>
      </c>
      <c r="C329" s="4">
        <v>4.3</v>
      </c>
      <c r="D329" s="6">
        <f t="shared" si="7"/>
        <v>459</v>
      </c>
      <c r="E329" s="4">
        <v>13758</v>
      </c>
      <c r="F329" s="4">
        <v>2016</v>
      </c>
    </row>
    <row r="330" spans="1:6" x14ac:dyDescent="0.35">
      <c r="A330" s="4" t="s">
        <v>378</v>
      </c>
      <c r="B330" s="4" t="s">
        <v>11</v>
      </c>
      <c r="C330" s="4">
        <v>3.5</v>
      </c>
      <c r="D330" s="6">
        <f t="shared" si="7"/>
        <v>580</v>
      </c>
      <c r="E330" s="4">
        <v>23615</v>
      </c>
      <c r="F330" s="4">
        <v>2016</v>
      </c>
    </row>
    <row r="331" spans="1:6" x14ac:dyDescent="0.35">
      <c r="A331" s="4" t="s">
        <v>795</v>
      </c>
      <c r="B331" s="4" t="s">
        <v>508</v>
      </c>
      <c r="C331" s="4">
        <v>4.3</v>
      </c>
      <c r="D331" s="6">
        <f t="shared" si="7"/>
        <v>459</v>
      </c>
      <c r="E331" s="4">
        <v>17161</v>
      </c>
      <c r="F331" s="4">
        <v>2016</v>
      </c>
    </row>
    <row r="332" spans="1:6" x14ac:dyDescent="0.35">
      <c r="A332" s="4" t="s">
        <v>2019</v>
      </c>
      <c r="B332" s="4" t="s">
        <v>400</v>
      </c>
      <c r="C332" s="4">
        <v>5.0999999999999996</v>
      </c>
      <c r="D332" s="6">
        <f t="shared" si="7"/>
        <v>32</v>
      </c>
      <c r="E332" s="4">
        <v>15159</v>
      </c>
      <c r="F332" s="4">
        <v>2016</v>
      </c>
    </row>
    <row r="333" spans="1:6" x14ac:dyDescent="0.35">
      <c r="A333" s="4" t="s">
        <v>1087</v>
      </c>
      <c r="B333" s="4" t="s">
        <v>508</v>
      </c>
      <c r="C333" s="4">
        <v>4.5999999999999996</v>
      </c>
      <c r="D333" s="6">
        <f t="shared" si="7"/>
        <v>351</v>
      </c>
      <c r="E333" s="4">
        <v>20398</v>
      </c>
      <c r="F333" s="4">
        <v>2016</v>
      </c>
    </row>
    <row r="334" spans="1:6" x14ac:dyDescent="0.35">
      <c r="A334" s="4" t="s">
        <v>856</v>
      </c>
      <c r="B334" s="4" t="s">
        <v>122</v>
      </c>
      <c r="C334" s="4">
        <v>4.4000000000000004</v>
      </c>
      <c r="D334" s="6">
        <f t="shared" si="7"/>
        <v>426</v>
      </c>
      <c r="E334" s="4">
        <v>31224</v>
      </c>
      <c r="F334" s="4">
        <v>2016</v>
      </c>
    </row>
    <row r="335" spans="1:6" x14ac:dyDescent="0.35">
      <c r="A335" s="4" t="s">
        <v>473</v>
      </c>
      <c r="B335" s="4" t="s">
        <v>474</v>
      </c>
      <c r="C335" s="4">
        <v>3.7</v>
      </c>
      <c r="D335" s="6">
        <f t="shared" si="7"/>
        <v>553</v>
      </c>
      <c r="E335" s="4">
        <v>11416</v>
      </c>
      <c r="F335" s="4">
        <v>2016</v>
      </c>
    </row>
    <row r="336" spans="1:6" x14ac:dyDescent="0.35">
      <c r="A336" s="4" t="s">
        <v>1699</v>
      </c>
      <c r="B336" s="4" t="s">
        <v>175</v>
      </c>
      <c r="C336" s="4">
        <v>5</v>
      </c>
      <c r="D336" s="6">
        <f t="shared" si="7"/>
        <v>119</v>
      </c>
      <c r="E336" s="4">
        <v>50760</v>
      </c>
      <c r="F336" s="4">
        <v>2016</v>
      </c>
    </row>
    <row r="337" spans="1:6" x14ac:dyDescent="0.35">
      <c r="A337" s="4" t="s">
        <v>1405</v>
      </c>
      <c r="B337" s="4" t="s">
        <v>143</v>
      </c>
      <c r="C337" s="4">
        <v>4.8</v>
      </c>
      <c r="D337" s="6">
        <f t="shared" si="7"/>
        <v>236</v>
      </c>
      <c r="E337" s="4">
        <v>22108</v>
      </c>
      <c r="F337" s="4">
        <v>2016</v>
      </c>
    </row>
    <row r="338" spans="1:6" x14ac:dyDescent="0.35">
      <c r="A338" s="4" t="s">
        <v>510</v>
      </c>
      <c r="B338" s="4" t="s">
        <v>93</v>
      </c>
      <c r="C338" s="4">
        <v>3.8</v>
      </c>
      <c r="D338" s="6">
        <f t="shared" si="7"/>
        <v>533</v>
      </c>
      <c r="E338" s="4">
        <v>13397</v>
      </c>
      <c r="F338" s="4">
        <v>2016</v>
      </c>
    </row>
    <row r="339" spans="1:6" x14ac:dyDescent="0.35">
      <c r="A339" s="4">
        <v>31</v>
      </c>
      <c r="B339" s="4" t="s">
        <v>82</v>
      </c>
      <c r="C339" s="4">
        <v>5.0999999999999996</v>
      </c>
      <c r="D339" s="6">
        <f t="shared" si="7"/>
        <v>32</v>
      </c>
      <c r="E339" s="4">
        <v>23633</v>
      </c>
      <c r="F339" s="4">
        <v>2016</v>
      </c>
    </row>
    <row r="340" spans="1:6" x14ac:dyDescent="0.35">
      <c r="A340" s="4" t="s">
        <v>721</v>
      </c>
      <c r="B340" s="4" t="s">
        <v>143</v>
      </c>
      <c r="C340" s="4">
        <v>4.2</v>
      </c>
      <c r="D340" s="6">
        <f t="shared" si="7"/>
        <v>473</v>
      </c>
      <c r="E340" s="4">
        <v>17210</v>
      </c>
      <c r="F340" s="4">
        <v>2015</v>
      </c>
    </row>
    <row r="341" spans="1:6" x14ac:dyDescent="0.35">
      <c r="A341" s="4" t="s">
        <v>1256</v>
      </c>
      <c r="B341" s="4" t="s">
        <v>82</v>
      </c>
      <c r="C341" s="4">
        <v>4.7</v>
      </c>
      <c r="D341" s="6">
        <f t="shared" si="7"/>
        <v>299</v>
      </c>
      <c r="E341" s="4">
        <v>19462</v>
      </c>
      <c r="F341" s="4">
        <v>2015</v>
      </c>
    </row>
    <row r="342" spans="1:6" x14ac:dyDescent="0.35">
      <c r="A342" s="4" t="s">
        <v>2171</v>
      </c>
      <c r="B342" s="4" t="s">
        <v>294</v>
      </c>
      <c r="C342" s="4">
        <v>5.2</v>
      </c>
      <c r="D342" s="6">
        <f t="shared" si="7"/>
        <v>1</v>
      </c>
      <c r="E342" s="4">
        <v>45631</v>
      </c>
      <c r="F342" s="4">
        <v>2015</v>
      </c>
    </row>
    <row r="343" spans="1:6" x14ac:dyDescent="0.35">
      <c r="A343" s="4" t="s">
        <v>1552</v>
      </c>
      <c r="B343" s="4" t="s">
        <v>178</v>
      </c>
      <c r="C343" s="4">
        <v>4.9000000000000004</v>
      </c>
      <c r="D343" s="6">
        <f t="shared" si="7"/>
        <v>181</v>
      </c>
      <c r="E343" s="4">
        <v>54734</v>
      </c>
      <c r="F343" s="4">
        <v>2015</v>
      </c>
    </row>
    <row r="344" spans="1:6" x14ac:dyDescent="0.35">
      <c r="A344" s="4" t="s">
        <v>2169</v>
      </c>
      <c r="B344" s="4" t="s">
        <v>804</v>
      </c>
      <c r="C344" s="4">
        <v>5.2</v>
      </c>
      <c r="D344" s="6">
        <f t="shared" si="7"/>
        <v>1</v>
      </c>
      <c r="E344" s="4">
        <v>46863</v>
      </c>
      <c r="F344" s="4">
        <v>2015</v>
      </c>
    </row>
    <row r="345" spans="1:6" x14ac:dyDescent="0.35">
      <c r="A345" s="4" t="s">
        <v>210</v>
      </c>
      <c r="B345" s="4" t="s">
        <v>211</v>
      </c>
      <c r="C345" s="4">
        <v>2.7</v>
      </c>
      <c r="D345" s="6">
        <f t="shared" si="7"/>
        <v>613</v>
      </c>
      <c r="E345" s="4">
        <v>20548</v>
      </c>
      <c r="F345" s="4">
        <v>2015</v>
      </c>
    </row>
    <row r="346" spans="1:6" x14ac:dyDescent="0.35">
      <c r="A346" s="4" t="s">
        <v>711</v>
      </c>
      <c r="B346" s="4" t="s">
        <v>175</v>
      </c>
      <c r="C346" s="4">
        <v>4.2</v>
      </c>
      <c r="D346" s="6">
        <f t="shared" si="7"/>
        <v>469</v>
      </c>
      <c r="E346" s="4">
        <v>21872</v>
      </c>
      <c r="F346" s="4">
        <v>2015</v>
      </c>
    </row>
    <row r="347" spans="1:6" x14ac:dyDescent="0.35">
      <c r="A347" s="4" t="s">
        <v>2057</v>
      </c>
      <c r="B347" s="4" t="s">
        <v>646</v>
      </c>
      <c r="C347" s="4">
        <v>5.0999999999999996</v>
      </c>
      <c r="D347" s="6">
        <f t="shared" si="7"/>
        <v>30</v>
      </c>
      <c r="E347" s="4">
        <v>11653</v>
      </c>
      <c r="F347" s="4">
        <v>2015</v>
      </c>
    </row>
    <row r="348" spans="1:6" x14ac:dyDescent="0.35">
      <c r="A348" s="4" t="s">
        <v>1194</v>
      </c>
      <c r="B348" s="4" t="s">
        <v>1195</v>
      </c>
      <c r="C348" s="4">
        <v>4.7</v>
      </c>
      <c r="D348" s="6">
        <f t="shared" si="7"/>
        <v>295</v>
      </c>
      <c r="E348" s="4">
        <v>46620</v>
      </c>
      <c r="F348" s="4">
        <v>2015</v>
      </c>
    </row>
    <row r="349" spans="1:6" x14ac:dyDescent="0.35">
      <c r="A349" s="4" t="s">
        <v>740</v>
      </c>
      <c r="B349" s="4" t="s">
        <v>146</v>
      </c>
      <c r="C349" s="4">
        <v>4.2</v>
      </c>
      <c r="D349" s="6">
        <f t="shared" si="7"/>
        <v>467</v>
      </c>
      <c r="E349" s="4">
        <v>11108</v>
      </c>
      <c r="F349" s="4">
        <v>2015</v>
      </c>
    </row>
    <row r="350" spans="1:6" x14ac:dyDescent="0.35">
      <c r="A350" s="4" t="s">
        <v>614</v>
      </c>
      <c r="B350" s="4" t="s">
        <v>178</v>
      </c>
      <c r="C350" s="4">
        <v>4</v>
      </c>
      <c r="D350" s="6">
        <f t="shared" si="7"/>
        <v>500</v>
      </c>
      <c r="E350" s="4">
        <v>14108</v>
      </c>
      <c r="F350" s="4">
        <v>2015</v>
      </c>
    </row>
    <row r="351" spans="1:6" x14ac:dyDescent="0.35">
      <c r="A351" s="4" t="s">
        <v>2023</v>
      </c>
      <c r="B351" s="4" t="s">
        <v>31</v>
      </c>
      <c r="C351" s="4">
        <v>5.0999999999999996</v>
      </c>
      <c r="D351" s="6">
        <f t="shared" si="7"/>
        <v>30</v>
      </c>
      <c r="E351" s="4">
        <v>15018</v>
      </c>
      <c r="F351" s="4">
        <v>2015</v>
      </c>
    </row>
    <row r="352" spans="1:6" x14ac:dyDescent="0.35">
      <c r="A352" s="4" t="s">
        <v>1490</v>
      </c>
      <c r="B352" s="4" t="s">
        <v>584</v>
      </c>
      <c r="C352" s="4">
        <v>4.8</v>
      </c>
      <c r="D352" s="6">
        <f t="shared" si="7"/>
        <v>230</v>
      </c>
      <c r="E352" s="4">
        <v>11601</v>
      </c>
      <c r="F352" s="4">
        <v>2015</v>
      </c>
    </row>
    <row r="353" spans="1:6" x14ac:dyDescent="0.35">
      <c r="A353" s="4" t="s">
        <v>824</v>
      </c>
      <c r="B353" s="4" t="s">
        <v>166</v>
      </c>
      <c r="C353" s="4">
        <v>4.3</v>
      </c>
      <c r="D353" s="6">
        <f t="shared" si="7"/>
        <v>445</v>
      </c>
      <c r="E353" s="4">
        <v>10617</v>
      </c>
      <c r="F353" s="4">
        <v>2015</v>
      </c>
    </row>
    <row r="354" spans="1:6" x14ac:dyDescent="0.35">
      <c r="A354" s="4" t="s">
        <v>871</v>
      </c>
      <c r="B354" s="4" t="s">
        <v>205</v>
      </c>
      <c r="C354" s="4">
        <v>4.4000000000000004</v>
      </c>
      <c r="D354" s="6">
        <f t="shared" si="7"/>
        <v>415</v>
      </c>
      <c r="E354" s="4">
        <v>23967</v>
      </c>
      <c r="F354" s="4">
        <v>2015</v>
      </c>
    </row>
    <row r="355" spans="1:6" x14ac:dyDescent="0.35">
      <c r="A355" s="4" t="s">
        <v>1542</v>
      </c>
      <c r="B355" s="4" t="s">
        <v>82</v>
      </c>
      <c r="C355" s="4">
        <v>4.9000000000000004</v>
      </c>
      <c r="D355" s="6">
        <f t="shared" si="7"/>
        <v>178</v>
      </c>
      <c r="E355" s="4">
        <v>62589</v>
      </c>
      <c r="F355" s="4">
        <v>2015</v>
      </c>
    </row>
    <row r="356" spans="1:6" x14ac:dyDescent="0.35">
      <c r="A356" s="4" t="s">
        <v>848</v>
      </c>
      <c r="B356" s="4" t="s">
        <v>146</v>
      </c>
      <c r="C356" s="4">
        <v>4.4000000000000004</v>
      </c>
      <c r="D356" s="6">
        <f t="shared" si="7"/>
        <v>414</v>
      </c>
      <c r="E356" s="4">
        <v>41993</v>
      </c>
      <c r="F356" s="4">
        <v>2015</v>
      </c>
    </row>
    <row r="357" spans="1:6" x14ac:dyDescent="0.35">
      <c r="A357" s="4" t="s">
        <v>1061</v>
      </c>
      <c r="B357" s="4" t="s">
        <v>448</v>
      </c>
      <c r="C357" s="4">
        <v>4.5999999999999996</v>
      </c>
      <c r="D357" s="6">
        <f t="shared" si="7"/>
        <v>339</v>
      </c>
      <c r="E357" s="4">
        <v>31383</v>
      </c>
      <c r="F357" s="4">
        <v>2015</v>
      </c>
    </row>
    <row r="358" spans="1:6" x14ac:dyDescent="0.35">
      <c r="A358" s="4" t="s">
        <v>1530</v>
      </c>
      <c r="B358" s="4" t="s">
        <v>249</v>
      </c>
      <c r="C358" s="4">
        <v>4.9000000000000004</v>
      </c>
      <c r="D358" s="6">
        <f t="shared" si="7"/>
        <v>178</v>
      </c>
      <c r="E358" s="4">
        <v>107514</v>
      </c>
      <c r="F358" s="4">
        <v>2015</v>
      </c>
    </row>
    <row r="359" spans="1:6" x14ac:dyDescent="0.35">
      <c r="A359" s="4" t="s">
        <v>1503</v>
      </c>
      <c r="B359" s="4" t="s">
        <v>474</v>
      </c>
      <c r="C359" s="4">
        <v>4.8</v>
      </c>
      <c r="D359" s="6">
        <f t="shared" si="7"/>
        <v>228</v>
      </c>
      <c r="E359" s="4">
        <v>11297</v>
      </c>
      <c r="F359" s="4">
        <v>2015</v>
      </c>
    </row>
    <row r="360" spans="1:6" x14ac:dyDescent="0.35">
      <c r="A360" s="4" t="s">
        <v>2005</v>
      </c>
      <c r="B360" s="4" t="s">
        <v>82</v>
      </c>
      <c r="C360" s="4">
        <v>5.0999999999999996</v>
      </c>
      <c r="D360" s="6">
        <f t="shared" si="7"/>
        <v>30</v>
      </c>
      <c r="E360" s="4">
        <v>16050</v>
      </c>
      <c r="F360" s="4">
        <v>2015</v>
      </c>
    </row>
    <row r="361" spans="1:6" x14ac:dyDescent="0.35">
      <c r="A361" s="4" t="s">
        <v>1709</v>
      </c>
      <c r="B361" s="4" t="s">
        <v>1710</v>
      </c>
      <c r="C361" s="4">
        <v>5</v>
      </c>
      <c r="D361" s="6">
        <f t="shared" si="7"/>
        <v>113</v>
      </c>
      <c r="E361" s="4">
        <v>42360</v>
      </c>
      <c r="F361" s="4">
        <v>2015</v>
      </c>
    </row>
    <row r="362" spans="1:6" x14ac:dyDescent="0.35">
      <c r="A362" s="4" t="s">
        <v>1883</v>
      </c>
      <c r="B362" s="4" t="s">
        <v>146</v>
      </c>
      <c r="C362" s="4">
        <v>5.0999999999999996</v>
      </c>
      <c r="D362" s="6">
        <f t="shared" si="7"/>
        <v>30</v>
      </c>
      <c r="E362" s="4">
        <v>54812</v>
      </c>
      <c r="F362" s="4">
        <v>2015</v>
      </c>
    </row>
    <row r="363" spans="1:6" x14ac:dyDescent="0.35">
      <c r="A363" s="4" t="s">
        <v>1263</v>
      </c>
      <c r="B363" s="4" t="s">
        <v>82</v>
      </c>
      <c r="C363" s="4">
        <v>4.7</v>
      </c>
      <c r="D363" s="6">
        <f t="shared" si="7"/>
        <v>287</v>
      </c>
      <c r="E363" s="4">
        <v>17068</v>
      </c>
      <c r="F363" s="4">
        <v>2015</v>
      </c>
    </row>
    <row r="364" spans="1:6" x14ac:dyDescent="0.35">
      <c r="A364" s="4" t="s">
        <v>681</v>
      </c>
      <c r="B364" s="4" t="s">
        <v>682</v>
      </c>
      <c r="C364" s="4">
        <v>4.2</v>
      </c>
      <c r="D364" s="6">
        <f t="shared" si="7"/>
        <v>454</v>
      </c>
      <c r="E364" s="4">
        <v>341094</v>
      </c>
      <c r="F364" s="4">
        <v>2015</v>
      </c>
    </row>
    <row r="365" spans="1:6" x14ac:dyDescent="0.35">
      <c r="A365" s="4" t="s">
        <v>751</v>
      </c>
      <c r="B365" s="4" t="s">
        <v>163</v>
      </c>
      <c r="C365" s="4">
        <v>4.3</v>
      </c>
      <c r="D365" s="6">
        <f t="shared" si="7"/>
        <v>435</v>
      </c>
      <c r="E365" s="4">
        <v>179961</v>
      </c>
      <c r="F365" s="4">
        <v>2015</v>
      </c>
    </row>
    <row r="366" spans="1:6" x14ac:dyDescent="0.35">
      <c r="A366" s="4" t="s">
        <v>673</v>
      </c>
      <c r="B366" s="4" t="s">
        <v>294</v>
      </c>
      <c r="C366" s="4">
        <v>4.0999999999999996</v>
      </c>
      <c r="D366" s="6">
        <f t="shared" si="7"/>
        <v>471</v>
      </c>
      <c r="E366" s="4">
        <v>12126</v>
      </c>
      <c r="F366" s="4">
        <v>2015</v>
      </c>
    </row>
    <row r="367" spans="1:6" x14ac:dyDescent="0.35">
      <c r="A367" s="4" t="s">
        <v>1908</v>
      </c>
      <c r="B367" s="4" t="s">
        <v>125</v>
      </c>
      <c r="C367" s="4">
        <v>5.0999999999999996</v>
      </c>
      <c r="D367" s="6">
        <f t="shared" si="7"/>
        <v>30</v>
      </c>
      <c r="E367" s="4">
        <v>39407</v>
      </c>
      <c r="F367" s="4">
        <v>2015</v>
      </c>
    </row>
    <row r="368" spans="1:6" x14ac:dyDescent="0.35">
      <c r="A368" s="4" t="s">
        <v>78</v>
      </c>
      <c r="B368" s="4" t="s">
        <v>79</v>
      </c>
      <c r="C368" s="4">
        <v>1.7</v>
      </c>
      <c r="D368" s="6">
        <f t="shared" si="7"/>
        <v>619</v>
      </c>
      <c r="E368" s="4">
        <v>27591</v>
      </c>
      <c r="F368" s="4">
        <v>2015</v>
      </c>
    </row>
    <row r="369" spans="1:6" x14ac:dyDescent="0.35">
      <c r="A369" s="4" t="s">
        <v>1786</v>
      </c>
      <c r="B369" s="4" t="s">
        <v>93</v>
      </c>
      <c r="C369" s="4">
        <v>5</v>
      </c>
      <c r="D369" s="6">
        <f t="shared" si="7"/>
        <v>111</v>
      </c>
      <c r="E369" s="4">
        <v>15715</v>
      </c>
      <c r="F369" s="4">
        <v>2015</v>
      </c>
    </row>
    <row r="370" spans="1:6" x14ac:dyDescent="0.35">
      <c r="A370" s="4" t="s">
        <v>803</v>
      </c>
      <c r="B370" s="4" t="s">
        <v>804</v>
      </c>
      <c r="C370" s="4">
        <v>4.3</v>
      </c>
      <c r="D370" s="6">
        <f t="shared" si="7"/>
        <v>433</v>
      </c>
      <c r="E370" s="4">
        <v>15376</v>
      </c>
      <c r="F370" s="4">
        <v>2015</v>
      </c>
    </row>
    <row r="371" spans="1:6" x14ac:dyDescent="0.35">
      <c r="A371" s="4" t="s">
        <v>52</v>
      </c>
      <c r="B371" s="4" t="s">
        <v>53</v>
      </c>
      <c r="C371" s="4">
        <v>1.4</v>
      </c>
      <c r="D371" s="6">
        <f t="shared" si="7"/>
        <v>627</v>
      </c>
      <c r="E371" s="4">
        <v>42954</v>
      </c>
      <c r="F371" s="4">
        <v>2015</v>
      </c>
    </row>
    <row r="372" spans="1:6" x14ac:dyDescent="0.35">
      <c r="A372" s="4" t="s">
        <v>1599</v>
      </c>
      <c r="B372" s="4" t="s">
        <v>217</v>
      </c>
      <c r="C372" s="4">
        <v>4.9000000000000004</v>
      </c>
      <c r="D372" s="6">
        <f t="shared" si="7"/>
        <v>173</v>
      </c>
      <c r="E372" s="4">
        <v>23360</v>
      </c>
      <c r="F372" s="4">
        <v>2015</v>
      </c>
    </row>
    <row r="373" spans="1:6" x14ac:dyDescent="0.35">
      <c r="A373" s="4" t="s">
        <v>2043</v>
      </c>
      <c r="B373" s="4" t="s">
        <v>951</v>
      </c>
      <c r="C373" s="4">
        <v>5.0999999999999996</v>
      </c>
      <c r="D373" s="6">
        <f t="shared" si="7"/>
        <v>30</v>
      </c>
      <c r="E373" s="4">
        <v>12651</v>
      </c>
      <c r="F373" s="4">
        <v>2015</v>
      </c>
    </row>
    <row r="374" spans="1:6" x14ac:dyDescent="0.35">
      <c r="A374" s="4" t="s">
        <v>911</v>
      </c>
      <c r="B374" s="4" t="s">
        <v>912</v>
      </c>
      <c r="C374" s="4">
        <v>4.4000000000000004</v>
      </c>
      <c r="D374" s="6">
        <f t="shared" si="7"/>
        <v>403</v>
      </c>
      <c r="E374" s="4">
        <v>11349</v>
      </c>
      <c r="F374" s="4">
        <v>2015</v>
      </c>
    </row>
    <row r="375" spans="1:6" x14ac:dyDescent="0.35">
      <c r="A375" s="4" t="s">
        <v>1411</v>
      </c>
      <c r="B375" s="4" t="s">
        <v>211</v>
      </c>
      <c r="C375" s="4">
        <v>4.8</v>
      </c>
      <c r="D375" s="6">
        <f t="shared" si="7"/>
        <v>221</v>
      </c>
      <c r="E375" s="4">
        <v>21038</v>
      </c>
      <c r="F375" s="4">
        <v>2014</v>
      </c>
    </row>
    <row r="376" spans="1:6" x14ac:dyDescent="0.35">
      <c r="A376" s="4" t="s">
        <v>660</v>
      </c>
      <c r="B376" s="4" t="s">
        <v>649</v>
      </c>
      <c r="C376" s="4">
        <v>4.0999999999999996</v>
      </c>
      <c r="D376" s="6">
        <f t="shared" ref="D376:D439" si="8">_xlfn.RANK.EQ(C376, C376:C1375)</f>
        <v>464</v>
      </c>
      <c r="E376" s="4">
        <v>18126</v>
      </c>
      <c r="F376" s="4">
        <v>2014</v>
      </c>
    </row>
    <row r="377" spans="1:6" x14ac:dyDescent="0.35">
      <c r="A377" s="4" t="s">
        <v>715</v>
      </c>
      <c r="B377" s="4" t="s">
        <v>82</v>
      </c>
      <c r="C377" s="4">
        <v>4.2</v>
      </c>
      <c r="D377" s="6">
        <f t="shared" si="8"/>
        <v>446</v>
      </c>
      <c r="E377" s="4">
        <v>20153</v>
      </c>
      <c r="F377" s="4">
        <v>2014</v>
      </c>
    </row>
    <row r="378" spans="1:6" x14ac:dyDescent="0.35">
      <c r="A378" s="4" t="s">
        <v>1378</v>
      </c>
      <c r="B378" s="4" t="s">
        <v>584</v>
      </c>
      <c r="C378" s="4">
        <v>4.8</v>
      </c>
      <c r="D378" s="6">
        <f t="shared" si="8"/>
        <v>221</v>
      </c>
      <c r="E378" s="4">
        <v>29879</v>
      </c>
      <c r="F378" s="4">
        <v>2014</v>
      </c>
    </row>
    <row r="379" spans="1:6" x14ac:dyDescent="0.35">
      <c r="A379" s="4" t="s">
        <v>1964</v>
      </c>
      <c r="B379" s="4" t="s">
        <v>175</v>
      </c>
      <c r="C379" s="4">
        <v>5.0999999999999996</v>
      </c>
      <c r="D379" s="6">
        <f t="shared" si="8"/>
        <v>30</v>
      </c>
      <c r="E379" s="4">
        <v>21420</v>
      </c>
      <c r="F379" s="4">
        <v>2014</v>
      </c>
    </row>
    <row r="380" spans="1:6" x14ac:dyDescent="0.35">
      <c r="A380" s="4" t="s">
        <v>1067</v>
      </c>
      <c r="B380" s="4" t="s">
        <v>175</v>
      </c>
      <c r="C380" s="4">
        <v>4.5999999999999996</v>
      </c>
      <c r="D380" s="6">
        <f t="shared" si="8"/>
        <v>326</v>
      </c>
      <c r="E380" s="4">
        <v>27732</v>
      </c>
      <c r="F380" s="4">
        <v>2014</v>
      </c>
    </row>
    <row r="381" spans="1:6" x14ac:dyDescent="0.35">
      <c r="A381" s="4" t="s">
        <v>1091</v>
      </c>
      <c r="B381" s="4" t="s">
        <v>294</v>
      </c>
      <c r="C381" s="4">
        <v>4.5999999999999996</v>
      </c>
      <c r="D381" s="6">
        <f t="shared" si="8"/>
        <v>326</v>
      </c>
      <c r="E381" s="4">
        <v>19331</v>
      </c>
      <c r="F381" s="4">
        <v>2014</v>
      </c>
    </row>
    <row r="382" spans="1:6" x14ac:dyDescent="0.35">
      <c r="A382" s="4" t="s">
        <v>756</v>
      </c>
      <c r="B382" s="4" t="s">
        <v>166</v>
      </c>
      <c r="C382" s="4">
        <v>4.3</v>
      </c>
      <c r="D382" s="6">
        <f t="shared" si="8"/>
        <v>425</v>
      </c>
      <c r="E382" s="4">
        <v>56624</v>
      </c>
      <c r="F382" s="4">
        <v>2014</v>
      </c>
    </row>
    <row r="383" spans="1:6" x14ac:dyDescent="0.35">
      <c r="A383" s="4" t="s">
        <v>382</v>
      </c>
      <c r="B383" s="4" t="s">
        <v>152</v>
      </c>
      <c r="C383" s="4">
        <v>3.5</v>
      </c>
      <c r="D383" s="6">
        <f t="shared" si="8"/>
        <v>531</v>
      </c>
      <c r="E383" s="4">
        <v>17241</v>
      </c>
      <c r="F383" s="4">
        <v>2014</v>
      </c>
    </row>
    <row r="384" spans="1:6" x14ac:dyDescent="0.35">
      <c r="A384" s="4" t="s">
        <v>1550</v>
      </c>
      <c r="B384" s="4" t="s">
        <v>116</v>
      </c>
      <c r="C384" s="4">
        <v>4.9000000000000004</v>
      </c>
      <c r="D384" s="6">
        <f t="shared" si="8"/>
        <v>171</v>
      </c>
      <c r="E384" s="4">
        <v>55540</v>
      </c>
      <c r="F384" s="4">
        <v>2014</v>
      </c>
    </row>
    <row r="385" spans="1:6" x14ac:dyDescent="0.35">
      <c r="A385" s="4" t="s">
        <v>603</v>
      </c>
      <c r="B385" s="4" t="s">
        <v>178</v>
      </c>
      <c r="C385" s="4">
        <v>4</v>
      </c>
      <c r="D385" s="6">
        <f t="shared" si="8"/>
        <v>469</v>
      </c>
      <c r="E385" s="4">
        <v>20873</v>
      </c>
      <c r="F385" s="4">
        <v>2014</v>
      </c>
    </row>
    <row r="386" spans="1:6" x14ac:dyDescent="0.35">
      <c r="A386" s="4" t="s">
        <v>1858</v>
      </c>
      <c r="B386" s="4" t="s">
        <v>116</v>
      </c>
      <c r="C386" s="4">
        <v>5.0999999999999996</v>
      </c>
      <c r="D386" s="6">
        <f t="shared" si="8"/>
        <v>30</v>
      </c>
      <c r="E386" s="4">
        <v>119263</v>
      </c>
      <c r="F386" s="4">
        <v>2014</v>
      </c>
    </row>
    <row r="387" spans="1:6" x14ac:dyDescent="0.35">
      <c r="A387" s="4" t="s">
        <v>499</v>
      </c>
      <c r="B387" s="4" t="s">
        <v>11</v>
      </c>
      <c r="C387" s="4">
        <v>3.8</v>
      </c>
      <c r="D387" s="6">
        <f t="shared" si="8"/>
        <v>489</v>
      </c>
      <c r="E387" s="4">
        <v>18874</v>
      </c>
      <c r="F387" s="4">
        <v>2014</v>
      </c>
    </row>
    <row r="388" spans="1:6" x14ac:dyDescent="0.35">
      <c r="A388" s="4" t="s">
        <v>1750</v>
      </c>
      <c r="B388" s="4" t="s">
        <v>294</v>
      </c>
      <c r="C388" s="4">
        <v>5</v>
      </c>
      <c r="D388" s="6">
        <f t="shared" si="8"/>
        <v>108</v>
      </c>
      <c r="E388" s="4">
        <v>25793</v>
      </c>
      <c r="F388" s="4">
        <v>2014</v>
      </c>
    </row>
    <row r="389" spans="1:6" x14ac:dyDescent="0.35">
      <c r="A389" s="4" t="s">
        <v>1707</v>
      </c>
      <c r="B389" s="4" t="s">
        <v>448</v>
      </c>
      <c r="C389" s="4">
        <v>5</v>
      </c>
      <c r="D389" s="6">
        <f t="shared" si="8"/>
        <v>108</v>
      </c>
      <c r="E389" s="4">
        <v>46139</v>
      </c>
      <c r="F389" s="4">
        <v>2014</v>
      </c>
    </row>
    <row r="390" spans="1:6" x14ac:dyDescent="0.35">
      <c r="A390" s="4" t="s">
        <v>1117</v>
      </c>
      <c r="B390" s="4" t="s">
        <v>134</v>
      </c>
      <c r="C390" s="4">
        <v>4.5999999999999996</v>
      </c>
      <c r="D390" s="6">
        <f t="shared" si="8"/>
        <v>322</v>
      </c>
      <c r="E390" s="4">
        <v>14471</v>
      </c>
      <c r="F390" s="4">
        <v>2014</v>
      </c>
    </row>
    <row r="391" spans="1:6" x14ac:dyDescent="0.35">
      <c r="A391" s="4" t="s">
        <v>941</v>
      </c>
      <c r="B391" s="4" t="s">
        <v>175</v>
      </c>
      <c r="C391" s="4">
        <v>4.5</v>
      </c>
      <c r="D391" s="6">
        <f t="shared" si="8"/>
        <v>362</v>
      </c>
      <c r="E391" s="4">
        <v>59038</v>
      </c>
      <c r="F391" s="4">
        <v>2014</v>
      </c>
    </row>
    <row r="392" spans="1:6" x14ac:dyDescent="0.35">
      <c r="A392" s="4" t="s">
        <v>2017</v>
      </c>
      <c r="B392" s="4" t="s">
        <v>577</v>
      </c>
      <c r="C392" s="4">
        <v>5.0999999999999996</v>
      </c>
      <c r="D392" s="6">
        <f t="shared" si="8"/>
        <v>30</v>
      </c>
      <c r="E392" s="4">
        <v>15261</v>
      </c>
      <c r="F392" s="4">
        <v>2014</v>
      </c>
    </row>
    <row r="393" spans="1:6" x14ac:dyDescent="0.35">
      <c r="A393" s="4" t="s">
        <v>816</v>
      </c>
      <c r="B393" s="4" t="s">
        <v>243</v>
      </c>
      <c r="C393" s="4">
        <v>4.3</v>
      </c>
      <c r="D393" s="6">
        <f t="shared" si="8"/>
        <v>418</v>
      </c>
      <c r="E393" s="4">
        <v>11309</v>
      </c>
      <c r="F393" s="4">
        <v>2014</v>
      </c>
    </row>
    <row r="394" spans="1:6" x14ac:dyDescent="0.35">
      <c r="A394" s="4" t="s">
        <v>705</v>
      </c>
      <c r="B394" s="4" t="s">
        <v>706</v>
      </c>
      <c r="C394" s="4">
        <v>4.2</v>
      </c>
      <c r="D394" s="6">
        <f t="shared" si="8"/>
        <v>433</v>
      </c>
      <c r="E394" s="4">
        <v>28726</v>
      </c>
      <c r="F394" s="4">
        <v>2014</v>
      </c>
    </row>
    <row r="395" spans="1:6" x14ac:dyDescent="0.35">
      <c r="A395" s="4" t="s">
        <v>2099</v>
      </c>
      <c r="B395" s="4" t="s">
        <v>181</v>
      </c>
      <c r="C395" s="4">
        <v>5.0999999999999996</v>
      </c>
      <c r="D395" s="6">
        <f t="shared" si="8"/>
        <v>30</v>
      </c>
      <c r="E395" s="4">
        <v>10142</v>
      </c>
      <c r="F395" s="4">
        <v>2014</v>
      </c>
    </row>
    <row r="396" spans="1:6" x14ac:dyDescent="0.35">
      <c r="A396" s="4" t="s">
        <v>283</v>
      </c>
      <c r="B396" s="4" t="s">
        <v>53</v>
      </c>
      <c r="C396" s="4">
        <v>3.1</v>
      </c>
      <c r="D396" s="6">
        <f t="shared" si="8"/>
        <v>547</v>
      </c>
      <c r="E396" s="4">
        <v>43118</v>
      </c>
      <c r="F396" s="4">
        <v>2014</v>
      </c>
    </row>
    <row r="397" spans="1:6" x14ac:dyDescent="0.35">
      <c r="A397" s="4" t="s">
        <v>43</v>
      </c>
      <c r="B397" s="4" t="s">
        <v>44</v>
      </c>
      <c r="C397" s="4">
        <v>1.3</v>
      </c>
      <c r="D397" s="6">
        <f t="shared" si="8"/>
        <v>602</v>
      </c>
      <c r="E397" s="4">
        <v>16868</v>
      </c>
      <c r="F397" s="4">
        <v>2014</v>
      </c>
    </row>
    <row r="398" spans="1:6" x14ac:dyDescent="0.35">
      <c r="A398" s="4" t="s">
        <v>1766</v>
      </c>
      <c r="B398" s="4" t="s">
        <v>26</v>
      </c>
      <c r="C398" s="4">
        <v>5</v>
      </c>
      <c r="D398" s="6">
        <f t="shared" si="8"/>
        <v>106</v>
      </c>
      <c r="E398" s="4">
        <v>21086</v>
      </c>
      <c r="F398" s="4">
        <v>2014</v>
      </c>
    </row>
    <row r="399" spans="1:6" x14ac:dyDescent="0.35">
      <c r="A399" s="4" t="s">
        <v>1022</v>
      </c>
      <c r="B399" s="4" t="s">
        <v>125</v>
      </c>
      <c r="C399" s="4">
        <v>4.5</v>
      </c>
      <c r="D399" s="6">
        <f t="shared" si="8"/>
        <v>359</v>
      </c>
      <c r="E399" s="4">
        <v>10015</v>
      </c>
      <c r="F399" s="4">
        <v>2014</v>
      </c>
    </row>
    <row r="400" spans="1:6" x14ac:dyDescent="0.35">
      <c r="A400" s="4" t="s">
        <v>1866</v>
      </c>
      <c r="B400" s="4" t="s">
        <v>53</v>
      </c>
      <c r="C400" s="4">
        <v>5.0999999999999996</v>
      </c>
      <c r="D400" s="6">
        <f t="shared" si="8"/>
        <v>30</v>
      </c>
      <c r="E400" s="4">
        <v>84431</v>
      </c>
      <c r="F400" s="4">
        <v>2014</v>
      </c>
    </row>
    <row r="401" spans="1:6" x14ac:dyDescent="0.35">
      <c r="A401" s="4" t="s">
        <v>1712</v>
      </c>
      <c r="B401" s="4" t="s">
        <v>146</v>
      </c>
      <c r="C401" s="4">
        <v>5</v>
      </c>
      <c r="D401" s="6">
        <f t="shared" si="8"/>
        <v>105</v>
      </c>
      <c r="E401" s="4">
        <v>41785</v>
      </c>
      <c r="F401" s="4">
        <v>2014</v>
      </c>
    </row>
    <row r="402" spans="1:6" x14ac:dyDescent="0.35">
      <c r="A402" s="4" t="s">
        <v>204</v>
      </c>
      <c r="B402" s="4" t="s">
        <v>205</v>
      </c>
      <c r="C402" s="4">
        <v>2.7</v>
      </c>
      <c r="D402" s="6">
        <f t="shared" si="8"/>
        <v>560</v>
      </c>
      <c r="E402" s="4">
        <v>60523</v>
      </c>
      <c r="F402" s="4">
        <v>2014</v>
      </c>
    </row>
    <row r="403" spans="1:6" x14ac:dyDescent="0.35">
      <c r="A403" s="4" t="s">
        <v>1043</v>
      </c>
      <c r="B403" s="4" t="s">
        <v>208</v>
      </c>
      <c r="C403" s="4">
        <v>4.5999999999999996</v>
      </c>
      <c r="D403" s="6">
        <f t="shared" si="8"/>
        <v>317</v>
      </c>
      <c r="E403" s="4">
        <v>45654</v>
      </c>
      <c r="F403" s="4">
        <v>2014</v>
      </c>
    </row>
    <row r="404" spans="1:6" x14ac:dyDescent="0.35">
      <c r="A404" s="4" t="s">
        <v>1433</v>
      </c>
      <c r="B404" s="4" t="s">
        <v>1075</v>
      </c>
      <c r="C404" s="4">
        <v>4.8</v>
      </c>
      <c r="D404" s="6">
        <f t="shared" si="8"/>
        <v>211</v>
      </c>
      <c r="E404" s="4">
        <v>17442</v>
      </c>
      <c r="F404" s="4">
        <v>2014</v>
      </c>
    </row>
    <row r="405" spans="1:6" x14ac:dyDescent="0.35">
      <c r="A405" s="4" t="s">
        <v>1777</v>
      </c>
      <c r="B405" s="4" t="s">
        <v>1778</v>
      </c>
      <c r="C405" s="4">
        <v>5</v>
      </c>
      <c r="D405" s="6">
        <f t="shared" si="8"/>
        <v>105</v>
      </c>
      <c r="E405" s="4">
        <v>16941</v>
      </c>
      <c r="F405" s="4">
        <v>2014</v>
      </c>
    </row>
    <row r="406" spans="1:6" x14ac:dyDescent="0.35">
      <c r="A406" s="4" t="s">
        <v>1973</v>
      </c>
      <c r="B406" s="4" t="s">
        <v>294</v>
      </c>
      <c r="C406" s="4">
        <v>5.0999999999999996</v>
      </c>
      <c r="D406" s="6">
        <f t="shared" si="8"/>
        <v>30</v>
      </c>
      <c r="E406" s="4">
        <v>19659</v>
      </c>
      <c r="F406" s="4">
        <v>2014</v>
      </c>
    </row>
    <row r="407" spans="1:6" x14ac:dyDescent="0.35">
      <c r="A407" s="4" t="s">
        <v>1011</v>
      </c>
      <c r="B407" s="4" t="s">
        <v>568</v>
      </c>
      <c r="C407" s="4">
        <v>4.5</v>
      </c>
      <c r="D407" s="6">
        <f t="shared" si="8"/>
        <v>353</v>
      </c>
      <c r="E407" s="4">
        <v>11714</v>
      </c>
      <c r="F407" s="4">
        <v>2014</v>
      </c>
    </row>
    <row r="408" spans="1:6" x14ac:dyDescent="0.35">
      <c r="A408" s="4" t="s">
        <v>717</v>
      </c>
      <c r="B408" s="4" t="s">
        <v>448</v>
      </c>
      <c r="C408" s="4">
        <v>4.2</v>
      </c>
      <c r="D408" s="6">
        <f t="shared" si="8"/>
        <v>423</v>
      </c>
      <c r="E408" s="4">
        <v>18008</v>
      </c>
      <c r="F408" s="4">
        <v>2014</v>
      </c>
    </row>
    <row r="409" spans="1:6" x14ac:dyDescent="0.35">
      <c r="A409" s="4" t="s">
        <v>907</v>
      </c>
      <c r="B409" s="4" t="s">
        <v>116</v>
      </c>
      <c r="C409" s="4">
        <v>4.4000000000000004</v>
      </c>
      <c r="D409" s="6">
        <f t="shared" si="8"/>
        <v>381</v>
      </c>
      <c r="E409" s="4">
        <v>12499</v>
      </c>
      <c r="F409" s="4">
        <v>2014</v>
      </c>
    </row>
    <row r="410" spans="1:6" x14ac:dyDescent="0.35">
      <c r="A410" s="4" t="s">
        <v>1770</v>
      </c>
      <c r="B410" s="4" t="s">
        <v>56</v>
      </c>
      <c r="C410" s="4">
        <v>5</v>
      </c>
      <c r="D410" s="6">
        <f t="shared" si="8"/>
        <v>104</v>
      </c>
      <c r="E410" s="4">
        <v>17764</v>
      </c>
      <c r="F410" s="4">
        <v>2014</v>
      </c>
    </row>
    <row r="411" spans="1:6" x14ac:dyDescent="0.35">
      <c r="A411" s="4" t="s">
        <v>1812</v>
      </c>
      <c r="B411" s="4" t="s">
        <v>682</v>
      </c>
      <c r="C411" s="4">
        <v>5</v>
      </c>
      <c r="D411" s="6">
        <f t="shared" si="8"/>
        <v>104</v>
      </c>
      <c r="E411" s="4">
        <v>12499</v>
      </c>
      <c r="F411" s="4">
        <v>2014</v>
      </c>
    </row>
    <row r="412" spans="1:6" x14ac:dyDescent="0.35">
      <c r="A412" s="4" t="s">
        <v>1240</v>
      </c>
      <c r="B412" s="4" t="s">
        <v>270</v>
      </c>
      <c r="C412" s="4">
        <v>4.7</v>
      </c>
      <c r="D412" s="6">
        <f t="shared" si="8"/>
        <v>266</v>
      </c>
      <c r="E412" s="4">
        <v>23931</v>
      </c>
      <c r="F412" s="4">
        <v>2014</v>
      </c>
    </row>
    <row r="413" spans="1:6" x14ac:dyDescent="0.35">
      <c r="A413" s="4" t="s">
        <v>2037</v>
      </c>
      <c r="B413" s="4" t="s">
        <v>175</v>
      </c>
      <c r="C413" s="4">
        <v>5.0999999999999996</v>
      </c>
      <c r="D413" s="6">
        <f t="shared" si="8"/>
        <v>30</v>
      </c>
      <c r="E413" s="4">
        <v>13292</v>
      </c>
      <c r="F413" s="4">
        <v>2013</v>
      </c>
    </row>
    <row r="414" spans="1:6" x14ac:dyDescent="0.35">
      <c r="A414" s="4" t="s">
        <v>1631</v>
      </c>
      <c r="B414" s="4" t="s">
        <v>178</v>
      </c>
      <c r="C414" s="4">
        <v>4.9000000000000004</v>
      </c>
      <c r="D414" s="6">
        <f t="shared" si="8"/>
        <v>158</v>
      </c>
      <c r="E414" s="4">
        <v>14215</v>
      </c>
      <c r="F414" s="4">
        <v>2013</v>
      </c>
    </row>
    <row r="415" spans="1:6" x14ac:dyDescent="0.35">
      <c r="A415" s="4" t="s">
        <v>1623</v>
      </c>
      <c r="B415" s="4" t="s">
        <v>101</v>
      </c>
      <c r="C415" s="4">
        <v>4.9000000000000004</v>
      </c>
      <c r="D415" s="6">
        <f t="shared" si="8"/>
        <v>158</v>
      </c>
      <c r="E415" s="4">
        <v>16091</v>
      </c>
      <c r="F415" s="4">
        <v>2013</v>
      </c>
    </row>
    <row r="416" spans="1:6" x14ac:dyDescent="0.35">
      <c r="A416" s="4" t="s">
        <v>298</v>
      </c>
      <c r="B416" s="4" t="s">
        <v>299</v>
      </c>
      <c r="C416" s="4">
        <v>3.2</v>
      </c>
      <c r="D416" s="6">
        <f t="shared" si="8"/>
        <v>522</v>
      </c>
      <c r="E416" s="4">
        <v>22908</v>
      </c>
      <c r="F416" s="4">
        <v>2013</v>
      </c>
    </row>
    <row r="417" spans="1:6" x14ac:dyDescent="0.35">
      <c r="A417" s="4" t="s">
        <v>608</v>
      </c>
      <c r="B417" s="4" t="s">
        <v>82</v>
      </c>
      <c r="C417" s="4">
        <v>4</v>
      </c>
      <c r="D417" s="6">
        <f t="shared" si="8"/>
        <v>443</v>
      </c>
      <c r="E417" s="4">
        <v>17167</v>
      </c>
      <c r="F417" s="4">
        <v>2013</v>
      </c>
    </row>
    <row r="418" spans="1:6" x14ac:dyDescent="0.35">
      <c r="A418" s="4" t="s">
        <v>1836</v>
      </c>
      <c r="B418" s="4" t="s">
        <v>169</v>
      </c>
      <c r="C418" s="4">
        <v>5</v>
      </c>
      <c r="D418" s="6">
        <f t="shared" si="8"/>
        <v>103</v>
      </c>
      <c r="E418" s="4">
        <v>11113</v>
      </c>
      <c r="F418" s="4">
        <v>2013</v>
      </c>
    </row>
    <row r="419" spans="1:6" x14ac:dyDescent="0.35">
      <c r="A419" s="4" t="s">
        <v>516</v>
      </c>
      <c r="B419" s="4" t="s">
        <v>31</v>
      </c>
      <c r="C419" s="4">
        <v>3.8</v>
      </c>
      <c r="D419" s="6">
        <f t="shared" si="8"/>
        <v>462</v>
      </c>
      <c r="E419" s="4">
        <v>12096</v>
      </c>
      <c r="F419" s="4">
        <v>2013</v>
      </c>
    </row>
    <row r="420" spans="1:6" x14ac:dyDescent="0.35">
      <c r="A420" s="4" t="s">
        <v>1337</v>
      </c>
      <c r="B420" s="4" t="s">
        <v>82</v>
      </c>
      <c r="C420" s="4">
        <v>4.8</v>
      </c>
      <c r="D420" s="6">
        <f t="shared" si="8"/>
        <v>203</v>
      </c>
      <c r="E420" s="4">
        <v>57264</v>
      </c>
      <c r="F420" s="4">
        <v>2013</v>
      </c>
    </row>
    <row r="421" spans="1:6" x14ac:dyDescent="0.35">
      <c r="A421" s="4" t="s">
        <v>1646</v>
      </c>
      <c r="B421" s="4" t="s">
        <v>14</v>
      </c>
      <c r="C421" s="4">
        <v>4.9000000000000004</v>
      </c>
      <c r="D421" s="6">
        <f t="shared" si="8"/>
        <v>157</v>
      </c>
      <c r="E421" s="4">
        <v>12517</v>
      </c>
      <c r="F421" s="4">
        <v>2013</v>
      </c>
    </row>
    <row r="422" spans="1:6" x14ac:dyDescent="0.35">
      <c r="A422" s="4" t="s">
        <v>1467</v>
      </c>
      <c r="B422" s="4" t="s">
        <v>47</v>
      </c>
      <c r="C422" s="4">
        <v>4.8</v>
      </c>
      <c r="D422" s="6">
        <f t="shared" si="8"/>
        <v>202</v>
      </c>
      <c r="E422" s="4">
        <v>13140</v>
      </c>
      <c r="F422" s="4">
        <v>2013</v>
      </c>
    </row>
    <row r="423" spans="1:6" x14ac:dyDescent="0.35">
      <c r="A423" s="4" t="s">
        <v>322</v>
      </c>
      <c r="B423" s="4" t="s">
        <v>178</v>
      </c>
      <c r="C423" s="4">
        <v>3.3</v>
      </c>
      <c r="D423" s="6">
        <f t="shared" si="8"/>
        <v>512</v>
      </c>
      <c r="E423" s="4">
        <v>53822</v>
      </c>
      <c r="F423" s="4">
        <v>2013</v>
      </c>
    </row>
    <row r="424" spans="1:6" x14ac:dyDescent="0.35">
      <c r="A424" s="4" t="s">
        <v>367</v>
      </c>
      <c r="B424" s="4" t="s">
        <v>211</v>
      </c>
      <c r="C424" s="4">
        <v>3.5</v>
      </c>
      <c r="D424" s="6">
        <f t="shared" si="8"/>
        <v>496</v>
      </c>
      <c r="E424" s="4">
        <v>78692</v>
      </c>
      <c r="F424" s="4">
        <v>2013</v>
      </c>
    </row>
    <row r="425" spans="1:6" x14ac:dyDescent="0.35">
      <c r="A425" s="4" t="s">
        <v>1396</v>
      </c>
      <c r="B425" s="4" t="s">
        <v>508</v>
      </c>
      <c r="C425" s="4">
        <v>4.8</v>
      </c>
      <c r="D425" s="6">
        <f t="shared" si="8"/>
        <v>202</v>
      </c>
      <c r="E425" s="4">
        <v>23460</v>
      </c>
      <c r="F425" s="4">
        <v>2013</v>
      </c>
    </row>
    <row r="426" spans="1:6" x14ac:dyDescent="0.35">
      <c r="A426" s="4" t="s">
        <v>768</v>
      </c>
      <c r="B426" s="4" t="s">
        <v>68</v>
      </c>
      <c r="C426" s="4">
        <v>4.3</v>
      </c>
      <c r="D426" s="6">
        <f t="shared" si="8"/>
        <v>396</v>
      </c>
      <c r="E426" s="4">
        <v>25148</v>
      </c>
      <c r="F426" s="4">
        <v>2013</v>
      </c>
    </row>
    <row r="427" spans="1:6" x14ac:dyDescent="0.35">
      <c r="A427" s="4" t="s">
        <v>1013</v>
      </c>
      <c r="B427" s="4" t="s">
        <v>82</v>
      </c>
      <c r="C427" s="4">
        <v>4.5</v>
      </c>
      <c r="D427" s="6">
        <f t="shared" si="8"/>
        <v>342</v>
      </c>
      <c r="E427" s="4">
        <v>11661</v>
      </c>
      <c r="F427" s="4">
        <v>2013</v>
      </c>
    </row>
    <row r="428" spans="1:6" x14ac:dyDescent="0.35">
      <c r="A428" s="4" t="s">
        <v>828</v>
      </c>
      <c r="B428" s="4" t="s">
        <v>11</v>
      </c>
      <c r="C428" s="4">
        <v>4.4000000000000004</v>
      </c>
      <c r="D428" s="6">
        <f t="shared" si="8"/>
        <v>369</v>
      </c>
      <c r="E428" s="4">
        <v>114465</v>
      </c>
      <c r="F428" s="4">
        <v>2013</v>
      </c>
    </row>
    <row r="429" spans="1:6" x14ac:dyDescent="0.35">
      <c r="A429" s="4" t="s">
        <v>1844</v>
      </c>
      <c r="B429" s="4" t="s">
        <v>31</v>
      </c>
      <c r="C429" s="4">
        <v>5</v>
      </c>
      <c r="D429" s="6">
        <f t="shared" si="8"/>
        <v>103</v>
      </c>
      <c r="E429" s="4">
        <v>10469</v>
      </c>
      <c r="F429" s="4">
        <v>2013</v>
      </c>
    </row>
    <row r="430" spans="1:6" x14ac:dyDescent="0.35">
      <c r="A430" s="4" t="s">
        <v>67</v>
      </c>
      <c r="B430" s="4" t="s">
        <v>68</v>
      </c>
      <c r="C430" s="4">
        <v>1.6</v>
      </c>
      <c r="D430" s="6">
        <f t="shared" si="8"/>
        <v>566</v>
      </c>
      <c r="E430" s="4">
        <v>17938</v>
      </c>
      <c r="F430" s="4">
        <v>2013</v>
      </c>
    </row>
    <row r="431" spans="1:6" x14ac:dyDescent="0.35">
      <c r="A431" s="4" t="s">
        <v>1673</v>
      </c>
      <c r="B431" s="4" t="s">
        <v>211</v>
      </c>
      <c r="C431" s="4">
        <v>4.9000000000000004</v>
      </c>
      <c r="D431" s="6">
        <f t="shared" si="8"/>
        <v>156</v>
      </c>
      <c r="E431" s="4">
        <v>10203</v>
      </c>
      <c r="F431" s="4">
        <v>2013</v>
      </c>
    </row>
    <row r="432" spans="1:6" x14ac:dyDescent="0.35">
      <c r="A432" s="4" t="s">
        <v>867</v>
      </c>
      <c r="B432" s="4" t="s">
        <v>294</v>
      </c>
      <c r="C432" s="4">
        <v>4.4000000000000004</v>
      </c>
      <c r="D432" s="6">
        <f t="shared" si="8"/>
        <v>367</v>
      </c>
      <c r="E432" s="4">
        <v>25450</v>
      </c>
      <c r="F432" s="4">
        <v>2013</v>
      </c>
    </row>
    <row r="433" spans="1:6" x14ac:dyDescent="0.35">
      <c r="A433" s="4" t="s">
        <v>2092</v>
      </c>
      <c r="B433" s="4" t="s">
        <v>2093</v>
      </c>
      <c r="C433" s="4">
        <v>5.0999999999999996</v>
      </c>
      <c r="D433" s="6">
        <f t="shared" si="8"/>
        <v>30</v>
      </c>
      <c r="E433" s="4">
        <v>10183</v>
      </c>
      <c r="F433" s="4">
        <v>2013</v>
      </c>
    </row>
    <row r="434" spans="1:6" x14ac:dyDescent="0.35">
      <c r="A434" s="4" t="s">
        <v>296</v>
      </c>
      <c r="B434" s="4" t="s">
        <v>116</v>
      </c>
      <c r="C434" s="4">
        <v>3.2</v>
      </c>
      <c r="D434" s="6">
        <f t="shared" si="8"/>
        <v>506</v>
      </c>
      <c r="E434" s="4">
        <v>44004</v>
      </c>
      <c r="F434" s="4">
        <v>2013</v>
      </c>
    </row>
    <row r="435" spans="1:6" x14ac:dyDescent="0.35">
      <c r="A435" s="4" t="s">
        <v>2047</v>
      </c>
      <c r="B435" s="4" t="s">
        <v>146</v>
      </c>
      <c r="C435" s="4">
        <v>5.0999999999999996</v>
      </c>
      <c r="D435" s="6">
        <f t="shared" si="8"/>
        <v>30</v>
      </c>
      <c r="E435" s="4">
        <v>12223</v>
      </c>
      <c r="F435" s="4">
        <v>2013</v>
      </c>
    </row>
    <row r="436" spans="1:6" x14ac:dyDescent="0.35">
      <c r="A436" s="4" t="s">
        <v>1324</v>
      </c>
      <c r="B436" s="4" t="s">
        <v>163</v>
      </c>
      <c r="C436" s="4">
        <v>4.8</v>
      </c>
      <c r="D436" s="6">
        <f t="shared" si="8"/>
        <v>198</v>
      </c>
      <c r="E436" s="4">
        <v>211275</v>
      </c>
      <c r="F436" s="4">
        <v>2013</v>
      </c>
    </row>
    <row r="437" spans="1:6" x14ac:dyDescent="0.35">
      <c r="A437" s="4" t="s">
        <v>1697</v>
      </c>
      <c r="B437" s="4" t="s">
        <v>270</v>
      </c>
      <c r="C437" s="4">
        <v>5</v>
      </c>
      <c r="D437" s="6">
        <f t="shared" si="8"/>
        <v>101</v>
      </c>
      <c r="E437" s="4">
        <v>50899</v>
      </c>
      <c r="F437" s="4">
        <v>2013</v>
      </c>
    </row>
    <row r="438" spans="1:6" x14ac:dyDescent="0.35">
      <c r="A438" s="4" t="s">
        <v>2101</v>
      </c>
      <c r="B438" s="4" t="s">
        <v>294</v>
      </c>
      <c r="C438" s="4">
        <v>5.2</v>
      </c>
      <c r="D438" s="6">
        <f t="shared" si="8"/>
        <v>1</v>
      </c>
      <c r="E438" s="4">
        <v>217048</v>
      </c>
      <c r="F438" s="4">
        <v>2013</v>
      </c>
    </row>
    <row r="439" spans="1:6" x14ac:dyDescent="0.35">
      <c r="A439" s="4" t="s">
        <v>648</v>
      </c>
      <c r="B439" s="4" t="s">
        <v>649</v>
      </c>
      <c r="C439" s="4">
        <v>4.0999999999999996</v>
      </c>
      <c r="D439" s="6">
        <f t="shared" si="8"/>
        <v>415</v>
      </c>
      <c r="E439" s="4">
        <v>23717</v>
      </c>
      <c r="F439" s="4">
        <v>2012</v>
      </c>
    </row>
    <row r="440" spans="1:6" x14ac:dyDescent="0.35">
      <c r="A440" s="4" t="s">
        <v>1960</v>
      </c>
      <c r="B440" s="4" t="s">
        <v>1778</v>
      </c>
      <c r="C440" s="4">
        <v>5.0999999999999996</v>
      </c>
      <c r="D440" s="6">
        <f t="shared" ref="D440:D503" si="9">_xlfn.RANK.EQ(C440, C440:C1439)</f>
        <v>29</v>
      </c>
      <c r="E440" s="4">
        <v>21613</v>
      </c>
      <c r="F440" s="4">
        <v>2012</v>
      </c>
    </row>
    <row r="441" spans="1:6" x14ac:dyDescent="0.35">
      <c r="A441" s="4" t="s">
        <v>1920</v>
      </c>
      <c r="B441" s="4" t="s">
        <v>44</v>
      </c>
      <c r="C441" s="4">
        <v>5.0999999999999996</v>
      </c>
      <c r="D441" s="6">
        <f t="shared" si="9"/>
        <v>29</v>
      </c>
      <c r="E441" s="4">
        <v>33518</v>
      </c>
      <c r="F441" s="4">
        <v>2012</v>
      </c>
    </row>
    <row r="442" spans="1:6" x14ac:dyDescent="0.35">
      <c r="A442" s="4" t="s">
        <v>89</v>
      </c>
      <c r="B442" s="4" t="s">
        <v>90</v>
      </c>
      <c r="C442" s="4">
        <v>1.7</v>
      </c>
      <c r="D442" s="6">
        <f t="shared" si="9"/>
        <v>549</v>
      </c>
      <c r="E442" s="4">
        <v>15518</v>
      </c>
      <c r="F442" s="4">
        <v>2012</v>
      </c>
    </row>
    <row r="443" spans="1:6" x14ac:dyDescent="0.35">
      <c r="A443" s="4" t="s">
        <v>2193</v>
      </c>
      <c r="B443" s="4" t="s">
        <v>82</v>
      </c>
      <c r="C443" s="4">
        <v>5.2</v>
      </c>
      <c r="D443" s="6">
        <f t="shared" si="9"/>
        <v>1</v>
      </c>
      <c r="E443" s="4">
        <v>33002</v>
      </c>
      <c r="F443" s="4">
        <v>2012</v>
      </c>
    </row>
    <row r="444" spans="1:6" x14ac:dyDescent="0.35">
      <c r="A444" s="4" t="s">
        <v>699</v>
      </c>
      <c r="B444" s="4" t="s">
        <v>76</v>
      </c>
      <c r="C444" s="4">
        <v>4.2</v>
      </c>
      <c r="D444" s="6">
        <f t="shared" si="9"/>
        <v>397</v>
      </c>
      <c r="E444" s="4">
        <v>37863</v>
      </c>
      <c r="F444" s="4">
        <v>2012</v>
      </c>
    </row>
    <row r="445" spans="1:6" x14ac:dyDescent="0.35">
      <c r="A445" s="4" t="s">
        <v>1570</v>
      </c>
      <c r="B445" s="4" t="s">
        <v>294</v>
      </c>
      <c r="C445" s="4">
        <v>4.9000000000000004</v>
      </c>
      <c r="D445" s="6">
        <f t="shared" si="9"/>
        <v>149</v>
      </c>
      <c r="E445" s="4">
        <v>40151</v>
      </c>
      <c r="F445" s="4">
        <v>2012</v>
      </c>
    </row>
    <row r="446" spans="1:6" x14ac:dyDescent="0.35">
      <c r="A446" s="4" t="s">
        <v>656</v>
      </c>
      <c r="B446" s="4" t="s">
        <v>82</v>
      </c>
      <c r="C446" s="4">
        <v>4.0999999999999996</v>
      </c>
      <c r="D446" s="6">
        <f t="shared" si="9"/>
        <v>410</v>
      </c>
      <c r="E446" s="4">
        <v>20797</v>
      </c>
      <c r="F446" s="4">
        <v>2012</v>
      </c>
    </row>
    <row r="447" spans="1:6" x14ac:dyDescent="0.35">
      <c r="A447" s="4" t="s">
        <v>1249</v>
      </c>
      <c r="B447" s="4" t="s">
        <v>211</v>
      </c>
      <c r="C447" s="4">
        <v>4.7</v>
      </c>
      <c r="D447" s="6">
        <f t="shared" si="9"/>
        <v>247</v>
      </c>
      <c r="E447" s="4">
        <v>20720</v>
      </c>
      <c r="F447" s="4">
        <v>2012</v>
      </c>
    </row>
    <row r="448" spans="1:6" x14ac:dyDescent="0.35">
      <c r="A448" s="4" t="s">
        <v>742</v>
      </c>
      <c r="B448" s="4" t="s">
        <v>181</v>
      </c>
      <c r="C448" s="4">
        <v>4.2</v>
      </c>
      <c r="D448" s="6">
        <f t="shared" si="9"/>
        <v>395</v>
      </c>
      <c r="E448" s="4">
        <v>10869</v>
      </c>
      <c r="F448" s="4">
        <v>2012</v>
      </c>
    </row>
    <row r="449" spans="1:6" x14ac:dyDescent="0.35">
      <c r="A449" s="4" t="s">
        <v>1760</v>
      </c>
      <c r="B449" s="4" t="s">
        <v>146</v>
      </c>
      <c r="C449" s="4">
        <v>5</v>
      </c>
      <c r="D449" s="6">
        <f t="shared" si="9"/>
        <v>97</v>
      </c>
      <c r="E449" s="4">
        <v>21455</v>
      </c>
      <c r="F449" s="4">
        <v>2012</v>
      </c>
    </row>
    <row r="450" spans="1:6" x14ac:dyDescent="0.35">
      <c r="A450" s="4" t="s">
        <v>1538</v>
      </c>
      <c r="B450" s="4" t="s">
        <v>175</v>
      </c>
      <c r="C450" s="4">
        <v>4.9000000000000004</v>
      </c>
      <c r="D450" s="6">
        <f t="shared" si="9"/>
        <v>148</v>
      </c>
      <c r="E450" s="4">
        <v>67763</v>
      </c>
      <c r="F450" s="4">
        <v>2012</v>
      </c>
    </row>
    <row r="451" spans="1:6" x14ac:dyDescent="0.35">
      <c r="A451" s="4" t="s">
        <v>487</v>
      </c>
      <c r="B451" s="4" t="s">
        <v>137</v>
      </c>
      <c r="C451" s="4">
        <v>3.8</v>
      </c>
      <c r="D451" s="6">
        <f t="shared" si="9"/>
        <v>436</v>
      </c>
      <c r="E451" s="4">
        <v>46165</v>
      </c>
      <c r="F451" s="4">
        <v>2012</v>
      </c>
    </row>
    <row r="452" spans="1:6" x14ac:dyDescent="0.35">
      <c r="A452" s="4" t="s">
        <v>1030</v>
      </c>
      <c r="B452" s="4" t="s">
        <v>448</v>
      </c>
      <c r="C452" s="4">
        <v>4.5999999999999996</v>
      </c>
      <c r="D452" s="6">
        <f t="shared" si="9"/>
        <v>289</v>
      </c>
      <c r="E452" s="4">
        <v>71282</v>
      </c>
      <c r="F452" s="4">
        <v>2012</v>
      </c>
    </row>
    <row r="453" spans="1:6" x14ac:dyDescent="0.35">
      <c r="A453" s="4" t="s">
        <v>1824</v>
      </c>
      <c r="B453" s="4" t="s">
        <v>1039</v>
      </c>
      <c r="C453" s="4">
        <v>5</v>
      </c>
      <c r="D453" s="6">
        <f t="shared" si="9"/>
        <v>97</v>
      </c>
      <c r="E453" s="4">
        <v>11511</v>
      </c>
      <c r="F453" s="4">
        <v>2012</v>
      </c>
    </row>
    <row r="454" spans="1:6" x14ac:dyDescent="0.35">
      <c r="A454" s="4" t="s">
        <v>838</v>
      </c>
      <c r="B454" s="4" t="s">
        <v>128</v>
      </c>
      <c r="C454" s="4">
        <v>4.4000000000000004</v>
      </c>
      <c r="D454" s="6">
        <f t="shared" si="9"/>
        <v>353</v>
      </c>
      <c r="E454" s="4">
        <v>58611</v>
      </c>
      <c r="F454" s="4">
        <v>2012</v>
      </c>
    </row>
    <row r="455" spans="1:6" x14ac:dyDescent="0.35">
      <c r="A455" s="4" t="s">
        <v>1478</v>
      </c>
      <c r="B455" s="4" t="s">
        <v>128</v>
      </c>
      <c r="C455" s="4">
        <v>4.8</v>
      </c>
      <c r="D455" s="6">
        <f t="shared" si="9"/>
        <v>189</v>
      </c>
      <c r="E455" s="4">
        <v>12205</v>
      </c>
      <c r="F455" s="4">
        <v>2012</v>
      </c>
    </row>
    <row r="456" spans="1:6" x14ac:dyDescent="0.35">
      <c r="A456" s="4" t="s">
        <v>390</v>
      </c>
      <c r="B456" s="4" t="s">
        <v>193</v>
      </c>
      <c r="C456" s="4">
        <v>3.5</v>
      </c>
      <c r="D456" s="6">
        <f t="shared" si="9"/>
        <v>468</v>
      </c>
      <c r="E456" s="4">
        <v>12946</v>
      </c>
      <c r="F456" s="4">
        <v>2012</v>
      </c>
    </row>
    <row r="457" spans="1:6" x14ac:dyDescent="0.35">
      <c r="A457" s="4" t="s">
        <v>1930</v>
      </c>
      <c r="B457" s="4" t="s">
        <v>448</v>
      </c>
      <c r="C457" s="4">
        <v>5.0999999999999996</v>
      </c>
      <c r="D457" s="6">
        <f t="shared" si="9"/>
        <v>28</v>
      </c>
      <c r="E457" s="4">
        <v>28225</v>
      </c>
      <c r="F457" s="4">
        <v>2012</v>
      </c>
    </row>
    <row r="458" spans="1:6" x14ac:dyDescent="0.35">
      <c r="A458" s="4" t="s">
        <v>1313</v>
      </c>
      <c r="B458" s="4" t="s">
        <v>56</v>
      </c>
      <c r="C458" s="4">
        <v>4.7</v>
      </c>
      <c r="D458" s="6">
        <f t="shared" si="9"/>
        <v>242</v>
      </c>
      <c r="E458" s="4">
        <v>10813</v>
      </c>
      <c r="F458" s="4">
        <v>2012</v>
      </c>
    </row>
    <row r="459" spans="1:6" x14ac:dyDescent="0.35">
      <c r="A459" s="4" t="s">
        <v>46</v>
      </c>
      <c r="B459" s="4" t="s">
        <v>47</v>
      </c>
      <c r="C459" s="4">
        <v>1.3</v>
      </c>
      <c r="D459" s="6">
        <f t="shared" si="9"/>
        <v>541</v>
      </c>
      <c r="E459" s="4">
        <v>12128</v>
      </c>
      <c r="F459" s="4">
        <v>2012</v>
      </c>
    </row>
    <row r="460" spans="1:6" x14ac:dyDescent="0.35">
      <c r="A460" s="4" t="s">
        <v>1413</v>
      </c>
      <c r="B460" s="4" t="s">
        <v>146</v>
      </c>
      <c r="C460" s="4">
        <v>4.8</v>
      </c>
      <c r="D460" s="6">
        <f t="shared" si="9"/>
        <v>188</v>
      </c>
      <c r="E460" s="4">
        <v>20256</v>
      </c>
      <c r="F460" s="4">
        <v>2012</v>
      </c>
    </row>
    <row r="461" spans="1:6" x14ac:dyDescent="0.35">
      <c r="A461" s="4" t="s">
        <v>1889</v>
      </c>
      <c r="B461" s="4" t="s">
        <v>926</v>
      </c>
      <c r="C461" s="4">
        <v>5.0999999999999996</v>
      </c>
      <c r="D461" s="6">
        <f t="shared" si="9"/>
        <v>28</v>
      </c>
      <c r="E461" s="4">
        <v>50711</v>
      </c>
      <c r="F461" s="4">
        <v>2012</v>
      </c>
    </row>
    <row r="462" spans="1:6" x14ac:dyDescent="0.35">
      <c r="A462" s="4" t="s">
        <v>1691</v>
      </c>
      <c r="B462" s="4" t="s">
        <v>175</v>
      </c>
      <c r="C462" s="4">
        <v>5</v>
      </c>
      <c r="D462" s="6">
        <f t="shared" si="9"/>
        <v>95</v>
      </c>
      <c r="E462" s="4">
        <v>69104</v>
      </c>
      <c r="F462" s="4">
        <v>2012</v>
      </c>
    </row>
    <row r="463" spans="1:6" x14ac:dyDescent="0.35">
      <c r="A463" s="4" t="s">
        <v>1230</v>
      </c>
      <c r="B463" s="4" t="s">
        <v>175</v>
      </c>
      <c r="C463" s="4">
        <v>4.7</v>
      </c>
      <c r="D463" s="6">
        <f t="shared" si="9"/>
        <v>239</v>
      </c>
      <c r="E463" s="4">
        <v>25702</v>
      </c>
      <c r="F463" s="4">
        <v>2012</v>
      </c>
    </row>
    <row r="464" spans="1:6" x14ac:dyDescent="0.35">
      <c r="A464" s="4" t="s">
        <v>2189</v>
      </c>
      <c r="B464" s="4" t="s">
        <v>462</v>
      </c>
      <c r="C464" s="4">
        <v>5.2</v>
      </c>
      <c r="D464" s="6">
        <f t="shared" si="9"/>
        <v>1</v>
      </c>
      <c r="E464" s="4">
        <v>35728</v>
      </c>
      <c r="F464" s="4">
        <v>2012</v>
      </c>
    </row>
    <row r="465" spans="1:6" x14ac:dyDescent="0.35">
      <c r="A465" s="4" t="s">
        <v>1472</v>
      </c>
      <c r="B465" s="4" t="s">
        <v>122</v>
      </c>
      <c r="C465" s="4">
        <v>4.8</v>
      </c>
      <c r="D465" s="6">
        <f t="shared" si="9"/>
        <v>185</v>
      </c>
      <c r="E465" s="4">
        <v>12573</v>
      </c>
      <c r="F465" s="4">
        <v>2012</v>
      </c>
    </row>
    <row r="466" spans="1:6" x14ac:dyDescent="0.35">
      <c r="A466" s="4" t="s">
        <v>1507</v>
      </c>
      <c r="B466" s="4" t="s">
        <v>14</v>
      </c>
      <c r="C466" s="4">
        <v>4.8</v>
      </c>
      <c r="D466" s="6">
        <f t="shared" si="9"/>
        <v>185</v>
      </c>
      <c r="E466" s="4">
        <v>11045</v>
      </c>
      <c r="F466" s="4">
        <v>2012</v>
      </c>
    </row>
    <row r="467" spans="1:6" x14ac:dyDescent="0.35">
      <c r="A467" s="4" t="s">
        <v>1505</v>
      </c>
      <c r="B467" s="4" t="s">
        <v>467</v>
      </c>
      <c r="C467" s="4">
        <v>4.8</v>
      </c>
      <c r="D467" s="6">
        <f t="shared" si="9"/>
        <v>185</v>
      </c>
      <c r="E467" s="4">
        <v>11052</v>
      </c>
      <c r="F467" s="4">
        <v>2012</v>
      </c>
    </row>
    <row r="468" spans="1:6" x14ac:dyDescent="0.35">
      <c r="A468" s="4" t="s">
        <v>1714</v>
      </c>
      <c r="B468" s="4" t="s">
        <v>571</v>
      </c>
      <c r="C468" s="4">
        <v>5</v>
      </c>
      <c r="D468" s="6">
        <f t="shared" si="9"/>
        <v>94</v>
      </c>
      <c r="E468" s="4">
        <v>38974</v>
      </c>
      <c r="F468" s="4">
        <v>2012</v>
      </c>
    </row>
    <row r="469" spans="1:6" x14ac:dyDescent="0.35">
      <c r="A469" s="4" t="s">
        <v>2149</v>
      </c>
      <c r="B469" s="4" t="s">
        <v>140</v>
      </c>
      <c r="C469" s="4">
        <v>5.2</v>
      </c>
      <c r="D469" s="6">
        <f t="shared" si="9"/>
        <v>1</v>
      </c>
      <c r="E469" s="4">
        <v>66227</v>
      </c>
      <c r="F469" s="4">
        <v>2011</v>
      </c>
    </row>
    <row r="470" spans="1:6" x14ac:dyDescent="0.35">
      <c r="A470" s="4" t="s">
        <v>963</v>
      </c>
      <c r="B470" s="4" t="s">
        <v>649</v>
      </c>
      <c r="C470" s="4">
        <v>4.5</v>
      </c>
      <c r="D470" s="6">
        <f t="shared" si="9"/>
        <v>313</v>
      </c>
      <c r="E470" s="4">
        <v>28833</v>
      </c>
      <c r="F470" s="4">
        <v>2011</v>
      </c>
    </row>
    <row r="471" spans="1:6" x14ac:dyDescent="0.35">
      <c r="A471" s="4" t="s">
        <v>1480</v>
      </c>
      <c r="B471" s="4" t="s">
        <v>270</v>
      </c>
      <c r="C471" s="4">
        <v>4.8</v>
      </c>
      <c r="D471" s="6">
        <f t="shared" si="9"/>
        <v>183</v>
      </c>
      <c r="E471" s="4">
        <v>12111</v>
      </c>
      <c r="F471" s="4">
        <v>2011</v>
      </c>
    </row>
    <row r="472" spans="1:6" x14ac:dyDescent="0.35">
      <c r="A472" s="4" t="s">
        <v>1728</v>
      </c>
      <c r="B472" s="4" t="s">
        <v>1160</v>
      </c>
      <c r="C472" s="4">
        <v>5</v>
      </c>
      <c r="D472" s="6">
        <f t="shared" si="9"/>
        <v>93</v>
      </c>
      <c r="E472" s="4">
        <v>32368</v>
      </c>
      <c r="F472" s="4">
        <v>2011</v>
      </c>
    </row>
    <row r="473" spans="1:6" x14ac:dyDescent="0.35">
      <c r="A473" s="4" t="s">
        <v>1522</v>
      </c>
      <c r="B473" s="4" t="s">
        <v>1322</v>
      </c>
      <c r="C473" s="4">
        <v>4.9000000000000004</v>
      </c>
      <c r="D473" s="6">
        <f t="shared" si="9"/>
        <v>140</v>
      </c>
      <c r="E473" s="4">
        <v>258475</v>
      </c>
      <c r="F473" s="4">
        <v>2011</v>
      </c>
    </row>
    <row r="474" spans="1:6" x14ac:dyDescent="0.35">
      <c r="A474" s="4" t="s">
        <v>412</v>
      </c>
      <c r="B474" s="4" t="s">
        <v>178</v>
      </c>
      <c r="C474" s="4">
        <v>3.6</v>
      </c>
      <c r="D474" s="6">
        <f t="shared" si="9"/>
        <v>443</v>
      </c>
      <c r="E474" s="4">
        <v>29008</v>
      </c>
      <c r="F474" s="4">
        <v>2011</v>
      </c>
    </row>
    <row r="475" spans="1:6" x14ac:dyDescent="0.35">
      <c r="A475" s="4" t="s">
        <v>1985</v>
      </c>
      <c r="B475" s="4" t="s">
        <v>56</v>
      </c>
      <c r="C475" s="4">
        <v>5.0999999999999996</v>
      </c>
      <c r="D475" s="6">
        <f t="shared" si="9"/>
        <v>26</v>
      </c>
      <c r="E475" s="4">
        <v>18161</v>
      </c>
      <c r="F475" s="4">
        <v>2011</v>
      </c>
    </row>
    <row r="476" spans="1:6" x14ac:dyDescent="0.35">
      <c r="A476" s="4" t="s">
        <v>1356</v>
      </c>
      <c r="B476" s="4" t="s">
        <v>584</v>
      </c>
      <c r="C476" s="4">
        <v>4.8</v>
      </c>
      <c r="D476" s="6">
        <f t="shared" si="9"/>
        <v>180</v>
      </c>
      <c r="E476" s="4">
        <v>41990</v>
      </c>
      <c r="F476" s="4">
        <v>2011</v>
      </c>
    </row>
    <row r="477" spans="1:6" x14ac:dyDescent="0.35">
      <c r="A477" s="4" t="s">
        <v>493</v>
      </c>
      <c r="B477" s="4" t="s">
        <v>76</v>
      </c>
      <c r="C477" s="4">
        <v>3.8</v>
      </c>
      <c r="D477" s="6">
        <f t="shared" si="9"/>
        <v>414</v>
      </c>
      <c r="E477" s="4">
        <v>44268</v>
      </c>
      <c r="F477" s="4">
        <v>2011</v>
      </c>
    </row>
    <row r="478" spans="1:6" x14ac:dyDescent="0.35">
      <c r="A478" s="4" t="s">
        <v>1540</v>
      </c>
      <c r="B478" s="4" t="s">
        <v>122</v>
      </c>
      <c r="C478" s="4">
        <v>4.9000000000000004</v>
      </c>
      <c r="D478" s="6">
        <f t="shared" si="9"/>
        <v>139</v>
      </c>
      <c r="E478" s="4">
        <v>64438</v>
      </c>
      <c r="F478" s="4">
        <v>2011</v>
      </c>
    </row>
    <row r="479" spans="1:6" x14ac:dyDescent="0.35">
      <c r="A479" s="4" t="s">
        <v>643</v>
      </c>
      <c r="B479" s="4" t="s">
        <v>571</v>
      </c>
      <c r="C479" s="4">
        <v>4.0999999999999996</v>
      </c>
      <c r="D479" s="6">
        <f t="shared" si="9"/>
        <v>383</v>
      </c>
      <c r="E479" s="4">
        <v>27444</v>
      </c>
      <c r="F479" s="4">
        <v>2011</v>
      </c>
    </row>
    <row r="480" spans="1:6" x14ac:dyDescent="0.35">
      <c r="A480" s="4" t="s">
        <v>877</v>
      </c>
      <c r="B480" s="4" t="s">
        <v>56</v>
      </c>
      <c r="C480" s="4">
        <v>4.4000000000000004</v>
      </c>
      <c r="D480" s="6">
        <f t="shared" si="9"/>
        <v>333</v>
      </c>
      <c r="E480" s="4">
        <v>21913</v>
      </c>
      <c r="F480" s="4">
        <v>2011</v>
      </c>
    </row>
    <row r="481" spans="1:6" x14ac:dyDescent="0.35">
      <c r="A481" s="4" t="s">
        <v>1609</v>
      </c>
      <c r="B481" s="4" t="s">
        <v>181</v>
      </c>
      <c r="C481" s="4">
        <v>4.9000000000000004</v>
      </c>
      <c r="D481" s="6">
        <f t="shared" si="9"/>
        <v>139</v>
      </c>
      <c r="E481" s="4">
        <v>20168</v>
      </c>
      <c r="F481" s="4">
        <v>2011</v>
      </c>
    </row>
    <row r="482" spans="1:6" x14ac:dyDescent="0.35">
      <c r="A482" s="4" t="s">
        <v>1560</v>
      </c>
      <c r="B482" s="4" t="s">
        <v>163</v>
      </c>
      <c r="C482" s="4">
        <v>4.9000000000000004</v>
      </c>
      <c r="D482" s="6">
        <f t="shared" si="9"/>
        <v>139</v>
      </c>
      <c r="E482" s="4">
        <v>47785</v>
      </c>
      <c r="F482" s="4">
        <v>2011</v>
      </c>
    </row>
    <row r="483" spans="1:6" x14ac:dyDescent="0.35">
      <c r="A483" s="4" t="s">
        <v>1106</v>
      </c>
      <c r="B483" s="4" t="s">
        <v>584</v>
      </c>
      <c r="C483" s="4">
        <v>4.5999999999999996</v>
      </c>
      <c r="D483" s="6">
        <f t="shared" si="9"/>
        <v>267</v>
      </c>
      <c r="E483" s="4">
        <v>16961</v>
      </c>
      <c r="F483" s="4">
        <v>2011</v>
      </c>
    </row>
    <row r="484" spans="1:6" x14ac:dyDescent="0.35">
      <c r="A484" s="4" t="s">
        <v>645</v>
      </c>
      <c r="B484" s="4" t="s">
        <v>646</v>
      </c>
      <c r="C484" s="4">
        <v>4.0999999999999996</v>
      </c>
      <c r="D484" s="6">
        <f t="shared" si="9"/>
        <v>379</v>
      </c>
      <c r="E484" s="4">
        <v>26229</v>
      </c>
      <c r="F484" s="4">
        <v>2011</v>
      </c>
    </row>
    <row r="485" spans="1:6" x14ac:dyDescent="0.35">
      <c r="A485" s="4" t="s">
        <v>73</v>
      </c>
      <c r="B485" s="4" t="s">
        <v>68</v>
      </c>
      <c r="C485" s="4">
        <v>1.7</v>
      </c>
      <c r="D485" s="6">
        <f t="shared" si="9"/>
        <v>508</v>
      </c>
      <c r="E485" s="4">
        <v>76481</v>
      </c>
      <c r="F485" s="4">
        <v>2011</v>
      </c>
    </row>
    <row r="486" spans="1:6" x14ac:dyDescent="0.35">
      <c r="A486" s="4" t="s">
        <v>320</v>
      </c>
      <c r="B486" s="4" t="s">
        <v>11</v>
      </c>
      <c r="C486" s="4">
        <v>3.3</v>
      </c>
      <c r="D486" s="6">
        <f t="shared" si="9"/>
        <v>455</v>
      </c>
      <c r="E486" s="4">
        <v>91775</v>
      </c>
      <c r="F486" s="4">
        <v>2011</v>
      </c>
    </row>
    <row r="487" spans="1:6" x14ac:dyDescent="0.35">
      <c r="A487" s="4" t="s">
        <v>1203</v>
      </c>
      <c r="B487" s="4" t="s">
        <v>1204</v>
      </c>
      <c r="C487" s="4">
        <v>4.7</v>
      </c>
      <c r="D487" s="6">
        <f t="shared" si="9"/>
        <v>225</v>
      </c>
      <c r="E487" s="4">
        <v>34737</v>
      </c>
      <c r="F487" s="4">
        <v>2011</v>
      </c>
    </row>
    <row r="488" spans="1:6" x14ac:dyDescent="0.35">
      <c r="A488" s="4" t="s">
        <v>1762</v>
      </c>
      <c r="B488" s="4" t="s">
        <v>116</v>
      </c>
      <c r="C488" s="4">
        <v>5</v>
      </c>
      <c r="D488" s="6">
        <f t="shared" si="9"/>
        <v>92</v>
      </c>
      <c r="E488" s="4">
        <v>21350</v>
      </c>
      <c r="F488" s="4">
        <v>2011</v>
      </c>
    </row>
    <row r="489" spans="1:6" x14ac:dyDescent="0.35">
      <c r="A489" s="4" t="s">
        <v>2071</v>
      </c>
      <c r="B489" s="4" t="s">
        <v>82</v>
      </c>
      <c r="C489" s="4">
        <v>5.0999999999999996</v>
      </c>
      <c r="D489" s="6">
        <f t="shared" si="9"/>
        <v>26</v>
      </c>
      <c r="E489" s="4">
        <v>10850</v>
      </c>
      <c r="F489" s="4">
        <v>2011</v>
      </c>
    </row>
    <row r="490" spans="1:6" x14ac:dyDescent="0.35">
      <c r="A490" s="4" t="s">
        <v>1054</v>
      </c>
      <c r="B490" s="4" t="s">
        <v>76</v>
      </c>
      <c r="C490" s="4">
        <v>4.5999999999999996</v>
      </c>
      <c r="D490" s="6">
        <f t="shared" si="9"/>
        <v>264</v>
      </c>
      <c r="E490" s="4">
        <v>36499</v>
      </c>
      <c r="F490" s="4">
        <v>2011</v>
      </c>
    </row>
    <row r="491" spans="1:6" x14ac:dyDescent="0.35">
      <c r="A491" s="4" t="s">
        <v>1283</v>
      </c>
      <c r="B491" s="4" t="s">
        <v>65</v>
      </c>
      <c r="C491" s="4">
        <v>4.7</v>
      </c>
      <c r="D491" s="6">
        <f t="shared" si="9"/>
        <v>223</v>
      </c>
      <c r="E491" s="4">
        <v>14191</v>
      </c>
      <c r="F491" s="4">
        <v>2011</v>
      </c>
    </row>
    <row r="492" spans="1:6" x14ac:dyDescent="0.35">
      <c r="A492" s="4" t="s">
        <v>224</v>
      </c>
      <c r="B492" s="4" t="s">
        <v>76</v>
      </c>
      <c r="C492" s="4">
        <v>2.7</v>
      </c>
      <c r="D492" s="6">
        <f t="shared" si="9"/>
        <v>475</v>
      </c>
      <c r="E492" s="4">
        <v>10209</v>
      </c>
      <c r="F492" s="4">
        <v>2011</v>
      </c>
    </row>
    <row r="493" spans="1:6" x14ac:dyDescent="0.35">
      <c r="A493" s="4" t="s">
        <v>753</v>
      </c>
      <c r="B493" s="4" t="s">
        <v>754</v>
      </c>
      <c r="C493" s="4">
        <v>4.3</v>
      </c>
      <c r="D493" s="6">
        <f t="shared" si="9"/>
        <v>347</v>
      </c>
      <c r="E493" s="4">
        <v>128358</v>
      </c>
      <c r="F493" s="4">
        <v>2011</v>
      </c>
    </row>
    <row r="494" spans="1:6" x14ac:dyDescent="0.35">
      <c r="A494" s="4" t="s">
        <v>1834</v>
      </c>
      <c r="B494" s="4" t="s">
        <v>101</v>
      </c>
      <c r="C494" s="4">
        <v>5</v>
      </c>
      <c r="D494" s="6">
        <f t="shared" si="9"/>
        <v>91</v>
      </c>
      <c r="E494" s="4">
        <v>11176</v>
      </c>
      <c r="F494" s="4">
        <v>2011</v>
      </c>
    </row>
    <row r="495" spans="1:6" x14ac:dyDescent="0.35">
      <c r="A495" s="4" t="s">
        <v>559</v>
      </c>
      <c r="B495" s="4" t="s">
        <v>560</v>
      </c>
      <c r="C495" s="4">
        <v>3.9</v>
      </c>
      <c r="D495" s="6">
        <f t="shared" si="9"/>
        <v>386</v>
      </c>
      <c r="E495" s="4">
        <v>20749</v>
      </c>
      <c r="F495" s="4">
        <v>2011</v>
      </c>
    </row>
    <row r="496" spans="1:6" x14ac:dyDescent="0.35">
      <c r="A496" s="4" t="s">
        <v>2119</v>
      </c>
      <c r="B496" s="4" t="s">
        <v>166</v>
      </c>
      <c r="C496" s="4">
        <v>5.2</v>
      </c>
      <c r="D496" s="6">
        <f t="shared" si="9"/>
        <v>1</v>
      </c>
      <c r="E496" s="4">
        <v>103537</v>
      </c>
      <c r="F496" s="4">
        <v>2011</v>
      </c>
    </row>
    <row r="497" spans="1:6" x14ac:dyDescent="0.35">
      <c r="A497" s="4" t="s">
        <v>1095</v>
      </c>
      <c r="B497" s="4" t="s">
        <v>294</v>
      </c>
      <c r="C497" s="4">
        <v>4.5999999999999996</v>
      </c>
      <c r="D497" s="6">
        <f t="shared" si="9"/>
        <v>261</v>
      </c>
      <c r="E497" s="4">
        <v>18020</v>
      </c>
      <c r="F497" s="4">
        <v>2011</v>
      </c>
    </row>
    <row r="498" spans="1:6" x14ac:dyDescent="0.35">
      <c r="A498" s="4" t="s">
        <v>332</v>
      </c>
      <c r="B498" s="4" t="s">
        <v>11</v>
      </c>
      <c r="C498" s="4">
        <v>3.3</v>
      </c>
      <c r="D498" s="6">
        <f t="shared" si="9"/>
        <v>445</v>
      </c>
      <c r="E498" s="4">
        <v>13023</v>
      </c>
      <c r="F498" s="4">
        <v>2011</v>
      </c>
    </row>
    <row r="499" spans="1:6" x14ac:dyDescent="0.35">
      <c r="A499" s="4" t="s">
        <v>1219</v>
      </c>
      <c r="B499" s="4" t="s">
        <v>125</v>
      </c>
      <c r="C499" s="4">
        <v>4.7</v>
      </c>
      <c r="D499" s="6">
        <f t="shared" si="9"/>
        <v>221</v>
      </c>
      <c r="E499" s="4">
        <v>28381</v>
      </c>
      <c r="F499" s="4">
        <v>2011</v>
      </c>
    </row>
    <row r="500" spans="1:6" x14ac:dyDescent="0.35">
      <c r="A500" s="4" t="s">
        <v>961</v>
      </c>
      <c r="B500" s="4" t="s">
        <v>146</v>
      </c>
      <c r="C500" s="4">
        <v>4.5</v>
      </c>
      <c r="D500" s="6">
        <f t="shared" si="9"/>
        <v>295</v>
      </c>
      <c r="E500" s="4">
        <v>29987</v>
      </c>
      <c r="F500" s="4">
        <v>2011</v>
      </c>
    </row>
    <row r="501" spans="1:6" x14ac:dyDescent="0.35">
      <c r="A501" s="4" t="s">
        <v>1289</v>
      </c>
      <c r="B501" s="4" t="s">
        <v>294</v>
      </c>
      <c r="C501" s="4">
        <v>4.7</v>
      </c>
      <c r="D501" s="6">
        <f t="shared" si="9"/>
        <v>221</v>
      </c>
      <c r="E501" s="4">
        <v>12465</v>
      </c>
      <c r="F501" s="4">
        <v>2011</v>
      </c>
    </row>
    <row r="502" spans="1:6" x14ac:dyDescent="0.35">
      <c r="A502" s="4" t="s">
        <v>2157</v>
      </c>
      <c r="B502" s="4" t="s">
        <v>804</v>
      </c>
      <c r="C502" s="4">
        <v>5.2</v>
      </c>
      <c r="D502" s="6">
        <f t="shared" si="9"/>
        <v>1</v>
      </c>
      <c r="E502" s="4">
        <v>58607</v>
      </c>
      <c r="F502" s="4">
        <v>2011</v>
      </c>
    </row>
    <row r="503" spans="1:6" x14ac:dyDescent="0.35">
      <c r="A503" s="4" t="s">
        <v>1818</v>
      </c>
      <c r="B503" s="4" t="s">
        <v>82</v>
      </c>
      <c r="C503" s="4">
        <v>5</v>
      </c>
      <c r="D503" s="6">
        <f t="shared" si="9"/>
        <v>89</v>
      </c>
      <c r="E503" s="4">
        <v>11884</v>
      </c>
      <c r="F503" s="4">
        <v>2011</v>
      </c>
    </row>
    <row r="504" spans="1:6" x14ac:dyDescent="0.35">
      <c r="A504" s="4" t="s">
        <v>850</v>
      </c>
      <c r="B504" s="4" t="s">
        <v>217</v>
      </c>
      <c r="C504" s="4">
        <v>4.4000000000000004</v>
      </c>
      <c r="D504" s="6">
        <f t="shared" ref="D504:D567" si="10">_xlfn.RANK.EQ(C504, C504:C1503)</f>
        <v>317</v>
      </c>
      <c r="E504" s="4">
        <v>40753</v>
      </c>
      <c r="F504" s="4">
        <v>2011</v>
      </c>
    </row>
    <row r="505" spans="1:6" x14ac:dyDescent="0.35">
      <c r="A505" s="4" t="s">
        <v>1868</v>
      </c>
      <c r="B505" s="4" t="s">
        <v>1869</v>
      </c>
      <c r="C505" s="4">
        <v>5.0999999999999996</v>
      </c>
      <c r="D505" s="6">
        <f t="shared" si="10"/>
        <v>24</v>
      </c>
      <c r="E505" s="4">
        <v>84009</v>
      </c>
      <c r="F505" s="4">
        <v>2011</v>
      </c>
    </row>
    <row r="506" spans="1:6" x14ac:dyDescent="0.35">
      <c r="A506" s="4" t="s">
        <v>248</v>
      </c>
      <c r="B506" s="4" t="s">
        <v>249</v>
      </c>
      <c r="C506" s="4">
        <v>2.9</v>
      </c>
      <c r="D506" s="6">
        <f t="shared" si="10"/>
        <v>455</v>
      </c>
      <c r="E506" s="4">
        <v>34925</v>
      </c>
      <c r="F506" s="4">
        <v>2011</v>
      </c>
    </row>
    <row r="507" spans="1:6" x14ac:dyDescent="0.35">
      <c r="A507" s="5">
        <v>40858</v>
      </c>
      <c r="B507" s="4" t="s">
        <v>175</v>
      </c>
      <c r="C507" s="4">
        <v>3.9</v>
      </c>
      <c r="D507" s="6">
        <f t="shared" si="10"/>
        <v>377</v>
      </c>
      <c r="E507" s="4">
        <v>12653</v>
      </c>
      <c r="F507" s="4">
        <v>2011</v>
      </c>
    </row>
    <row r="508" spans="1:6" x14ac:dyDescent="0.35">
      <c r="A508" s="4" t="s">
        <v>1077</v>
      </c>
      <c r="B508" s="4" t="s">
        <v>65</v>
      </c>
      <c r="C508" s="4">
        <v>4.5999999999999996</v>
      </c>
      <c r="D508" s="6">
        <f t="shared" si="10"/>
        <v>256</v>
      </c>
      <c r="E508" s="4">
        <v>23739</v>
      </c>
      <c r="F508" s="4">
        <v>2010</v>
      </c>
    </row>
    <row r="509" spans="1:6" x14ac:dyDescent="0.35">
      <c r="A509" s="4" t="s">
        <v>1319</v>
      </c>
      <c r="B509" s="4" t="s">
        <v>128</v>
      </c>
      <c r="C509" s="4">
        <v>4.7</v>
      </c>
      <c r="D509" s="6">
        <f t="shared" si="10"/>
        <v>218</v>
      </c>
      <c r="E509" s="4">
        <v>10423</v>
      </c>
      <c r="F509" s="4">
        <v>2010</v>
      </c>
    </row>
    <row r="510" spans="1:6" x14ac:dyDescent="0.35">
      <c r="A510" s="4" t="s">
        <v>1586</v>
      </c>
      <c r="B510" s="4" t="s">
        <v>175</v>
      </c>
      <c r="C510" s="4">
        <v>4.9000000000000004</v>
      </c>
      <c r="D510" s="6">
        <f t="shared" si="10"/>
        <v>132</v>
      </c>
      <c r="E510" s="4">
        <v>27687</v>
      </c>
      <c r="F510" s="4">
        <v>2010</v>
      </c>
    </row>
    <row r="511" spans="1:6" x14ac:dyDescent="0.35">
      <c r="A511" s="4" t="s">
        <v>342</v>
      </c>
      <c r="B511" s="4" t="s">
        <v>211</v>
      </c>
      <c r="C511" s="4">
        <v>3.4</v>
      </c>
      <c r="D511" s="6">
        <f t="shared" si="10"/>
        <v>426</v>
      </c>
      <c r="E511" s="4">
        <v>52393</v>
      </c>
      <c r="F511" s="4">
        <v>2010</v>
      </c>
    </row>
    <row r="512" spans="1:6" x14ac:dyDescent="0.35">
      <c r="A512" s="4" t="s">
        <v>1701</v>
      </c>
      <c r="B512" s="4" t="s">
        <v>140</v>
      </c>
      <c r="C512" s="4">
        <v>5</v>
      </c>
      <c r="D512" s="6">
        <f t="shared" si="10"/>
        <v>88</v>
      </c>
      <c r="E512" s="4">
        <v>50577</v>
      </c>
      <c r="F512" s="4">
        <v>2010</v>
      </c>
    </row>
    <row r="513" spans="1:6" x14ac:dyDescent="0.35">
      <c r="A513" s="4" t="s">
        <v>92</v>
      </c>
      <c r="B513" s="4" t="s">
        <v>93</v>
      </c>
      <c r="C513" s="4">
        <v>1.7</v>
      </c>
      <c r="D513" s="6">
        <f t="shared" si="10"/>
        <v>481</v>
      </c>
      <c r="E513" s="4">
        <v>13142</v>
      </c>
      <c r="F513" s="4">
        <v>2010</v>
      </c>
    </row>
    <row r="514" spans="1:6" x14ac:dyDescent="0.35">
      <c r="A514" s="4" t="s">
        <v>1848</v>
      </c>
      <c r="B514" s="4" t="s">
        <v>93</v>
      </c>
      <c r="C514" s="4">
        <v>5.0999999999999996</v>
      </c>
      <c r="D514" s="6">
        <f t="shared" si="10"/>
        <v>24</v>
      </c>
      <c r="E514" s="4">
        <v>265386</v>
      </c>
      <c r="F514" s="4">
        <v>2010</v>
      </c>
    </row>
    <row r="515" spans="1:6" x14ac:dyDescent="0.35">
      <c r="A515" s="4" t="s">
        <v>1808</v>
      </c>
      <c r="B515" s="4" t="s">
        <v>128</v>
      </c>
      <c r="C515" s="4">
        <v>5</v>
      </c>
      <c r="D515" s="6">
        <f t="shared" si="10"/>
        <v>87</v>
      </c>
      <c r="E515" s="4">
        <v>12596</v>
      </c>
      <c r="F515" s="4">
        <v>2010</v>
      </c>
    </row>
    <row r="516" spans="1:6" x14ac:dyDescent="0.35">
      <c r="A516" s="4" t="s">
        <v>590</v>
      </c>
      <c r="B516" s="4" t="s">
        <v>477</v>
      </c>
      <c r="C516" s="4">
        <v>4</v>
      </c>
      <c r="D516" s="6">
        <f t="shared" si="10"/>
        <v>365</v>
      </c>
      <c r="E516" s="4">
        <v>176827</v>
      </c>
      <c r="F516" s="4">
        <v>2010</v>
      </c>
    </row>
    <row r="517" spans="1:6" x14ac:dyDescent="0.35">
      <c r="A517" s="4" t="s">
        <v>1380</v>
      </c>
      <c r="B517" s="4" t="s">
        <v>56</v>
      </c>
      <c r="C517" s="4">
        <v>4.8</v>
      </c>
      <c r="D517" s="6">
        <f t="shared" si="10"/>
        <v>166</v>
      </c>
      <c r="E517" s="4">
        <v>28817</v>
      </c>
      <c r="F517" s="4">
        <v>2010</v>
      </c>
    </row>
    <row r="518" spans="1:6" x14ac:dyDescent="0.35">
      <c r="A518" s="4" t="s">
        <v>213</v>
      </c>
      <c r="B518" s="4" t="s">
        <v>214</v>
      </c>
      <c r="C518" s="4">
        <v>2.7</v>
      </c>
      <c r="D518" s="6">
        <f t="shared" si="10"/>
        <v>451</v>
      </c>
      <c r="E518" s="4">
        <v>14689</v>
      </c>
      <c r="F518" s="4">
        <v>2010</v>
      </c>
    </row>
    <row r="519" spans="1:6" x14ac:dyDescent="0.35">
      <c r="A519" s="4" t="s">
        <v>1793</v>
      </c>
      <c r="B519" s="4" t="s">
        <v>146</v>
      </c>
      <c r="C519" s="4">
        <v>5</v>
      </c>
      <c r="D519" s="6">
        <f t="shared" si="10"/>
        <v>87</v>
      </c>
      <c r="E519" s="4">
        <v>14433</v>
      </c>
      <c r="F519" s="4">
        <v>2010</v>
      </c>
    </row>
    <row r="520" spans="1:6" x14ac:dyDescent="0.35">
      <c r="A520" s="4" t="s">
        <v>923</v>
      </c>
      <c r="B520" s="4" t="s">
        <v>143</v>
      </c>
      <c r="C520" s="4">
        <v>4.5</v>
      </c>
      <c r="D520" s="6">
        <f t="shared" si="10"/>
        <v>283</v>
      </c>
      <c r="E520" s="4">
        <v>92778</v>
      </c>
      <c r="F520" s="4">
        <v>2010</v>
      </c>
    </row>
    <row r="521" spans="1:6" x14ac:dyDescent="0.35">
      <c r="A521" s="4" t="s">
        <v>314</v>
      </c>
      <c r="B521" s="4" t="s">
        <v>178</v>
      </c>
      <c r="C521" s="4">
        <v>3.2</v>
      </c>
      <c r="D521" s="6">
        <f t="shared" si="10"/>
        <v>427</v>
      </c>
      <c r="E521" s="4">
        <v>12070</v>
      </c>
      <c r="F521" s="4">
        <v>2010</v>
      </c>
    </row>
    <row r="522" spans="1:6" x14ac:dyDescent="0.35">
      <c r="A522" s="4" t="s">
        <v>1791</v>
      </c>
      <c r="B522" s="4" t="s">
        <v>44</v>
      </c>
      <c r="C522" s="4">
        <v>5</v>
      </c>
      <c r="D522" s="6">
        <f t="shared" si="10"/>
        <v>87</v>
      </c>
      <c r="E522" s="4">
        <v>14771</v>
      </c>
      <c r="F522" s="4">
        <v>2010</v>
      </c>
    </row>
    <row r="523" spans="1:6" x14ac:dyDescent="0.35">
      <c r="A523" s="4" t="s">
        <v>928</v>
      </c>
      <c r="B523" s="4" t="s">
        <v>128</v>
      </c>
      <c r="C523" s="4">
        <v>4.5</v>
      </c>
      <c r="D523" s="6">
        <f t="shared" si="10"/>
        <v>282</v>
      </c>
      <c r="E523" s="4">
        <v>85258</v>
      </c>
      <c r="F523" s="4">
        <v>2010</v>
      </c>
    </row>
    <row r="524" spans="1:6" x14ac:dyDescent="0.35">
      <c r="A524" s="4" t="s">
        <v>779</v>
      </c>
      <c r="B524" s="4" t="s">
        <v>11</v>
      </c>
      <c r="C524" s="4">
        <v>4.3</v>
      </c>
      <c r="D524" s="6">
        <f t="shared" si="10"/>
        <v>326</v>
      </c>
      <c r="E524" s="4">
        <v>21719</v>
      </c>
      <c r="F524" s="4">
        <v>2010</v>
      </c>
    </row>
    <row r="525" spans="1:6" x14ac:dyDescent="0.35">
      <c r="A525" s="4" t="s">
        <v>1666</v>
      </c>
      <c r="B525" s="4" t="s">
        <v>843</v>
      </c>
      <c r="C525" s="4">
        <v>4.9000000000000004</v>
      </c>
      <c r="D525" s="6">
        <f t="shared" si="10"/>
        <v>127</v>
      </c>
      <c r="E525" s="4">
        <v>10955</v>
      </c>
      <c r="F525" s="4">
        <v>2010</v>
      </c>
    </row>
    <row r="526" spans="1:6" x14ac:dyDescent="0.35">
      <c r="A526" s="4" t="s">
        <v>1800</v>
      </c>
      <c r="B526" s="4" t="s">
        <v>65</v>
      </c>
      <c r="C526" s="4">
        <v>5</v>
      </c>
      <c r="D526" s="6">
        <f t="shared" si="10"/>
        <v>87</v>
      </c>
      <c r="E526" s="4">
        <v>13651</v>
      </c>
      <c r="F526" s="4">
        <v>2010</v>
      </c>
    </row>
    <row r="527" spans="1:6" x14ac:dyDescent="0.35">
      <c r="A527" s="4" t="s">
        <v>1625</v>
      </c>
      <c r="B527" s="4" t="s">
        <v>441</v>
      </c>
      <c r="C527" s="4">
        <v>4.9000000000000004</v>
      </c>
      <c r="D527" s="6">
        <f t="shared" si="10"/>
        <v>126</v>
      </c>
      <c r="E527" s="4">
        <v>14900</v>
      </c>
      <c r="F527" s="4">
        <v>2010</v>
      </c>
    </row>
    <row r="528" spans="1:6" x14ac:dyDescent="0.35">
      <c r="A528" s="4" t="s">
        <v>1407</v>
      </c>
      <c r="B528" s="4" t="s">
        <v>175</v>
      </c>
      <c r="C528" s="4">
        <v>4.8</v>
      </c>
      <c r="D528" s="6">
        <f t="shared" si="10"/>
        <v>161</v>
      </c>
      <c r="E528" s="4">
        <v>21937</v>
      </c>
      <c r="F528" s="4">
        <v>2010</v>
      </c>
    </row>
    <row r="529" spans="1:6" x14ac:dyDescent="0.35">
      <c r="A529" s="4" t="s">
        <v>245</v>
      </c>
      <c r="B529" s="4" t="s">
        <v>246</v>
      </c>
      <c r="C529" s="4">
        <v>2.9</v>
      </c>
      <c r="D529" s="6">
        <f t="shared" si="10"/>
        <v>435</v>
      </c>
      <c r="E529" s="4">
        <v>43598</v>
      </c>
      <c r="F529" s="4">
        <v>2010</v>
      </c>
    </row>
    <row r="530" spans="1:6" x14ac:dyDescent="0.35">
      <c r="A530" s="4" t="s">
        <v>1463</v>
      </c>
      <c r="B530" s="4" t="s">
        <v>448</v>
      </c>
      <c r="C530" s="4">
        <v>4.8</v>
      </c>
      <c r="D530" s="6">
        <f t="shared" si="10"/>
        <v>161</v>
      </c>
      <c r="E530" s="4">
        <v>13742</v>
      </c>
      <c r="F530" s="4">
        <v>2010</v>
      </c>
    </row>
    <row r="531" spans="1:6" x14ac:dyDescent="0.35">
      <c r="A531" s="4" t="s">
        <v>786</v>
      </c>
      <c r="B531" s="4" t="s">
        <v>44</v>
      </c>
      <c r="C531" s="4">
        <v>4.3</v>
      </c>
      <c r="D531" s="6">
        <f t="shared" si="10"/>
        <v>321</v>
      </c>
      <c r="E531" s="4">
        <v>17863</v>
      </c>
      <c r="F531" s="4">
        <v>2010</v>
      </c>
    </row>
    <row r="532" spans="1:6" x14ac:dyDescent="0.35">
      <c r="A532" s="4" t="s">
        <v>2055</v>
      </c>
      <c r="B532" s="4" t="s">
        <v>11</v>
      </c>
      <c r="C532" s="4">
        <v>5.0999999999999996</v>
      </c>
      <c r="D532" s="6">
        <f t="shared" si="10"/>
        <v>24</v>
      </c>
      <c r="E532" s="4">
        <v>11665</v>
      </c>
      <c r="F532" s="4">
        <v>2010</v>
      </c>
    </row>
    <row r="533" spans="1:6" x14ac:dyDescent="0.35">
      <c r="A533" s="4" t="s">
        <v>1174</v>
      </c>
      <c r="B533" s="4" t="s">
        <v>376</v>
      </c>
      <c r="C533" s="4">
        <v>4.7</v>
      </c>
      <c r="D533" s="6">
        <f t="shared" si="10"/>
        <v>205</v>
      </c>
      <c r="E533" s="4">
        <v>62557</v>
      </c>
      <c r="F533" s="4">
        <v>2010</v>
      </c>
    </row>
    <row r="534" spans="1:6" x14ac:dyDescent="0.35">
      <c r="A534" s="4" t="s">
        <v>1534</v>
      </c>
      <c r="B534" s="4" t="s">
        <v>217</v>
      </c>
      <c r="C534" s="4">
        <v>4.9000000000000004</v>
      </c>
      <c r="D534" s="6">
        <f t="shared" si="10"/>
        <v>125</v>
      </c>
      <c r="E534" s="4">
        <v>74697</v>
      </c>
      <c r="F534" s="4">
        <v>2010</v>
      </c>
    </row>
    <row r="535" spans="1:6" x14ac:dyDescent="0.35">
      <c r="A535" s="4" t="s">
        <v>562</v>
      </c>
      <c r="B535" s="4" t="s">
        <v>44</v>
      </c>
      <c r="C535" s="4">
        <v>3.9</v>
      </c>
      <c r="D535" s="6">
        <f t="shared" si="10"/>
        <v>355</v>
      </c>
      <c r="E535" s="4">
        <v>18521</v>
      </c>
      <c r="F535" s="4">
        <v>2010</v>
      </c>
    </row>
    <row r="536" spans="1:6" x14ac:dyDescent="0.35">
      <c r="A536" s="4" t="s">
        <v>2007</v>
      </c>
      <c r="B536" s="4" t="s">
        <v>146</v>
      </c>
      <c r="C536" s="4">
        <v>5.0999999999999996</v>
      </c>
      <c r="D536" s="6">
        <f t="shared" si="10"/>
        <v>24</v>
      </c>
      <c r="E536" s="4">
        <v>15773</v>
      </c>
      <c r="F536" s="4">
        <v>2010</v>
      </c>
    </row>
    <row r="537" spans="1:6" x14ac:dyDescent="0.35">
      <c r="A537" s="4" t="s">
        <v>891</v>
      </c>
      <c r="B537" s="4" t="s">
        <v>524</v>
      </c>
      <c r="C537" s="4">
        <v>4.4000000000000004</v>
      </c>
      <c r="D537" s="6">
        <f t="shared" si="10"/>
        <v>296</v>
      </c>
      <c r="E537" s="4">
        <v>16501</v>
      </c>
      <c r="F537" s="4">
        <v>2010</v>
      </c>
    </row>
    <row r="538" spans="1:6" x14ac:dyDescent="0.35">
      <c r="A538" s="4" t="s">
        <v>81</v>
      </c>
      <c r="B538" s="4" t="s">
        <v>82</v>
      </c>
      <c r="C538" s="4">
        <v>1.7</v>
      </c>
      <c r="D538" s="6">
        <f t="shared" si="10"/>
        <v>457</v>
      </c>
      <c r="E538" s="4">
        <v>25843</v>
      </c>
      <c r="F538" s="4">
        <v>2010</v>
      </c>
    </row>
    <row r="539" spans="1:6" x14ac:dyDescent="0.35">
      <c r="A539" s="4" t="s">
        <v>1981</v>
      </c>
      <c r="B539" s="4" t="s">
        <v>565</v>
      </c>
      <c r="C539" s="4">
        <v>5.0999999999999996</v>
      </c>
      <c r="D539" s="6">
        <f t="shared" si="10"/>
        <v>24</v>
      </c>
      <c r="E539" s="4">
        <v>18991</v>
      </c>
      <c r="F539" s="4">
        <v>2010</v>
      </c>
    </row>
    <row r="540" spans="1:6" x14ac:dyDescent="0.35">
      <c r="A540" s="4" t="s">
        <v>1511</v>
      </c>
      <c r="B540" s="4" t="s">
        <v>804</v>
      </c>
      <c r="C540" s="4">
        <v>4.8</v>
      </c>
      <c r="D540" s="6">
        <f t="shared" si="10"/>
        <v>157</v>
      </c>
      <c r="E540" s="4">
        <v>10710</v>
      </c>
      <c r="F540" s="4">
        <v>2010</v>
      </c>
    </row>
    <row r="541" spans="1:6" x14ac:dyDescent="0.35">
      <c r="A541" s="4" t="s">
        <v>2013</v>
      </c>
      <c r="B541" s="4" t="s">
        <v>65</v>
      </c>
      <c r="C541" s="4">
        <v>5.0999999999999996</v>
      </c>
      <c r="D541" s="6">
        <f t="shared" si="10"/>
        <v>24</v>
      </c>
      <c r="E541" s="4">
        <v>15440</v>
      </c>
      <c r="F541" s="4">
        <v>2010</v>
      </c>
    </row>
    <row r="542" spans="1:6" x14ac:dyDescent="0.35">
      <c r="A542" s="4" t="s">
        <v>1536</v>
      </c>
      <c r="B542" s="4" t="s">
        <v>175</v>
      </c>
      <c r="C542" s="4">
        <v>4.9000000000000004</v>
      </c>
      <c r="D542" s="6">
        <f t="shared" si="10"/>
        <v>122</v>
      </c>
      <c r="E542" s="4">
        <v>74084</v>
      </c>
      <c r="F542" s="4">
        <v>2010</v>
      </c>
    </row>
    <row r="543" spans="1:6" x14ac:dyDescent="0.35">
      <c r="A543" s="4" t="s">
        <v>2117</v>
      </c>
      <c r="B543" s="4" t="s">
        <v>669</v>
      </c>
      <c r="C543" s="4">
        <v>5.2</v>
      </c>
      <c r="D543" s="6">
        <f t="shared" si="10"/>
        <v>1</v>
      </c>
      <c r="E543" s="4">
        <v>109586</v>
      </c>
      <c r="F543" s="4">
        <v>2010</v>
      </c>
    </row>
    <row r="544" spans="1:6" x14ac:dyDescent="0.35">
      <c r="A544" s="4" t="s">
        <v>808</v>
      </c>
      <c r="B544" s="4" t="s">
        <v>82</v>
      </c>
      <c r="C544" s="4">
        <v>4.3</v>
      </c>
      <c r="D544" s="6">
        <f t="shared" si="10"/>
        <v>311</v>
      </c>
      <c r="E544" s="4">
        <v>14517</v>
      </c>
      <c r="F544" s="4">
        <v>2010</v>
      </c>
    </row>
    <row r="545" spans="1:6" x14ac:dyDescent="0.35">
      <c r="A545" s="4" t="s">
        <v>1532</v>
      </c>
      <c r="B545" s="4" t="s">
        <v>11</v>
      </c>
      <c r="C545" s="4">
        <v>4.9000000000000004</v>
      </c>
      <c r="D545" s="6">
        <f t="shared" si="10"/>
        <v>121</v>
      </c>
      <c r="E545" s="4">
        <v>105010</v>
      </c>
      <c r="F545" s="4">
        <v>2009</v>
      </c>
    </row>
    <row r="546" spans="1:6" x14ac:dyDescent="0.35">
      <c r="A546" s="4" t="s">
        <v>1065</v>
      </c>
      <c r="B546" s="4" t="s">
        <v>597</v>
      </c>
      <c r="C546" s="4">
        <v>4.5999999999999996</v>
      </c>
      <c r="D546" s="6">
        <f t="shared" si="10"/>
        <v>233</v>
      </c>
      <c r="E546" s="4">
        <v>29806</v>
      </c>
      <c r="F546" s="4">
        <v>2009</v>
      </c>
    </row>
    <row r="547" spans="1:6" x14ac:dyDescent="0.35">
      <c r="A547" s="4" t="s">
        <v>2015</v>
      </c>
      <c r="B547" s="4" t="s">
        <v>116</v>
      </c>
      <c r="C547" s="4">
        <v>5.0999999999999996</v>
      </c>
      <c r="D547" s="6">
        <f t="shared" si="10"/>
        <v>23</v>
      </c>
      <c r="E547" s="4">
        <v>15272</v>
      </c>
      <c r="F547" s="4">
        <v>2009</v>
      </c>
    </row>
    <row r="548" spans="1:6" x14ac:dyDescent="0.35">
      <c r="A548" s="4" t="s">
        <v>1966</v>
      </c>
      <c r="B548" s="4" t="s">
        <v>1967</v>
      </c>
      <c r="C548" s="4">
        <v>5.0999999999999996</v>
      </c>
      <c r="D548" s="6">
        <f t="shared" si="10"/>
        <v>23</v>
      </c>
      <c r="E548" s="4">
        <v>21067</v>
      </c>
      <c r="F548" s="4">
        <v>2009</v>
      </c>
    </row>
    <row r="549" spans="1:6" x14ac:dyDescent="0.35">
      <c r="A549" s="4" t="s">
        <v>1180</v>
      </c>
      <c r="B549" s="4" t="s">
        <v>175</v>
      </c>
      <c r="C549" s="4">
        <v>4.7</v>
      </c>
      <c r="D549" s="6">
        <f t="shared" si="10"/>
        <v>195</v>
      </c>
      <c r="E549" s="4">
        <v>53769</v>
      </c>
      <c r="F549" s="4">
        <v>2009</v>
      </c>
    </row>
    <row r="550" spans="1:6" x14ac:dyDescent="0.35">
      <c r="A550" s="4" t="s">
        <v>1321</v>
      </c>
      <c r="B550" s="4" t="s">
        <v>1322</v>
      </c>
      <c r="C550" s="4">
        <v>4.8</v>
      </c>
      <c r="D550" s="6">
        <f t="shared" si="10"/>
        <v>151</v>
      </c>
      <c r="E550" s="4">
        <v>304888</v>
      </c>
      <c r="F550" s="4">
        <v>2009</v>
      </c>
    </row>
    <row r="551" spans="1:6" x14ac:dyDescent="0.35">
      <c r="A551" s="4" t="s">
        <v>832</v>
      </c>
      <c r="B551" s="4" t="s">
        <v>76</v>
      </c>
      <c r="C551" s="4">
        <v>4.4000000000000004</v>
      </c>
      <c r="D551" s="6">
        <f t="shared" si="10"/>
        <v>285</v>
      </c>
      <c r="E551" s="4">
        <v>90037</v>
      </c>
      <c r="F551" s="4">
        <v>2009</v>
      </c>
    </row>
    <row r="552" spans="1:6" x14ac:dyDescent="0.35">
      <c r="A552" s="4" t="s">
        <v>1089</v>
      </c>
      <c r="B552" s="4" t="s">
        <v>175</v>
      </c>
      <c r="C552" s="4">
        <v>4.5999999999999996</v>
      </c>
      <c r="D552" s="6">
        <f t="shared" si="10"/>
        <v>229</v>
      </c>
      <c r="E552" s="4">
        <v>19971</v>
      </c>
      <c r="F552" s="4">
        <v>2009</v>
      </c>
    </row>
    <row r="553" spans="1:6" x14ac:dyDescent="0.35">
      <c r="A553" s="4" t="s">
        <v>1860</v>
      </c>
      <c r="B553" s="4" t="s">
        <v>82</v>
      </c>
      <c r="C553" s="4">
        <v>5.0999999999999996</v>
      </c>
      <c r="D553" s="6">
        <f t="shared" si="10"/>
        <v>23</v>
      </c>
      <c r="E553" s="4">
        <v>118563</v>
      </c>
      <c r="F553" s="4">
        <v>2009</v>
      </c>
    </row>
    <row r="554" spans="1:6" x14ac:dyDescent="0.35">
      <c r="A554" s="4" t="s">
        <v>1402</v>
      </c>
      <c r="B554" s="4" t="s">
        <v>1403</v>
      </c>
      <c r="C554" s="4">
        <v>4.8</v>
      </c>
      <c r="D554" s="6">
        <f t="shared" si="10"/>
        <v>150</v>
      </c>
      <c r="E554" s="4">
        <v>22810</v>
      </c>
      <c r="F554" s="4">
        <v>2009</v>
      </c>
    </row>
    <row r="555" spans="1:6" x14ac:dyDescent="0.35">
      <c r="A555" s="4" t="s">
        <v>459</v>
      </c>
      <c r="B555" s="4" t="s">
        <v>338</v>
      </c>
      <c r="C555" s="4">
        <v>3.7</v>
      </c>
      <c r="D555" s="6">
        <f t="shared" si="10"/>
        <v>361</v>
      </c>
      <c r="E555" s="4">
        <v>25594</v>
      </c>
      <c r="F555" s="4">
        <v>2009</v>
      </c>
    </row>
    <row r="556" spans="1:6" x14ac:dyDescent="0.35">
      <c r="A556" s="4" t="s">
        <v>424</v>
      </c>
      <c r="B556" s="4" t="s">
        <v>270</v>
      </c>
      <c r="C556" s="4">
        <v>3.6</v>
      </c>
      <c r="D556" s="6">
        <f t="shared" si="10"/>
        <v>373</v>
      </c>
      <c r="E556" s="4">
        <v>15154</v>
      </c>
      <c r="F556" s="4">
        <v>2009</v>
      </c>
    </row>
    <row r="557" spans="1:6" x14ac:dyDescent="0.35">
      <c r="A557" s="4" t="s">
        <v>1924</v>
      </c>
      <c r="B557" s="4" t="s">
        <v>448</v>
      </c>
      <c r="C557" s="4">
        <v>5.0999999999999996</v>
      </c>
      <c r="D557" s="6">
        <f t="shared" si="10"/>
        <v>23</v>
      </c>
      <c r="E557" s="4">
        <v>32865</v>
      </c>
      <c r="F557" s="4">
        <v>2009</v>
      </c>
    </row>
    <row r="558" spans="1:6" x14ac:dyDescent="0.35">
      <c r="A558" s="4" t="s">
        <v>426</v>
      </c>
      <c r="B558" s="4" t="s">
        <v>427</v>
      </c>
      <c r="C558" s="4">
        <v>3.6</v>
      </c>
      <c r="D558" s="6">
        <f t="shared" si="10"/>
        <v>372</v>
      </c>
      <c r="E558" s="4">
        <v>14619</v>
      </c>
      <c r="F558" s="4">
        <v>2009</v>
      </c>
    </row>
    <row r="559" spans="1:6" x14ac:dyDescent="0.35">
      <c r="A559" s="4" t="s">
        <v>1474</v>
      </c>
      <c r="B559" s="4" t="s">
        <v>11</v>
      </c>
      <c r="C559" s="4">
        <v>4.8</v>
      </c>
      <c r="D559" s="6">
        <f t="shared" si="10"/>
        <v>149</v>
      </c>
      <c r="E559" s="4">
        <v>12496</v>
      </c>
      <c r="F559" s="4">
        <v>2009</v>
      </c>
    </row>
    <row r="560" spans="1:6" x14ac:dyDescent="0.35">
      <c r="A560" s="4" t="s">
        <v>973</v>
      </c>
      <c r="B560" s="4" t="s">
        <v>11</v>
      </c>
      <c r="C560" s="4">
        <v>4.5</v>
      </c>
      <c r="D560" s="6">
        <f t="shared" si="10"/>
        <v>257</v>
      </c>
      <c r="E560" s="4">
        <v>23286</v>
      </c>
      <c r="F560" s="4">
        <v>2009</v>
      </c>
    </row>
    <row r="561" spans="1:6" x14ac:dyDescent="0.35">
      <c r="A561" s="4" t="s">
        <v>1720</v>
      </c>
      <c r="B561" s="4" t="s">
        <v>682</v>
      </c>
      <c r="C561" s="4">
        <v>5</v>
      </c>
      <c r="D561" s="6">
        <f t="shared" si="10"/>
        <v>78</v>
      </c>
      <c r="E561" s="4">
        <v>34756</v>
      </c>
      <c r="F561" s="4">
        <v>2009</v>
      </c>
    </row>
    <row r="562" spans="1:6" x14ac:dyDescent="0.35">
      <c r="A562" s="4" t="s">
        <v>1758</v>
      </c>
      <c r="B562" s="4" t="s">
        <v>116</v>
      </c>
      <c r="C562" s="4">
        <v>5</v>
      </c>
      <c r="D562" s="6">
        <f t="shared" si="10"/>
        <v>78</v>
      </c>
      <c r="E562" s="4">
        <v>22425</v>
      </c>
      <c r="F562" s="4">
        <v>2009</v>
      </c>
    </row>
    <row r="563" spans="1:6" x14ac:dyDescent="0.35">
      <c r="A563" s="4" t="s">
        <v>177</v>
      </c>
      <c r="B563" s="4" t="s">
        <v>178</v>
      </c>
      <c r="C563" s="4">
        <v>2.5</v>
      </c>
      <c r="D563" s="6">
        <f t="shared" si="10"/>
        <v>415</v>
      </c>
      <c r="E563" s="4">
        <v>11371</v>
      </c>
      <c r="F563" s="4">
        <v>2009</v>
      </c>
    </row>
    <row r="564" spans="1:6" x14ac:dyDescent="0.35">
      <c r="A564" s="4" t="s">
        <v>1121</v>
      </c>
      <c r="B564" s="4" t="s">
        <v>1039</v>
      </c>
      <c r="C564" s="4">
        <v>4.5999999999999996</v>
      </c>
      <c r="D564" s="6">
        <f t="shared" si="10"/>
        <v>223</v>
      </c>
      <c r="E564" s="4">
        <v>13130</v>
      </c>
      <c r="F564" s="4">
        <v>2009</v>
      </c>
    </row>
    <row r="565" spans="1:6" x14ac:dyDescent="0.35">
      <c r="A565" s="4" t="s">
        <v>1476</v>
      </c>
      <c r="B565" s="4" t="s">
        <v>116</v>
      </c>
      <c r="C565" s="4">
        <v>4.8</v>
      </c>
      <c r="D565" s="6">
        <f t="shared" si="10"/>
        <v>147</v>
      </c>
      <c r="E565" s="4">
        <v>12235</v>
      </c>
      <c r="F565" s="4">
        <v>2009</v>
      </c>
    </row>
    <row r="566" spans="1:6" x14ac:dyDescent="0.35">
      <c r="A566" s="4" t="s">
        <v>70</v>
      </c>
      <c r="B566" s="4" t="s">
        <v>71</v>
      </c>
      <c r="C566" s="4">
        <v>1.6</v>
      </c>
      <c r="D566" s="6">
        <f t="shared" si="10"/>
        <v>432</v>
      </c>
      <c r="E566" s="4">
        <v>17559</v>
      </c>
      <c r="F566" s="4">
        <v>2009</v>
      </c>
    </row>
    <row r="567" spans="1:6" x14ac:dyDescent="0.35">
      <c r="A567" s="4" t="s">
        <v>553</v>
      </c>
      <c r="B567" s="4" t="s">
        <v>554</v>
      </c>
      <c r="C567" s="4">
        <v>3.9</v>
      </c>
      <c r="D567" s="6">
        <f t="shared" si="10"/>
        <v>330</v>
      </c>
      <c r="E567" s="4">
        <v>24718</v>
      </c>
      <c r="F567" s="4">
        <v>2009</v>
      </c>
    </row>
    <row r="568" spans="1:6" x14ac:dyDescent="0.35">
      <c r="A568" s="4" t="s">
        <v>1315</v>
      </c>
      <c r="B568" s="4" t="s">
        <v>646</v>
      </c>
      <c r="C568" s="4">
        <v>4.7</v>
      </c>
      <c r="D568" s="6">
        <f t="shared" ref="D568:D631" si="11">_xlfn.RANK.EQ(C568, C568:C1567)</f>
        <v>187</v>
      </c>
      <c r="E568" s="4">
        <v>10802</v>
      </c>
      <c r="F568" s="4">
        <v>2009</v>
      </c>
    </row>
    <row r="569" spans="1:6" x14ac:dyDescent="0.35">
      <c r="A569" s="4" t="s">
        <v>1197</v>
      </c>
      <c r="B569" s="4" t="s">
        <v>232</v>
      </c>
      <c r="C569" s="4">
        <v>4.7</v>
      </c>
      <c r="D569" s="6">
        <f t="shared" si="11"/>
        <v>187</v>
      </c>
      <c r="E569" s="4">
        <v>46518</v>
      </c>
      <c r="F569" s="4">
        <v>2009</v>
      </c>
    </row>
    <row r="570" spans="1:6" x14ac:dyDescent="0.35">
      <c r="A570" s="4" t="s">
        <v>1335</v>
      </c>
      <c r="B570" s="4" t="s">
        <v>76</v>
      </c>
      <c r="C570" s="4">
        <v>4.8</v>
      </c>
      <c r="D570" s="6">
        <f t="shared" si="11"/>
        <v>147</v>
      </c>
      <c r="E570" s="4">
        <v>61288</v>
      </c>
      <c r="F570" s="4">
        <v>2009</v>
      </c>
    </row>
    <row r="571" spans="1:6" x14ac:dyDescent="0.35">
      <c r="A571" s="4" t="s">
        <v>1276</v>
      </c>
      <c r="B571" s="4" t="s">
        <v>1277</v>
      </c>
      <c r="C571" s="4">
        <v>4.7</v>
      </c>
      <c r="D571" s="6">
        <f t="shared" si="11"/>
        <v>186</v>
      </c>
      <c r="E571" s="4">
        <v>14719</v>
      </c>
      <c r="F571" s="4">
        <v>2009</v>
      </c>
    </row>
    <row r="572" spans="1:6" x14ac:dyDescent="0.35">
      <c r="A572" s="4" t="s">
        <v>307</v>
      </c>
      <c r="B572" s="4" t="s">
        <v>308</v>
      </c>
      <c r="C572" s="4">
        <v>3.2</v>
      </c>
      <c r="D572" s="6">
        <f t="shared" si="11"/>
        <v>381</v>
      </c>
      <c r="E572" s="4">
        <v>13221</v>
      </c>
      <c r="F572" s="4">
        <v>2009</v>
      </c>
    </row>
    <row r="573" spans="1:6" x14ac:dyDescent="0.35">
      <c r="A573" s="4" t="s">
        <v>1887</v>
      </c>
      <c r="B573" s="4" t="s">
        <v>47</v>
      </c>
      <c r="C573" s="4">
        <v>5.0999999999999996</v>
      </c>
      <c r="D573" s="6">
        <f t="shared" si="11"/>
        <v>23</v>
      </c>
      <c r="E573" s="4">
        <v>50879</v>
      </c>
      <c r="F573" s="4">
        <v>2009</v>
      </c>
    </row>
    <row r="574" spans="1:6" x14ac:dyDescent="0.35">
      <c r="A574" s="4" t="s">
        <v>1774</v>
      </c>
      <c r="B574" s="4" t="s">
        <v>1775</v>
      </c>
      <c r="C574" s="4">
        <v>5</v>
      </c>
      <c r="D574" s="6">
        <f t="shared" si="11"/>
        <v>77</v>
      </c>
      <c r="E574" s="4">
        <v>17048</v>
      </c>
      <c r="F574" s="4">
        <v>2009</v>
      </c>
    </row>
    <row r="575" spans="1:6" x14ac:dyDescent="0.35">
      <c r="A575" s="4" t="s">
        <v>49</v>
      </c>
      <c r="B575" s="4" t="s">
        <v>50</v>
      </c>
      <c r="C575" s="4">
        <v>1.3</v>
      </c>
      <c r="D575" s="6">
        <f t="shared" si="11"/>
        <v>426</v>
      </c>
      <c r="E575" s="4">
        <v>10020</v>
      </c>
      <c r="F575" s="4">
        <v>2009</v>
      </c>
    </row>
    <row r="576" spans="1:6" x14ac:dyDescent="0.35">
      <c r="A576" s="4" t="s">
        <v>165</v>
      </c>
      <c r="B576" s="4" t="s">
        <v>166</v>
      </c>
      <c r="C576" s="4">
        <v>2.5</v>
      </c>
      <c r="D576" s="6">
        <f t="shared" si="11"/>
        <v>405</v>
      </c>
      <c r="E576" s="4">
        <v>80320</v>
      </c>
      <c r="F576" s="4">
        <v>2009</v>
      </c>
    </row>
    <row r="577" spans="1:6" x14ac:dyDescent="0.35">
      <c r="A577" s="4" t="s">
        <v>1568</v>
      </c>
      <c r="B577" s="4" t="s">
        <v>128</v>
      </c>
      <c r="C577" s="4">
        <v>4.9000000000000004</v>
      </c>
      <c r="D577" s="6">
        <f t="shared" si="11"/>
        <v>113</v>
      </c>
      <c r="E577" s="4">
        <v>43209</v>
      </c>
      <c r="F577" s="4">
        <v>2009</v>
      </c>
    </row>
    <row r="578" spans="1:6" x14ac:dyDescent="0.35">
      <c r="A578" s="4" t="s">
        <v>431</v>
      </c>
      <c r="B578" s="4" t="s">
        <v>432</v>
      </c>
      <c r="C578" s="4">
        <v>3.6</v>
      </c>
      <c r="D578" s="6">
        <f t="shared" si="11"/>
        <v>358</v>
      </c>
      <c r="E578" s="4">
        <v>12869</v>
      </c>
      <c r="F578" s="4">
        <v>2009</v>
      </c>
    </row>
    <row r="579" spans="1:6" x14ac:dyDescent="0.35">
      <c r="A579" s="4" t="s">
        <v>801</v>
      </c>
      <c r="B579" s="4" t="s">
        <v>76</v>
      </c>
      <c r="C579" s="4">
        <v>4.3</v>
      </c>
      <c r="D579" s="6">
        <f t="shared" si="11"/>
        <v>287</v>
      </c>
      <c r="E579" s="4">
        <v>15469</v>
      </c>
      <c r="F579" s="4">
        <v>2009</v>
      </c>
    </row>
    <row r="580" spans="1:6" x14ac:dyDescent="0.35">
      <c r="A580" s="4" t="s">
        <v>991</v>
      </c>
      <c r="B580" s="4" t="s">
        <v>146</v>
      </c>
      <c r="C580" s="4">
        <v>4.5</v>
      </c>
      <c r="D580" s="6">
        <f t="shared" si="11"/>
        <v>246</v>
      </c>
      <c r="E580" s="4">
        <v>14242</v>
      </c>
      <c r="F580" s="4">
        <v>2009</v>
      </c>
    </row>
    <row r="581" spans="1:6" x14ac:dyDescent="0.35">
      <c r="A581" s="4" t="s">
        <v>1188</v>
      </c>
      <c r="B581" s="4" t="s">
        <v>11</v>
      </c>
      <c r="C581" s="4">
        <v>4.7</v>
      </c>
      <c r="D581" s="6">
        <f t="shared" si="11"/>
        <v>183</v>
      </c>
      <c r="E581" s="4">
        <v>50106</v>
      </c>
      <c r="F581" s="4">
        <v>2009</v>
      </c>
    </row>
    <row r="582" spans="1:6" x14ac:dyDescent="0.35">
      <c r="A582" s="4" t="s">
        <v>1034</v>
      </c>
      <c r="B582" s="4" t="s">
        <v>217</v>
      </c>
      <c r="C582" s="4">
        <v>4.5999999999999996</v>
      </c>
      <c r="D582" s="6">
        <f t="shared" si="11"/>
        <v>214</v>
      </c>
      <c r="E582" s="4">
        <v>56007</v>
      </c>
      <c r="F582" s="4">
        <v>2009</v>
      </c>
    </row>
    <row r="583" spans="1:6" x14ac:dyDescent="0.35">
      <c r="A583" s="4" t="s">
        <v>1350</v>
      </c>
      <c r="B583" s="4" t="s">
        <v>455</v>
      </c>
      <c r="C583" s="4">
        <v>4.8</v>
      </c>
      <c r="D583" s="6">
        <f t="shared" si="11"/>
        <v>144</v>
      </c>
      <c r="E583" s="4">
        <v>44863</v>
      </c>
      <c r="F583" s="4">
        <v>2009</v>
      </c>
    </row>
    <row r="584" spans="1:6" x14ac:dyDescent="0.35">
      <c r="A584" s="4" t="s">
        <v>658</v>
      </c>
      <c r="B584" s="4" t="s">
        <v>137</v>
      </c>
      <c r="C584" s="4">
        <v>4.0999999999999996</v>
      </c>
      <c r="D584" s="6">
        <f t="shared" si="11"/>
        <v>305</v>
      </c>
      <c r="E584" s="4">
        <v>19131</v>
      </c>
      <c r="F584" s="4">
        <v>2008</v>
      </c>
    </row>
    <row r="585" spans="1:6" x14ac:dyDescent="0.35">
      <c r="A585" s="4" t="s">
        <v>1754</v>
      </c>
      <c r="B585" s="4" t="s">
        <v>646</v>
      </c>
      <c r="C585" s="4">
        <v>5</v>
      </c>
      <c r="D585" s="6">
        <f t="shared" si="11"/>
        <v>77</v>
      </c>
      <c r="E585" s="4">
        <v>23466</v>
      </c>
      <c r="F585" s="4">
        <v>2008</v>
      </c>
    </row>
    <row r="586" spans="1:6" x14ac:dyDescent="0.35">
      <c r="A586" s="4" t="s">
        <v>1172</v>
      </c>
      <c r="B586" s="4" t="s">
        <v>338</v>
      </c>
      <c r="C586" s="4">
        <v>4.7</v>
      </c>
      <c r="D586" s="6">
        <f t="shared" si="11"/>
        <v>181</v>
      </c>
      <c r="E586" s="4">
        <v>63227</v>
      </c>
      <c r="F586" s="4">
        <v>2008</v>
      </c>
    </row>
    <row r="587" spans="1:6" x14ac:dyDescent="0.35">
      <c r="A587" s="4" t="s">
        <v>1605</v>
      </c>
      <c r="B587" s="4" t="s">
        <v>232</v>
      </c>
      <c r="C587" s="4">
        <v>4.9000000000000004</v>
      </c>
      <c r="D587" s="6">
        <f t="shared" si="11"/>
        <v>112</v>
      </c>
      <c r="E587" s="4">
        <v>21128</v>
      </c>
      <c r="F587" s="4">
        <v>2008</v>
      </c>
    </row>
    <row r="588" spans="1:6" x14ac:dyDescent="0.35">
      <c r="A588" s="4" t="s">
        <v>505</v>
      </c>
      <c r="B588" s="4" t="s">
        <v>166</v>
      </c>
      <c r="C588" s="4">
        <v>3.8</v>
      </c>
      <c r="D588" s="6">
        <f t="shared" si="11"/>
        <v>324</v>
      </c>
      <c r="E588" s="4">
        <v>14876</v>
      </c>
      <c r="F588" s="4">
        <v>2008</v>
      </c>
    </row>
    <row r="589" spans="1:6" x14ac:dyDescent="0.35">
      <c r="A589" s="4" t="s">
        <v>2107</v>
      </c>
      <c r="B589" s="4" t="s">
        <v>166</v>
      </c>
      <c r="C589" s="4">
        <v>5.2</v>
      </c>
      <c r="D589" s="6">
        <f t="shared" si="11"/>
        <v>1</v>
      </c>
      <c r="E589" s="4">
        <v>173199</v>
      </c>
      <c r="F589" s="4">
        <v>2008</v>
      </c>
    </row>
    <row r="590" spans="1:6" x14ac:dyDescent="0.35">
      <c r="A590" s="4" t="s">
        <v>483</v>
      </c>
      <c r="B590" s="4" t="s">
        <v>50</v>
      </c>
      <c r="C590" s="4">
        <v>3.8</v>
      </c>
      <c r="D590" s="6">
        <f t="shared" si="11"/>
        <v>323</v>
      </c>
      <c r="E590" s="4">
        <v>55504</v>
      </c>
      <c r="F590" s="4">
        <v>2008</v>
      </c>
    </row>
    <row r="591" spans="1:6" x14ac:dyDescent="0.35">
      <c r="A591" s="4" t="s">
        <v>1615</v>
      </c>
      <c r="B591" s="4" t="s">
        <v>606</v>
      </c>
      <c r="C591" s="4">
        <v>4.9000000000000004</v>
      </c>
      <c r="D591" s="6">
        <f t="shared" si="11"/>
        <v>111</v>
      </c>
      <c r="E591" s="4">
        <v>17670</v>
      </c>
      <c r="F591" s="4">
        <v>2008</v>
      </c>
    </row>
    <row r="592" spans="1:6" x14ac:dyDescent="0.35">
      <c r="A592" s="4" t="s">
        <v>115</v>
      </c>
      <c r="B592" s="4" t="s">
        <v>116</v>
      </c>
      <c r="C592" s="4">
        <v>2</v>
      </c>
      <c r="D592" s="6">
        <f t="shared" si="11"/>
        <v>400</v>
      </c>
      <c r="E592" s="4">
        <v>39296</v>
      </c>
      <c r="F592" s="4">
        <v>2008</v>
      </c>
    </row>
    <row r="593" spans="1:6" x14ac:dyDescent="0.35">
      <c r="A593" s="4" t="s">
        <v>586</v>
      </c>
      <c r="B593" s="4" t="s">
        <v>584</v>
      </c>
      <c r="C593" s="4">
        <v>3.9</v>
      </c>
      <c r="D593" s="6">
        <f t="shared" si="11"/>
        <v>312</v>
      </c>
      <c r="E593" s="4">
        <v>10232</v>
      </c>
      <c r="F593" s="4">
        <v>2008</v>
      </c>
    </row>
    <row r="594" spans="1:6" x14ac:dyDescent="0.35">
      <c r="A594" s="4" t="s">
        <v>1675</v>
      </c>
      <c r="B594" s="4" t="s">
        <v>560</v>
      </c>
      <c r="C594" s="4">
        <v>5</v>
      </c>
      <c r="D594" s="6">
        <f t="shared" si="11"/>
        <v>76</v>
      </c>
      <c r="E594" s="4">
        <v>220066</v>
      </c>
      <c r="F594" s="4">
        <v>2008</v>
      </c>
    </row>
    <row r="595" spans="1:6" x14ac:dyDescent="0.35">
      <c r="A595" s="4" t="s">
        <v>1164</v>
      </c>
      <c r="B595" s="4" t="s">
        <v>62</v>
      </c>
      <c r="C595" s="4">
        <v>4.7</v>
      </c>
      <c r="D595" s="6">
        <f t="shared" si="11"/>
        <v>177</v>
      </c>
      <c r="E595" s="4">
        <v>77530</v>
      </c>
      <c r="F595" s="4">
        <v>2008</v>
      </c>
    </row>
    <row r="596" spans="1:6" x14ac:dyDescent="0.35">
      <c r="A596" s="4" t="s">
        <v>770</v>
      </c>
      <c r="B596" s="4" t="s">
        <v>163</v>
      </c>
      <c r="C596" s="4">
        <v>4.3</v>
      </c>
      <c r="D596" s="6">
        <f t="shared" si="11"/>
        <v>276</v>
      </c>
      <c r="E596" s="4">
        <v>24871</v>
      </c>
      <c r="F596" s="4">
        <v>2008</v>
      </c>
    </row>
    <row r="597" spans="1:6" x14ac:dyDescent="0.35">
      <c r="A597" s="4" t="s">
        <v>1001</v>
      </c>
      <c r="B597" s="4" t="s">
        <v>65</v>
      </c>
      <c r="C597" s="4">
        <v>4.5</v>
      </c>
      <c r="D597" s="6">
        <f t="shared" si="11"/>
        <v>236</v>
      </c>
      <c r="E597" s="4">
        <v>12749</v>
      </c>
      <c r="F597" s="4">
        <v>2008</v>
      </c>
    </row>
    <row r="598" spans="1:6" x14ac:dyDescent="0.35">
      <c r="A598" s="4" t="s">
        <v>2179</v>
      </c>
      <c r="B598" s="4" t="s">
        <v>175</v>
      </c>
      <c r="C598" s="4">
        <v>5.2</v>
      </c>
      <c r="D598" s="6">
        <f t="shared" si="11"/>
        <v>1</v>
      </c>
      <c r="E598" s="4">
        <v>38126</v>
      </c>
      <c r="F598" s="4">
        <v>2008</v>
      </c>
    </row>
    <row r="599" spans="1:6" x14ac:dyDescent="0.35">
      <c r="A599" s="4" t="s">
        <v>1580</v>
      </c>
      <c r="B599" s="4" t="s">
        <v>11</v>
      </c>
      <c r="C599" s="4">
        <v>4.9000000000000004</v>
      </c>
      <c r="D599" s="6">
        <f t="shared" si="11"/>
        <v>109</v>
      </c>
      <c r="E599" s="4">
        <v>29491</v>
      </c>
      <c r="F599" s="4">
        <v>2008</v>
      </c>
    </row>
    <row r="600" spans="1:6" x14ac:dyDescent="0.35">
      <c r="A600" s="4" t="s">
        <v>537</v>
      </c>
      <c r="B600" s="4" t="s">
        <v>76</v>
      </c>
      <c r="C600" s="4">
        <v>3.9</v>
      </c>
      <c r="D600" s="6">
        <f t="shared" si="11"/>
        <v>306</v>
      </c>
      <c r="E600" s="4">
        <v>38624</v>
      </c>
      <c r="F600" s="4">
        <v>2008</v>
      </c>
    </row>
    <row r="601" spans="1:6" x14ac:dyDescent="0.35">
      <c r="A601" s="4" t="s">
        <v>2067</v>
      </c>
      <c r="B601" s="4" t="s">
        <v>128</v>
      </c>
      <c r="C601" s="4">
        <v>5.0999999999999996</v>
      </c>
      <c r="D601" s="6">
        <f t="shared" si="11"/>
        <v>21</v>
      </c>
      <c r="E601" s="4">
        <v>10969</v>
      </c>
      <c r="F601" s="4">
        <v>2008</v>
      </c>
    </row>
    <row r="602" spans="1:6" x14ac:dyDescent="0.35">
      <c r="A602" s="4" t="s">
        <v>599</v>
      </c>
      <c r="B602" s="4" t="s">
        <v>448</v>
      </c>
      <c r="C602" s="4">
        <v>4</v>
      </c>
      <c r="D602" s="6">
        <f t="shared" si="11"/>
        <v>300</v>
      </c>
      <c r="E602" s="4">
        <v>34414</v>
      </c>
      <c r="F602" s="4">
        <v>2008</v>
      </c>
    </row>
    <row r="603" spans="1:6" x14ac:dyDescent="0.35">
      <c r="A603" s="4" t="s">
        <v>226</v>
      </c>
      <c r="B603" s="4" t="s">
        <v>227</v>
      </c>
      <c r="C603" s="4">
        <v>2.8</v>
      </c>
      <c r="D603" s="6">
        <f t="shared" si="11"/>
        <v>370</v>
      </c>
      <c r="E603" s="4">
        <v>112412</v>
      </c>
      <c r="F603" s="4">
        <v>2008</v>
      </c>
    </row>
    <row r="604" spans="1:6" x14ac:dyDescent="0.35">
      <c r="A604" s="4" t="s">
        <v>1895</v>
      </c>
      <c r="B604" s="4" t="s">
        <v>217</v>
      </c>
      <c r="C604" s="4">
        <v>5.0999999999999996</v>
      </c>
      <c r="D604" s="6">
        <f t="shared" si="11"/>
        <v>21</v>
      </c>
      <c r="E604" s="4">
        <v>44307</v>
      </c>
      <c r="F604" s="4">
        <v>2008</v>
      </c>
    </row>
    <row r="605" spans="1:6" x14ac:dyDescent="0.35">
      <c r="A605" s="4" t="s">
        <v>1017</v>
      </c>
      <c r="B605" s="4" t="s">
        <v>349</v>
      </c>
      <c r="C605" s="4">
        <v>4.5</v>
      </c>
      <c r="D605" s="6">
        <f t="shared" si="11"/>
        <v>232</v>
      </c>
      <c r="E605" s="4">
        <v>10852</v>
      </c>
      <c r="F605" s="4">
        <v>2008</v>
      </c>
    </row>
    <row r="606" spans="1:6" x14ac:dyDescent="0.35">
      <c r="A606" s="4" t="s">
        <v>1842</v>
      </c>
      <c r="B606" s="4" t="s">
        <v>1020</v>
      </c>
      <c r="C606" s="4">
        <v>5</v>
      </c>
      <c r="D606" s="6">
        <f t="shared" si="11"/>
        <v>73</v>
      </c>
      <c r="E606" s="4">
        <v>10539</v>
      </c>
      <c r="F606" s="4">
        <v>2008</v>
      </c>
    </row>
    <row r="607" spans="1:6" x14ac:dyDescent="0.35">
      <c r="A607" s="4" t="s">
        <v>1693</v>
      </c>
      <c r="B607" s="4" t="s">
        <v>232</v>
      </c>
      <c r="C607" s="4">
        <v>5</v>
      </c>
      <c r="D607" s="6">
        <f t="shared" si="11"/>
        <v>73</v>
      </c>
      <c r="E607" s="4">
        <v>68834</v>
      </c>
      <c r="F607" s="4">
        <v>2008</v>
      </c>
    </row>
    <row r="608" spans="1:6" x14ac:dyDescent="0.35">
      <c r="A608" s="4" t="s">
        <v>1780</v>
      </c>
      <c r="B608" s="4" t="s">
        <v>568</v>
      </c>
      <c r="C608" s="4">
        <v>5</v>
      </c>
      <c r="D608" s="6">
        <f t="shared" si="11"/>
        <v>73</v>
      </c>
      <c r="E608" s="4">
        <v>16533</v>
      </c>
      <c r="F608" s="4">
        <v>2008</v>
      </c>
    </row>
    <row r="609" spans="1:6" x14ac:dyDescent="0.35">
      <c r="A609" s="4" t="s">
        <v>219</v>
      </c>
      <c r="B609" s="4" t="s">
        <v>68</v>
      </c>
      <c r="C609" s="4">
        <v>2.7</v>
      </c>
      <c r="D609" s="6">
        <f t="shared" si="11"/>
        <v>367</v>
      </c>
      <c r="E609" s="4">
        <v>12207</v>
      </c>
      <c r="F609" s="4">
        <v>2008</v>
      </c>
    </row>
    <row r="610" spans="1:6" x14ac:dyDescent="0.35">
      <c r="A610" s="4" t="s">
        <v>1137</v>
      </c>
      <c r="B610" s="4" t="s">
        <v>1039</v>
      </c>
      <c r="C610" s="4">
        <v>4.5999999999999996</v>
      </c>
      <c r="D610" s="6">
        <f t="shared" si="11"/>
        <v>199</v>
      </c>
      <c r="E610" s="4">
        <v>11867</v>
      </c>
      <c r="F610" s="4">
        <v>2008</v>
      </c>
    </row>
    <row r="611" spans="1:6" x14ac:dyDescent="0.35">
      <c r="A611" s="4" t="s">
        <v>305</v>
      </c>
      <c r="B611" s="4" t="s">
        <v>163</v>
      </c>
      <c r="C611" s="4">
        <v>3.2</v>
      </c>
      <c r="D611" s="6">
        <f t="shared" si="11"/>
        <v>348</v>
      </c>
      <c r="E611" s="4">
        <v>15151</v>
      </c>
      <c r="F611" s="4">
        <v>2008</v>
      </c>
    </row>
    <row r="612" spans="1:6" x14ac:dyDescent="0.35">
      <c r="A612" s="4" t="s">
        <v>469</v>
      </c>
      <c r="B612" s="4" t="s">
        <v>11</v>
      </c>
      <c r="C612" s="4">
        <v>3.7</v>
      </c>
      <c r="D612" s="6">
        <f t="shared" si="11"/>
        <v>317</v>
      </c>
      <c r="E612" s="4">
        <v>11668</v>
      </c>
      <c r="F612" s="4">
        <v>2008</v>
      </c>
    </row>
    <row r="613" spans="1:6" x14ac:dyDescent="0.35">
      <c r="A613" s="4" t="s">
        <v>466</v>
      </c>
      <c r="B613" s="4" t="s">
        <v>467</v>
      </c>
      <c r="C613" s="4">
        <v>3.7</v>
      </c>
      <c r="D613" s="6">
        <f t="shared" si="11"/>
        <v>317</v>
      </c>
      <c r="E613" s="4">
        <v>12218</v>
      </c>
      <c r="F613" s="4">
        <v>2008</v>
      </c>
    </row>
    <row r="614" spans="1:6" x14ac:dyDescent="0.35">
      <c r="A614" s="4" t="s">
        <v>103</v>
      </c>
      <c r="B614" s="4" t="s">
        <v>104</v>
      </c>
      <c r="C614" s="4">
        <v>1.9</v>
      </c>
      <c r="D614" s="6">
        <f t="shared" si="11"/>
        <v>379</v>
      </c>
      <c r="E614" s="4">
        <v>95369</v>
      </c>
      <c r="F614" s="4">
        <v>2008</v>
      </c>
    </row>
    <row r="615" spans="1:6" x14ac:dyDescent="0.35">
      <c r="A615" s="4" t="s">
        <v>978</v>
      </c>
      <c r="B615" s="4" t="s">
        <v>155</v>
      </c>
      <c r="C615" s="4">
        <v>4.5</v>
      </c>
      <c r="D615" s="6">
        <f t="shared" si="11"/>
        <v>228</v>
      </c>
      <c r="E615" s="4">
        <v>22037</v>
      </c>
      <c r="F615" s="4">
        <v>2008</v>
      </c>
    </row>
    <row r="616" spans="1:6" x14ac:dyDescent="0.35">
      <c r="A616" s="4" t="s">
        <v>797</v>
      </c>
      <c r="B616" s="4" t="s">
        <v>549</v>
      </c>
      <c r="C616" s="4">
        <v>4.3</v>
      </c>
      <c r="D616" s="6">
        <f t="shared" si="11"/>
        <v>265</v>
      </c>
      <c r="E616" s="4">
        <v>16854</v>
      </c>
      <c r="F616" s="4">
        <v>2008</v>
      </c>
    </row>
    <row r="617" spans="1:6" x14ac:dyDescent="0.35">
      <c r="A617" s="4" t="s">
        <v>1123</v>
      </c>
      <c r="B617" s="4" t="s">
        <v>11</v>
      </c>
      <c r="C617" s="4">
        <v>4.5999999999999996</v>
      </c>
      <c r="D617" s="6">
        <f t="shared" si="11"/>
        <v>199</v>
      </c>
      <c r="E617" s="4">
        <v>12735</v>
      </c>
      <c r="F617" s="4">
        <v>2008</v>
      </c>
    </row>
    <row r="618" spans="1:6" x14ac:dyDescent="0.35">
      <c r="A618" s="4" t="s">
        <v>2177</v>
      </c>
      <c r="B618" s="4" t="s">
        <v>291</v>
      </c>
      <c r="C618" s="4">
        <v>5.2</v>
      </c>
      <c r="D618" s="6">
        <f t="shared" si="11"/>
        <v>1</v>
      </c>
      <c r="E618" s="4">
        <v>38239</v>
      </c>
      <c r="F618" s="4">
        <v>2008</v>
      </c>
    </row>
    <row r="619" spans="1:6" x14ac:dyDescent="0.35">
      <c r="A619" s="4" t="s">
        <v>548</v>
      </c>
      <c r="B619" s="4" t="s">
        <v>549</v>
      </c>
      <c r="C619" s="4">
        <v>3.9</v>
      </c>
      <c r="D619" s="6">
        <f t="shared" si="11"/>
        <v>294</v>
      </c>
      <c r="E619" s="4">
        <v>26296</v>
      </c>
      <c r="F619" s="4">
        <v>2008</v>
      </c>
    </row>
    <row r="620" spans="1:6" x14ac:dyDescent="0.35">
      <c r="A620" s="4" t="s">
        <v>2191</v>
      </c>
      <c r="B620" s="4" t="s">
        <v>217</v>
      </c>
      <c r="C620" s="4">
        <v>5.2</v>
      </c>
      <c r="D620" s="6">
        <f t="shared" si="11"/>
        <v>1</v>
      </c>
      <c r="E620" s="4">
        <v>33131</v>
      </c>
      <c r="F620" s="4">
        <v>2008</v>
      </c>
    </row>
    <row r="621" spans="1:6" x14ac:dyDescent="0.35">
      <c r="A621" s="4" t="s">
        <v>630</v>
      </c>
      <c r="B621" s="4" t="s">
        <v>227</v>
      </c>
      <c r="C621" s="4">
        <v>4</v>
      </c>
      <c r="D621" s="6">
        <f t="shared" si="11"/>
        <v>289</v>
      </c>
      <c r="E621" s="4">
        <v>10161</v>
      </c>
      <c r="F621" s="4">
        <v>2008</v>
      </c>
    </row>
    <row r="622" spans="1:6" x14ac:dyDescent="0.35">
      <c r="A622" s="4" t="s">
        <v>1644</v>
      </c>
      <c r="B622" s="4" t="s">
        <v>1072</v>
      </c>
      <c r="C622" s="4">
        <v>4.9000000000000004</v>
      </c>
      <c r="D622" s="6">
        <f t="shared" si="11"/>
        <v>102</v>
      </c>
      <c r="E622" s="4">
        <v>12525</v>
      </c>
      <c r="F622" s="4">
        <v>2008</v>
      </c>
    </row>
    <row r="623" spans="1:6" x14ac:dyDescent="0.35">
      <c r="A623" s="4" t="s">
        <v>1852</v>
      </c>
      <c r="B623" s="4" t="s">
        <v>93</v>
      </c>
      <c r="C623" s="4">
        <v>5.0999999999999996</v>
      </c>
      <c r="D623" s="6">
        <f t="shared" si="11"/>
        <v>19</v>
      </c>
      <c r="E623" s="4">
        <v>136533</v>
      </c>
      <c r="F623" s="4">
        <v>2008</v>
      </c>
    </row>
    <row r="624" spans="1:6" x14ac:dyDescent="0.35">
      <c r="A624" s="4" t="s">
        <v>148</v>
      </c>
      <c r="B624" s="4" t="s">
        <v>149</v>
      </c>
      <c r="C624" s="4">
        <v>2.2999999999999998</v>
      </c>
      <c r="D624" s="6">
        <f t="shared" si="11"/>
        <v>365</v>
      </c>
      <c r="E624" s="4">
        <v>15639</v>
      </c>
      <c r="F624" s="4">
        <v>2007</v>
      </c>
    </row>
    <row r="625" spans="1:6" x14ac:dyDescent="0.35">
      <c r="A625" s="4" t="s">
        <v>1400</v>
      </c>
      <c r="B625" s="4" t="s">
        <v>178</v>
      </c>
      <c r="C625" s="4">
        <v>4.8</v>
      </c>
      <c r="D625" s="6">
        <f t="shared" si="11"/>
        <v>128</v>
      </c>
      <c r="E625" s="4">
        <v>23019</v>
      </c>
      <c r="F625" s="4">
        <v>2007</v>
      </c>
    </row>
    <row r="626" spans="1:6" x14ac:dyDescent="0.35">
      <c r="A626" s="4" t="s">
        <v>1617</v>
      </c>
      <c r="B626" s="4" t="s">
        <v>116</v>
      </c>
      <c r="C626" s="4">
        <v>4.9000000000000004</v>
      </c>
      <c r="D626" s="6">
        <f t="shared" si="11"/>
        <v>101</v>
      </c>
      <c r="E626" s="4">
        <v>17031</v>
      </c>
      <c r="F626" s="4">
        <v>2007</v>
      </c>
    </row>
    <row r="627" spans="1:6" x14ac:dyDescent="0.35">
      <c r="A627" s="4" t="s">
        <v>1439</v>
      </c>
      <c r="B627" s="4" t="s">
        <v>762</v>
      </c>
      <c r="C627" s="4">
        <v>4.8</v>
      </c>
      <c r="D627" s="6">
        <f t="shared" si="11"/>
        <v>127</v>
      </c>
      <c r="E627" s="4">
        <v>15945</v>
      </c>
      <c r="F627" s="4">
        <v>2007</v>
      </c>
    </row>
    <row r="628" spans="1:6" x14ac:dyDescent="0.35">
      <c r="A628" s="4" t="s">
        <v>1877</v>
      </c>
      <c r="B628" s="4" t="s">
        <v>82</v>
      </c>
      <c r="C628" s="4">
        <v>5.0999999999999996</v>
      </c>
      <c r="D628" s="6">
        <f t="shared" si="11"/>
        <v>19</v>
      </c>
      <c r="E628" s="4">
        <v>68727</v>
      </c>
      <c r="F628" s="4">
        <v>2007</v>
      </c>
    </row>
    <row r="629" spans="1:6" x14ac:dyDescent="0.35">
      <c r="A629" s="4" t="s">
        <v>812</v>
      </c>
      <c r="B629" s="4" t="s">
        <v>149</v>
      </c>
      <c r="C629" s="4">
        <v>4.3</v>
      </c>
      <c r="D629" s="6">
        <f t="shared" si="11"/>
        <v>256</v>
      </c>
      <c r="E629" s="4">
        <v>12138</v>
      </c>
      <c r="F629" s="4">
        <v>2007</v>
      </c>
    </row>
    <row r="630" spans="1:6" x14ac:dyDescent="0.35">
      <c r="A630" s="4" t="s">
        <v>1097</v>
      </c>
      <c r="B630" s="4" t="s">
        <v>1098</v>
      </c>
      <c r="C630" s="4">
        <v>4.5999999999999996</v>
      </c>
      <c r="D630" s="6">
        <f t="shared" si="11"/>
        <v>191</v>
      </c>
      <c r="E630" s="4">
        <v>17918</v>
      </c>
      <c r="F630" s="4">
        <v>2007</v>
      </c>
    </row>
    <row r="631" spans="1:6" x14ac:dyDescent="0.35">
      <c r="A631" s="4" t="s">
        <v>2083</v>
      </c>
      <c r="B631" s="4" t="s">
        <v>270</v>
      </c>
      <c r="C631" s="4">
        <v>5.0999999999999996</v>
      </c>
      <c r="D631" s="6">
        <f t="shared" si="11"/>
        <v>19</v>
      </c>
      <c r="E631" s="4">
        <v>10334</v>
      </c>
      <c r="F631" s="4">
        <v>2007</v>
      </c>
    </row>
    <row r="632" spans="1:6" x14ac:dyDescent="0.35">
      <c r="A632" s="4" t="s">
        <v>1641</v>
      </c>
      <c r="B632" s="4" t="s">
        <v>1642</v>
      </c>
      <c r="C632" s="4">
        <v>4.9000000000000004</v>
      </c>
      <c r="D632" s="6">
        <f t="shared" ref="D632:D695" si="12">_xlfn.RANK.EQ(C632, C632:C1631)</f>
        <v>99</v>
      </c>
      <c r="E632" s="4">
        <v>12710</v>
      </c>
      <c r="F632" s="4">
        <v>2007</v>
      </c>
    </row>
    <row r="633" spans="1:6" x14ac:dyDescent="0.35">
      <c r="A633" s="4" t="s">
        <v>1019</v>
      </c>
      <c r="B633" s="4" t="s">
        <v>1020</v>
      </c>
      <c r="C633" s="4">
        <v>4.5</v>
      </c>
      <c r="D633" s="6">
        <f t="shared" si="12"/>
        <v>216</v>
      </c>
      <c r="E633" s="4">
        <v>10713</v>
      </c>
      <c r="F633" s="4">
        <v>2007</v>
      </c>
    </row>
    <row r="634" spans="1:6" x14ac:dyDescent="0.35">
      <c r="A634" s="4" t="s">
        <v>1453</v>
      </c>
      <c r="B634" s="4" t="s">
        <v>275</v>
      </c>
      <c r="C634" s="4">
        <v>4.8</v>
      </c>
      <c r="D634" s="6">
        <f t="shared" si="12"/>
        <v>124</v>
      </c>
      <c r="E634" s="4">
        <v>15334</v>
      </c>
      <c r="F634" s="4">
        <v>2007</v>
      </c>
    </row>
    <row r="635" spans="1:6" x14ac:dyDescent="0.35">
      <c r="A635" s="4" t="s">
        <v>969</v>
      </c>
      <c r="B635" s="4" t="s">
        <v>146</v>
      </c>
      <c r="C635" s="4">
        <v>4.5</v>
      </c>
      <c r="D635" s="6">
        <f t="shared" si="12"/>
        <v>215</v>
      </c>
      <c r="E635" s="4">
        <v>24501</v>
      </c>
      <c r="F635" s="4">
        <v>2007</v>
      </c>
    </row>
    <row r="636" spans="1:6" x14ac:dyDescent="0.35">
      <c r="A636" s="4" t="s">
        <v>684</v>
      </c>
      <c r="B636" s="4" t="s">
        <v>116</v>
      </c>
      <c r="C636" s="4">
        <v>4.2</v>
      </c>
      <c r="D636" s="6">
        <f t="shared" si="12"/>
        <v>256</v>
      </c>
      <c r="E636" s="4">
        <v>81273</v>
      </c>
      <c r="F636" s="4">
        <v>2007</v>
      </c>
    </row>
    <row r="637" spans="1:6" x14ac:dyDescent="0.35">
      <c r="A637" s="4" t="s">
        <v>2185</v>
      </c>
      <c r="B637" s="4" t="s">
        <v>50</v>
      </c>
      <c r="C637" s="4">
        <v>5.2</v>
      </c>
      <c r="D637" s="6">
        <f t="shared" si="12"/>
        <v>1</v>
      </c>
      <c r="E637" s="4">
        <v>37266</v>
      </c>
      <c r="F637" s="4">
        <v>2007</v>
      </c>
    </row>
    <row r="638" spans="1:6" x14ac:dyDescent="0.35">
      <c r="A638" s="4" t="s">
        <v>1828</v>
      </c>
      <c r="B638" s="4" t="s">
        <v>584</v>
      </c>
      <c r="C638" s="4">
        <v>5</v>
      </c>
      <c r="D638" s="6">
        <f t="shared" si="12"/>
        <v>67</v>
      </c>
      <c r="E638" s="4">
        <v>11370</v>
      </c>
      <c r="F638" s="4">
        <v>2007</v>
      </c>
    </row>
    <row r="639" spans="1:6" x14ac:dyDescent="0.35">
      <c r="A639" s="4" t="s">
        <v>253</v>
      </c>
      <c r="B639" s="4" t="s">
        <v>254</v>
      </c>
      <c r="C639" s="4">
        <v>2.9</v>
      </c>
      <c r="D639" s="6">
        <f t="shared" si="12"/>
        <v>336</v>
      </c>
      <c r="E639" s="4">
        <v>31725</v>
      </c>
      <c r="F639" s="4">
        <v>2007</v>
      </c>
    </row>
    <row r="640" spans="1:6" x14ac:dyDescent="0.35">
      <c r="A640" s="4" t="s">
        <v>485</v>
      </c>
      <c r="B640" s="4" t="s">
        <v>166</v>
      </c>
      <c r="C640" s="4">
        <v>3.8</v>
      </c>
      <c r="D640" s="6">
        <f t="shared" si="12"/>
        <v>283</v>
      </c>
      <c r="E640" s="4">
        <v>51642</v>
      </c>
      <c r="F640" s="4">
        <v>2007</v>
      </c>
    </row>
    <row r="641" spans="1:6" x14ac:dyDescent="0.35">
      <c r="A641" s="4" t="s">
        <v>410</v>
      </c>
      <c r="B641" s="4" t="s">
        <v>175</v>
      </c>
      <c r="C641" s="4">
        <v>3.6</v>
      </c>
      <c r="D641" s="6">
        <f t="shared" si="12"/>
        <v>303</v>
      </c>
      <c r="E641" s="4">
        <v>31257</v>
      </c>
      <c r="F641" s="4">
        <v>2007</v>
      </c>
    </row>
    <row r="642" spans="1:6" x14ac:dyDescent="0.35">
      <c r="A642" s="4" t="s">
        <v>281</v>
      </c>
      <c r="B642" s="4" t="s">
        <v>93</v>
      </c>
      <c r="C642" s="4">
        <v>3</v>
      </c>
      <c r="D642" s="6">
        <f t="shared" si="12"/>
        <v>327</v>
      </c>
      <c r="E642" s="4">
        <v>10030</v>
      </c>
      <c r="F642" s="4">
        <v>2007</v>
      </c>
    </row>
    <row r="643" spans="1:6" x14ac:dyDescent="0.35">
      <c r="A643" s="4" t="s">
        <v>2141</v>
      </c>
      <c r="B643" s="4" t="s">
        <v>232</v>
      </c>
      <c r="C643" s="4">
        <v>5.2</v>
      </c>
      <c r="D643" s="6">
        <f t="shared" si="12"/>
        <v>1</v>
      </c>
      <c r="E643" s="4">
        <v>67633</v>
      </c>
      <c r="F643" s="4">
        <v>2007</v>
      </c>
    </row>
    <row r="644" spans="1:6" x14ac:dyDescent="0.35">
      <c r="A644" s="4" t="s">
        <v>151</v>
      </c>
      <c r="B644" s="4" t="s">
        <v>152</v>
      </c>
      <c r="C644" s="4">
        <v>2.4</v>
      </c>
      <c r="D644" s="6">
        <f t="shared" si="12"/>
        <v>343</v>
      </c>
      <c r="E644" s="4">
        <v>110384</v>
      </c>
      <c r="F644" s="4">
        <v>2007</v>
      </c>
    </row>
    <row r="645" spans="1:6" x14ac:dyDescent="0.35">
      <c r="A645" s="4" t="s">
        <v>375</v>
      </c>
      <c r="B645" s="4" t="s">
        <v>376</v>
      </c>
      <c r="C645" s="4">
        <v>3.5</v>
      </c>
      <c r="D645" s="6">
        <f t="shared" si="12"/>
        <v>306</v>
      </c>
      <c r="E645" s="4">
        <v>25539</v>
      </c>
      <c r="F645" s="4">
        <v>2007</v>
      </c>
    </row>
    <row r="646" spans="1:6" x14ac:dyDescent="0.35">
      <c r="A646" s="4" t="s">
        <v>471</v>
      </c>
      <c r="B646" s="4" t="s">
        <v>178</v>
      </c>
      <c r="C646" s="4">
        <v>3.7</v>
      </c>
      <c r="D646" s="6">
        <f t="shared" si="12"/>
        <v>292</v>
      </c>
      <c r="E646" s="4">
        <v>11575</v>
      </c>
      <c r="F646" s="4">
        <v>2007</v>
      </c>
    </row>
    <row r="647" spans="1:6" x14ac:dyDescent="0.35">
      <c r="A647" s="4" t="s">
        <v>301</v>
      </c>
      <c r="B647" s="4" t="s">
        <v>44</v>
      </c>
      <c r="C647" s="4">
        <v>3.2</v>
      </c>
      <c r="D647" s="6">
        <f t="shared" si="12"/>
        <v>318</v>
      </c>
      <c r="E647" s="4">
        <v>18148</v>
      </c>
      <c r="F647" s="4">
        <v>2007</v>
      </c>
    </row>
    <row r="648" spans="1:6" x14ac:dyDescent="0.35">
      <c r="A648" s="4" t="s">
        <v>1131</v>
      </c>
      <c r="B648" s="4" t="s">
        <v>146</v>
      </c>
      <c r="C648" s="4">
        <v>4.5999999999999996</v>
      </c>
      <c r="D648" s="6">
        <f t="shared" si="12"/>
        <v>185</v>
      </c>
      <c r="E648" s="4">
        <v>12278</v>
      </c>
      <c r="F648" s="4">
        <v>2007</v>
      </c>
    </row>
    <row r="649" spans="1:6" x14ac:dyDescent="0.35">
      <c r="A649" s="4" t="s">
        <v>1071</v>
      </c>
      <c r="B649" s="4" t="s">
        <v>1072</v>
      </c>
      <c r="C649" s="4">
        <v>4.5999999999999996</v>
      </c>
      <c r="D649" s="6">
        <f t="shared" si="12"/>
        <v>185</v>
      </c>
      <c r="E649" s="4">
        <v>23858</v>
      </c>
      <c r="F649" s="4">
        <v>2007</v>
      </c>
    </row>
    <row r="650" spans="1:6" x14ac:dyDescent="0.35">
      <c r="A650" s="4" t="s">
        <v>2029</v>
      </c>
      <c r="B650" s="4" t="s">
        <v>149</v>
      </c>
      <c r="C650" s="4">
        <v>5.0999999999999996</v>
      </c>
      <c r="D650" s="6">
        <f t="shared" si="12"/>
        <v>17</v>
      </c>
      <c r="E650" s="4">
        <v>14244</v>
      </c>
      <c r="F650" s="4">
        <v>2007</v>
      </c>
    </row>
    <row r="651" spans="1:6" x14ac:dyDescent="0.35">
      <c r="A651" s="4" t="s">
        <v>290</v>
      </c>
      <c r="B651" s="4" t="s">
        <v>291</v>
      </c>
      <c r="C651" s="4">
        <v>3.1</v>
      </c>
      <c r="D651" s="6">
        <f t="shared" si="12"/>
        <v>317</v>
      </c>
      <c r="E651" s="4">
        <v>25105</v>
      </c>
      <c r="F651" s="4">
        <v>2007</v>
      </c>
    </row>
    <row r="652" spans="1:6" x14ac:dyDescent="0.35">
      <c r="A652" s="4" t="s">
        <v>221</v>
      </c>
      <c r="B652" s="4" t="s">
        <v>222</v>
      </c>
      <c r="C652" s="4">
        <v>2.7</v>
      </c>
      <c r="D652" s="6">
        <f t="shared" si="12"/>
        <v>328</v>
      </c>
      <c r="E652" s="4">
        <v>11689</v>
      </c>
      <c r="F652" s="4">
        <v>2007</v>
      </c>
    </row>
    <row r="653" spans="1:6" x14ac:dyDescent="0.35">
      <c r="A653" s="4" t="s">
        <v>774</v>
      </c>
      <c r="B653" s="4" t="s">
        <v>44</v>
      </c>
      <c r="C653" s="4">
        <v>4.3</v>
      </c>
      <c r="D653" s="6">
        <f t="shared" si="12"/>
        <v>244</v>
      </c>
      <c r="E653" s="4">
        <v>22904</v>
      </c>
      <c r="F653" s="4">
        <v>2007</v>
      </c>
    </row>
    <row r="654" spans="1:6" x14ac:dyDescent="0.35">
      <c r="A654" s="4" t="s">
        <v>2123</v>
      </c>
      <c r="B654" s="4" t="s">
        <v>217</v>
      </c>
      <c r="C654" s="4">
        <v>5.2</v>
      </c>
      <c r="D654" s="6">
        <f t="shared" si="12"/>
        <v>1</v>
      </c>
      <c r="E654" s="4">
        <v>97181</v>
      </c>
      <c r="F654" s="4">
        <v>2007</v>
      </c>
    </row>
    <row r="655" spans="1:6" x14ac:dyDescent="0.35">
      <c r="A655" s="4" t="s">
        <v>1024</v>
      </c>
      <c r="B655" s="4" t="s">
        <v>155</v>
      </c>
      <c r="C655" s="4">
        <v>4.5999999999999996</v>
      </c>
      <c r="D655" s="6">
        <f t="shared" si="12"/>
        <v>183</v>
      </c>
      <c r="E655" s="4">
        <v>137996</v>
      </c>
      <c r="F655" s="4">
        <v>2007</v>
      </c>
    </row>
    <row r="656" spans="1:6" x14ac:dyDescent="0.35">
      <c r="A656" s="4" t="s">
        <v>875</v>
      </c>
      <c r="B656" s="4" t="s">
        <v>178</v>
      </c>
      <c r="C656" s="4">
        <v>4.4000000000000004</v>
      </c>
      <c r="D656" s="6">
        <f t="shared" si="12"/>
        <v>223</v>
      </c>
      <c r="E656" s="4">
        <v>23135</v>
      </c>
      <c r="F656" s="4">
        <v>2006</v>
      </c>
    </row>
    <row r="657" spans="1:6" x14ac:dyDescent="0.35">
      <c r="A657" s="4" t="s">
        <v>1891</v>
      </c>
      <c r="B657" s="4" t="s">
        <v>82</v>
      </c>
      <c r="C657" s="4">
        <v>5.0999999999999996</v>
      </c>
      <c r="D657" s="6">
        <f t="shared" si="12"/>
        <v>16</v>
      </c>
      <c r="E657" s="4">
        <v>49376</v>
      </c>
      <c r="F657" s="4">
        <v>2006</v>
      </c>
    </row>
    <row r="658" spans="1:6" x14ac:dyDescent="0.35">
      <c r="A658" s="4" t="s">
        <v>1394</v>
      </c>
      <c r="B658" s="4" t="s">
        <v>116</v>
      </c>
      <c r="C658" s="4">
        <v>4.8</v>
      </c>
      <c r="D658" s="6">
        <f t="shared" si="12"/>
        <v>118</v>
      </c>
      <c r="E658" s="4">
        <v>24209</v>
      </c>
      <c r="F658" s="4">
        <v>2006</v>
      </c>
    </row>
    <row r="659" spans="1:6" x14ac:dyDescent="0.35">
      <c r="A659" s="4" t="s">
        <v>834</v>
      </c>
      <c r="B659" s="4" t="s">
        <v>172</v>
      </c>
      <c r="C659" s="4">
        <v>4.4000000000000004</v>
      </c>
      <c r="D659" s="6">
        <f t="shared" si="12"/>
        <v>221</v>
      </c>
      <c r="E659" s="4">
        <v>84625</v>
      </c>
      <c r="F659" s="4">
        <v>2006</v>
      </c>
    </row>
    <row r="660" spans="1:6" x14ac:dyDescent="0.35">
      <c r="A660" s="4" t="s">
        <v>61</v>
      </c>
      <c r="B660" s="4" t="s">
        <v>62</v>
      </c>
      <c r="C660" s="4">
        <v>1.5</v>
      </c>
      <c r="D660" s="6">
        <f t="shared" si="12"/>
        <v>340</v>
      </c>
      <c r="E660" s="4">
        <v>16829</v>
      </c>
      <c r="F660" s="4">
        <v>2006</v>
      </c>
    </row>
    <row r="661" spans="1:6" x14ac:dyDescent="0.35">
      <c r="A661" s="4" t="s">
        <v>481</v>
      </c>
      <c r="B661" s="4" t="s">
        <v>175</v>
      </c>
      <c r="C661" s="4">
        <v>3.8</v>
      </c>
      <c r="D661" s="6">
        <f t="shared" si="12"/>
        <v>272</v>
      </c>
      <c r="E661" s="4">
        <v>72530</v>
      </c>
      <c r="F661" s="4">
        <v>2006</v>
      </c>
    </row>
    <row r="662" spans="1:6" x14ac:dyDescent="0.35">
      <c r="A662" s="4" t="s">
        <v>881</v>
      </c>
      <c r="B662" s="4" t="s">
        <v>140</v>
      </c>
      <c r="C662" s="4">
        <v>4.4000000000000004</v>
      </c>
      <c r="D662" s="6">
        <f t="shared" si="12"/>
        <v>221</v>
      </c>
      <c r="E662" s="4">
        <v>20411</v>
      </c>
      <c r="F662" s="4">
        <v>2006</v>
      </c>
    </row>
    <row r="663" spans="1:6" x14ac:dyDescent="0.35">
      <c r="A663" s="4" t="s">
        <v>1354</v>
      </c>
      <c r="B663" s="4" t="s">
        <v>217</v>
      </c>
      <c r="C663" s="4">
        <v>4.8</v>
      </c>
      <c r="D663" s="6">
        <f t="shared" si="12"/>
        <v>118</v>
      </c>
      <c r="E663" s="4">
        <v>43211</v>
      </c>
      <c r="F663" s="4">
        <v>2006</v>
      </c>
    </row>
    <row r="664" spans="1:6" x14ac:dyDescent="0.35">
      <c r="A664" s="4" t="s">
        <v>1368</v>
      </c>
      <c r="B664" s="4" t="s">
        <v>125</v>
      </c>
      <c r="C664" s="4">
        <v>4.8</v>
      </c>
      <c r="D664" s="6">
        <f t="shared" si="12"/>
        <v>118</v>
      </c>
      <c r="E664" s="4">
        <v>36320</v>
      </c>
      <c r="F664" s="4">
        <v>2006</v>
      </c>
    </row>
    <row r="665" spans="1:6" x14ac:dyDescent="0.35">
      <c r="A665" s="4" t="s">
        <v>518</v>
      </c>
      <c r="B665" s="4" t="s">
        <v>519</v>
      </c>
      <c r="C665" s="4">
        <v>3.8</v>
      </c>
      <c r="D665" s="6">
        <f t="shared" si="12"/>
        <v>269</v>
      </c>
      <c r="E665" s="4">
        <v>11617</v>
      </c>
      <c r="F665" s="4">
        <v>2006</v>
      </c>
    </row>
    <row r="666" spans="1:6" x14ac:dyDescent="0.35">
      <c r="A666" s="4" t="s">
        <v>1885</v>
      </c>
      <c r="B666" s="4" t="s">
        <v>82</v>
      </c>
      <c r="C666" s="4">
        <v>5.0999999999999996</v>
      </c>
      <c r="D666" s="6">
        <f t="shared" si="12"/>
        <v>16</v>
      </c>
      <c r="E666" s="4">
        <v>52043</v>
      </c>
      <c r="F666" s="4">
        <v>2006</v>
      </c>
    </row>
    <row r="667" spans="1:6" x14ac:dyDescent="0.35">
      <c r="A667" s="4" t="s">
        <v>2163</v>
      </c>
      <c r="B667" s="4" t="s">
        <v>597</v>
      </c>
      <c r="C667" s="4">
        <v>5.2</v>
      </c>
      <c r="D667" s="6">
        <f t="shared" si="12"/>
        <v>1</v>
      </c>
      <c r="E667" s="4">
        <v>52788</v>
      </c>
      <c r="F667" s="4">
        <v>2006</v>
      </c>
    </row>
    <row r="668" spans="1:6" x14ac:dyDescent="0.35">
      <c r="A668" s="4" t="s">
        <v>950</v>
      </c>
      <c r="B668" s="4" t="s">
        <v>951</v>
      </c>
      <c r="C668" s="4">
        <v>4.5</v>
      </c>
      <c r="D668" s="6">
        <f t="shared" si="12"/>
        <v>201</v>
      </c>
      <c r="E668" s="4">
        <v>37695</v>
      </c>
      <c r="F668" s="4">
        <v>2006</v>
      </c>
    </row>
    <row r="669" spans="1:6" x14ac:dyDescent="0.35">
      <c r="A669" s="4" t="s">
        <v>2027</v>
      </c>
      <c r="B669" s="4" t="s">
        <v>169</v>
      </c>
      <c r="C669" s="4">
        <v>5.0999999999999996</v>
      </c>
      <c r="D669" s="6">
        <f t="shared" si="12"/>
        <v>15</v>
      </c>
      <c r="E669" s="4">
        <v>14554</v>
      </c>
      <c r="F669" s="4">
        <v>2006</v>
      </c>
    </row>
    <row r="670" spans="1:6" x14ac:dyDescent="0.35">
      <c r="A670" s="4" t="s">
        <v>1938</v>
      </c>
      <c r="B670" s="4" t="s">
        <v>477</v>
      </c>
      <c r="C670" s="4">
        <v>5.0999999999999996</v>
      </c>
      <c r="D670" s="6">
        <f t="shared" si="12"/>
        <v>15</v>
      </c>
      <c r="E670" s="4">
        <v>25853</v>
      </c>
      <c r="F670" s="4">
        <v>2006</v>
      </c>
    </row>
    <row r="671" spans="1:6" x14ac:dyDescent="0.35">
      <c r="A671" s="4" t="s">
        <v>1722</v>
      </c>
      <c r="B671" s="4" t="s">
        <v>915</v>
      </c>
      <c r="C671" s="4">
        <v>5</v>
      </c>
      <c r="D671" s="6">
        <f t="shared" si="12"/>
        <v>59</v>
      </c>
      <c r="E671" s="4">
        <v>34517</v>
      </c>
      <c r="F671" s="4">
        <v>2006</v>
      </c>
    </row>
    <row r="672" spans="1:6" x14ac:dyDescent="0.35">
      <c r="A672" s="4" t="s">
        <v>995</v>
      </c>
      <c r="B672" s="4" t="s">
        <v>267</v>
      </c>
      <c r="C672" s="4">
        <v>4.5</v>
      </c>
      <c r="D672" s="6">
        <f t="shared" si="12"/>
        <v>198</v>
      </c>
      <c r="E672" s="4">
        <v>13898</v>
      </c>
      <c r="F672" s="4">
        <v>2006</v>
      </c>
    </row>
    <row r="673" spans="1:6" x14ac:dyDescent="0.35">
      <c r="A673" s="4" t="s">
        <v>1742</v>
      </c>
      <c r="B673" s="4" t="s">
        <v>571</v>
      </c>
      <c r="C673" s="4">
        <v>5</v>
      </c>
      <c r="D673" s="6">
        <f t="shared" si="12"/>
        <v>59</v>
      </c>
      <c r="E673" s="4">
        <v>29436</v>
      </c>
      <c r="F673" s="4">
        <v>2006</v>
      </c>
    </row>
    <row r="674" spans="1:6" x14ac:dyDescent="0.35">
      <c r="A674" s="4" t="s">
        <v>1856</v>
      </c>
      <c r="B674" s="4" t="s">
        <v>11</v>
      </c>
      <c r="C674" s="4">
        <v>5.0999999999999996</v>
      </c>
      <c r="D674" s="6">
        <f t="shared" si="12"/>
        <v>15</v>
      </c>
      <c r="E674" s="4">
        <v>131453</v>
      </c>
      <c r="F674" s="4">
        <v>2006</v>
      </c>
    </row>
    <row r="675" spans="1:6" x14ac:dyDescent="0.35">
      <c r="A675" s="4" t="s">
        <v>1008</v>
      </c>
      <c r="B675" s="4" t="s">
        <v>1009</v>
      </c>
      <c r="C675" s="4">
        <v>4.5</v>
      </c>
      <c r="D675" s="6">
        <f t="shared" si="12"/>
        <v>196</v>
      </c>
      <c r="E675" s="4">
        <v>11963</v>
      </c>
      <c r="F675" s="4">
        <v>2006</v>
      </c>
    </row>
    <row r="676" spans="1:6" x14ac:dyDescent="0.35">
      <c r="A676" s="4" t="s">
        <v>1212</v>
      </c>
      <c r="B676" s="4" t="s">
        <v>474</v>
      </c>
      <c r="C676" s="4">
        <v>4.7</v>
      </c>
      <c r="D676" s="6">
        <f t="shared" si="12"/>
        <v>143</v>
      </c>
      <c r="E676" s="4">
        <v>31247</v>
      </c>
      <c r="F676" s="4">
        <v>2006</v>
      </c>
    </row>
    <row r="677" spans="1:6" x14ac:dyDescent="0.35">
      <c r="A677" s="4" t="s">
        <v>84</v>
      </c>
      <c r="B677" s="4" t="s">
        <v>11</v>
      </c>
      <c r="C677" s="4">
        <v>1.7</v>
      </c>
      <c r="D677" s="6">
        <f t="shared" si="12"/>
        <v>322</v>
      </c>
      <c r="E677" s="4">
        <v>18975</v>
      </c>
      <c r="F677" s="4">
        <v>2006</v>
      </c>
    </row>
    <row r="678" spans="1:6" x14ac:dyDescent="0.35">
      <c r="A678" s="4" t="s">
        <v>2143</v>
      </c>
      <c r="B678" s="4" t="s">
        <v>944</v>
      </c>
      <c r="C678" s="4">
        <v>5.2</v>
      </c>
      <c r="D678" s="6">
        <f t="shared" si="12"/>
        <v>1</v>
      </c>
      <c r="E678" s="4">
        <v>67625</v>
      </c>
      <c r="F678" s="4">
        <v>2006</v>
      </c>
    </row>
    <row r="679" spans="1:6" x14ac:dyDescent="0.35">
      <c r="A679" s="4" t="s">
        <v>601</v>
      </c>
      <c r="B679" s="4" t="s">
        <v>455</v>
      </c>
      <c r="C679" s="4">
        <v>4</v>
      </c>
      <c r="D679" s="6">
        <f t="shared" si="12"/>
        <v>247</v>
      </c>
      <c r="E679" s="4">
        <v>22857</v>
      </c>
      <c r="F679" s="4">
        <v>2006</v>
      </c>
    </row>
    <row r="680" spans="1:6" x14ac:dyDescent="0.35">
      <c r="A680" s="4" t="s">
        <v>939</v>
      </c>
      <c r="B680" s="4" t="s">
        <v>214</v>
      </c>
      <c r="C680" s="4">
        <v>4.5</v>
      </c>
      <c r="D680" s="6">
        <f t="shared" si="12"/>
        <v>194</v>
      </c>
      <c r="E680" s="4">
        <v>61281</v>
      </c>
      <c r="F680" s="4">
        <v>2006</v>
      </c>
    </row>
    <row r="681" spans="1:6" x14ac:dyDescent="0.35">
      <c r="A681" s="4" t="s">
        <v>397</v>
      </c>
      <c r="B681" s="4" t="s">
        <v>116</v>
      </c>
      <c r="C681" s="4">
        <v>3.5</v>
      </c>
      <c r="D681" s="6">
        <f t="shared" si="12"/>
        <v>276</v>
      </c>
      <c r="E681" s="4">
        <v>12561</v>
      </c>
      <c r="F681" s="4">
        <v>2006</v>
      </c>
    </row>
    <row r="682" spans="1:6" x14ac:dyDescent="0.35">
      <c r="A682" s="4" t="s">
        <v>363</v>
      </c>
      <c r="B682" s="4" t="s">
        <v>175</v>
      </c>
      <c r="C682" s="4">
        <v>3.4</v>
      </c>
      <c r="D682" s="6">
        <f t="shared" si="12"/>
        <v>280</v>
      </c>
      <c r="E682" s="4">
        <v>13827</v>
      </c>
      <c r="F682" s="4">
        <v>2006</v>
      </c>
    </row>
    <row r="683" spans="1:6" x14ac:dyDescent="0.35">
      <c r="A683" s="4" t="s">
        <v>919</v>
      </c>
      <c r="B683" s="4" t="s">
        <v>155</v>
      </c>
      <c r="C683" s="4">
        <v>4.4000000000000004</v>
      </c>
      <c r="D683" s="6">
        <f t="shared" si="12"/>
        <v>206</v>
      </c>
      <c r="E683" s="4">
        <v>10415</v>
      </c>
      <c r="F683" s="4">
        <v>2006</v>
      </c>
    </row>
    <row r="684" spans="1:6" x14ac:dyDescent="0.35">
      <c r="A684" s="4" t="s">
        <v>1015</v>
      </c>
      <c r="B684" s="4" t="s">
        <v>65</v>
      </c>
      <c r="C684" s="4">
        <v>4.5</v>
      </c>
      <c r="D684" s="6">
        <f t="shared" si="12"/>
        <v>194</v>
      </c>
      <c r="E684" s="4">
        <v>11255</v>
      </c>
      <c r="F684" s="4">
        <v>2006</v>
      </c>
    </row>
    <row r="685" spans="1:6" x14ac:dyDescent="0.35">
      <c r="A685" s="4" t="s">
        <v>1703</v>
      </c>
      <c r="B685" s="4" t="s">
        <v>217</v>
      </c>
      <c r="C685" s="4">
        <v>5</v>
      </c>
      <c r="D685" s="6">
        <f t="shared" si="12"/>
        <v>57</v>
      </c>
      <c r="E685" s="4">
        <v>48401</v>
      </c>
      <c r="F685" s="4">
        <v>2006</v>
      </c>
    </row>
    <row r="686" spans="1:6" x14ac:dyDescent="0.35">
      <c r="A686" s="4" t="s">
        <v>1854</v>
      </c>
      <c r="B686" s="4" t="s">
        <v>477</v>
      </c>
      <c r="C686" s="4">
        <v>5.0999999999999996</v>
      </c>
      <c r="D686" s="6">
        <f t="shared" si="12"/>
        <v>14</v>
      </c>
      <c r="E686" s="4">
        <v>131549</v>
      </c>
      <c r="F686" s="4">
        <v>2006</v>
      </c>
    </row>
    <row r="687" spans="1:6" x14ac:dyDescent="0.35">
      <c r="A687" s="4" t="s">
        <v>1341</v>
      </c>
      <c r="B687" s="4" t="s">
        <v>1342</v>
      </c>
      <c r="C687" s="4">
        <v>4.8</v>
      </c>
      <c r="D687" s="6">
        <f t="shared" si="12"/>
        <v>108</v>
      </c>
      <c r="E687" s="4">
        <v>46718</v>
      </c>
      <c r="F687" s="4">
        <v>2006</v>
      </c>
    </row>
    <row r="688" spans="1:6" x14ac:dyDescent="0.35">
      <c r="A688" s="4" t="s">
        <v>1922</v>
      </c>
      <c r="B688" s="4" t="s">
        <v>44</v>
      </c>
      <c r="C688" s="4">
        <v>5.0999999999999996</v>
      </c>
      <c r="D688" s="6">
        <f t="shared" si="12"/>
        <v>14</v>
      </c>
      <c r="E688" s="4">
        <v>33502</v>
      </c>
      <c r="F688" s="4">
        <v>2006</v>
      </c>
    </row>
    <row r="689" spans="1:6" x14ac:dyDescent="0.35">
      <c r="A689" s="4" t="s">
        <v>229</v>
      </c>
      <c r="B689" s="4" t="s">
        <v>116</v>
      </c>
      <c r="C689" s="4">
        <v>2.8</v>
      </c>
      <c r="D689" s="6">
        <f t="shared" si="12"/>
        <v>292</v>
      </c>
      <c r="E689" s="4">
        <v>62675</v>
      </c>
      <c r="F689" s="4">
        <v>2006</v>
      </c>
    </row>
    <row r="690" spans="1:6" x14ac:dyDescent="0.35">
      <c r="A690" s="4" t="s">
        <v>380</v>
      </c>
      <c r="B690" s="4" t="s">
        <v>76</v>
      </c>
      <c r="C690" s="4">
        <v>4.7</v>
      </c>
      <c r="D690" s="6">
        <f t="shared" si="12"/>
        <v>138</v>
      </c>
      <c r="E690" s="4">
        <v>31102</v>
      </c>
      <c r="F690" s="4">
        <v>2006</v>
      </c>
    </row>
    <row r="691" spans="1:6" x14ac:dyDescent="0.35">
      <c r="A691" s="4" t="s">
        <v>1339</v>
      </c>
      <c r="B691" s="4" t="s">
        <v>214</v>
      </c>
      <c r="C691" s="4">
        <v>4.8</v>
      </c>
      <c r="D691" s="6">
        <f t="shared" si="12"/>
        <v>107</v>
      </c>
      <c r="E691" s="4">
        <v>47211</v>
      </c>
      <c r="F691" s="4">
        <v>2006</v>
      </c>
    </row>
    <row r="692" spans="1:6" x14ac:dyDescent="0.35">
      <c r="A692" s="4" t="s">
        <v>845</v>
      </c>
      <c r="B692" s="4" t="s">
        <v>846</v>
      </c>
      <c r="C692" s="4">
        <v>4.4000000000000004</v>
      </c>
      <c r="D692" s="6">
        <f t="shared" si="12"/>
        <v>199</v>
      </c>
      <c r="E692" s="4">
        <v>42107</v>
      </c>
      <c r="F692" s="4">
        <v>2006</v>
      </c>
    </row>
    <row r="693" spans="1:6" x14ac:dyDescent="0.35">
      <c r="A693" s="4" t="s">
        <v>1875</v>
      </c>
      <c r="B693" s="4" t="s">
        <v>11</v>
      </c>
      <c r="C693" s="4">
        <v>5.0999999999999996</v>
      </c>
      <c r="D693" s="6">
        <f t="shared" si="12"/>
        <v>14</v>
      </c>
      <c r="E693" s="4">
        <v>75162</v>
      </c>
      <c r="F693" s="4">
        <v>2006</v>
      </c>
    </row>
    <row r="694" spans="1:6" x14ac:dyDescent="0.35">
      <c r="A694" s="4" t="s">
        <v>935</v>
      </c>
      <c r="B694" s="4" t="s">
        <v>275</v>
      </c>
      <c r="C694" s="4">
        <v>4.5</v>
      </c>
      <c r="D694" s="6">
        <f t="shared" si="12"/>
        <v>187</v>
      </c>
      <c r="E694" s="4">
        <v>74341</v>
      </c>
      <c r="F694" s="4">
        <v>2005</v>
      </c>
    </row>
    <row r="695" spans="1:6" x14ac:dyDescent="0.35">
      <c r="A695" s="4" t="s">
        <v>1143</v>
      </c>
      <c r="B695" s="4" t="s">
        <v>76</v>
      </c>
      <c r="C695" s="4">
        <v>4.5999999999999996</v>
      </c>
      <c r="D695" s="6">
        <f t="shared" si="12"/>
        <v>163</v>
      </c>
      <c r="E695" s="4">
        <v>11021</v>
      </c>
      <c r="F695" s="4">
        <v>2005</v>
      </c>
    </row>
    <row r="696" spans="1:6" x14ac:dyDescent="0.35">
      <c r="A696" s="4" t="s">
        <v>1293</v>
      </c>
      <c r="B696" s="4" t="s">
        <v>175</v>
      </c>
      <c r="C696" s="4">
        <v>4.7</v>
      </c>
      <c r="D696" s="6">
        <f t="shared" ref="D696:D759" si="13">_xlfn.RANK.EQ(C696, C696:C1695)</f>
        <v>136</v>
      </c>
      <c r="E696" s="4">
        <v>12436</v>
      </c>
      <c r="F696" s="4">
        <v>2005</v>
      </c>
    </row>
    <row r="697" spans="1:6" x14ac:dyDescent="0.35">
      <c r="A697" s="4" t="s">
        <v>447</v>
      </c>
      <c r="B697" s="4" t="s">
        <v>448</v>
      </c>
      <c r="C697" s="4">
        <v>3.7</v>
      </c>
      <c r="D697" s="6">
        <f t="shared" si="13"/>
        <v>250</v>
      </c>
      <c r="E697" s="4">
        <v>39839</v>
      </c>
      <c r="F697" s="4">
        <v>2005</v>
      </c>
    </row>
    <row r="698" spans="1:6" x14ac:dyDescent="0.35">
      <c r="A698" s="4" t="s">
        <v>1871</v>
      </c>
      <c r="B698" s="4" t="s">
        <v>11</v>
      </c>
      <c r="C698" s="4">
        <v>5.0999999999999996</v>
      </c>
      <c r="D698" s="6">
        <f t="shared" si="13"/>
        <v>14</v>
      </c>
      <c r="E698" s="4">
        <v>82607</v>
      </c>
      <c r="F698" s="4">
        <v>2005</v>
      </c>
    </row>
    <row r="699" spans="1:6" x14ac:dyDescent="0.35">
      <c r="A699" s="4" t="s">
        <v>279</v>
      </c>
      <c r="B699" s="4" t="s">
        <v>178</v>
      </c>
      <c r="C699" s="4">
        <v>3</v>
      </c>
      <c r="D699" s="6">
        <f t="shared" si="13"/>
        <v>276</v>
      </c>
      <c r="E699" s="4">
        <v>10063</v>
      </c>
      <c r="F699" s="4">
        <v>2005</v>
      </c>
    </row>
    <row r="700" spans="1:6" x14ac:dyDescent="0.35">
      <c r="A700" s="4" t="s">
        <v>1899</v>
      </c>
      <c r="B700" s="4" t="s">
        <v>1900</v>
      </c>
      <c r="C700" s="4">
        <v>5.0999999999999996</v>
      </c>
      <c r="D700" s="6">
        <f t="shared" si="13"/>
        <v>14</v>
      </c>
      <c r="E700" s="4">
        <v>42213</v>
      </c>
      <c r="F700" s="4">
        <v>2005</v>
      </c>
    </row>
    <row r="701" spans="1:6" x14ac:dyDescent="0.35">
      <c r="A701" s="4" t="s">
        <v>495</v>
      </c>
      <c r="B701" s="4" t="s">
        <v>178</v>
      </c>
      <c r="C701" s="4">
        <v>3.8</v>
      </c>
      <c r="D701" s="6">
        <f t="shared" si="13"/>
        <v>240</v>
      </c>
      <c r="E701" s="4">
        <v>43456</v>
      </c>
      <c r="F701" s="4">
        <v>2005</v>
      </c>
    </row>
    <row r="702" spans="1:6" x14ac:dyDescent="0.35">
      <c r="A702" s="4" t="s">
        <v>1832</v>
      </c>
      <c r="B702" s="4" t="s">
        <v>400</v>
      </c>
      <c r="C702" s="4">
        <v>5</v>
      </c>
      <c r="D702" s="6">
        <f t="shared" si="13"/>
        <v>52</v>
      </c>
      <c r="E702" s="4">
        <v>11279</v>
      </c>
      <c r="F702" s="4">
        <v>2005</v>
      </c>
    </row>
    <row r="703" spans="1:6" x14ac:dyDescent="0.35">
      <c r="A703" s="4" t="s">
        <v>1668</v>
      </c>
      <c r="B703" s="4" t="s">
        <v>31</v>
      </c>
      <c r="C703" s="4">
        <v>4.9000000000000004</v>
      </c>
      <c r="D703" s="6">
        <f t="shared" si="13"/>
        <v>78</v>
      </c>
      <c r="E703" s="4">
        <v>10665</v>
      </c>
      <c r="F703" s="4">
        <v>2005</v>
      </c>
    </row>
    <row r="704" spans="1:6" x14ac:dyDescent="0.35">
      <c r="A704" s="4" t="s">
        <v>1881</v>
      </c>
      <c r="B704" s="4" t="s">
        <v>163</v>
      </c>
      <c r="C704" s="4">
        <v>5.0999999999999996</v>
      </c>
      <c r="D704" s="6">
        <f t="shared" si="13"/>
        <v>14</v>
      </c>
      <c r="E704" s="4">
        <v>56751</v>
      </c>
      <c r="F704" s="4">
        <v>2005</v>
      </c>
    </row>
    <row r="705" spans="1:6" x14ac:dyDescent="0.35">
      <c r="A705" s="4" t="s">
        <v>139</v>
      </c>
      <c r="B705" s="4" t="s">
        <v>140</v>
      </c>
      <c r="C705" s="4">
        <v>2.2999999999999998</v>
      </c>
      <c r="D705" s="6">
        <f t="shared" si="13"/>
        <v>287</v>
      </c>
      <c r="E705" s="4">
        <v>60120</v>
      </c>
      <c r="F705" s="4">
        <v>2005</v>
      </c>
    </row>
    <row r="706" spans="1:6" x14ac:dyDescent="0.35">
      <c r="A706" s="4" t="s">
        <v>2065</v>
      </c>
      <c r="B706" s="4" t="s">
        <v>175</v>
      </c>
      <c r="C706" s="4">
        <v>5.0999999999999996</v>
      </c>
      <c r="D706" s="6">
        <f t="shared" si="13"/>
        <v>14</v>
      </c>
      <c r="E706" s="4">
        <v>10977</v>
      </c>
      <c r="F706" s="4">
        <v>2005</v>
      </c>
    </row>
    <row r="707" spans="1:6" x14ac:dyDescent="0.35">
      <c r="A707" s="4" t="s">
        <v>2127</v>
      </c>
      <c r="B707" s="4" t="s">
        <v>146</v>
      </c>
      <c r="C707" s="4">
        <v>5.2</v>
      </c>
      <c r="D707" s="6">
        <f t="shared" si="13"/>
        <v>1</v>
      </c>
      <c r="E707" s="4">
        <v>81432</v>
      </c>
      <c r="F707" s="4">
        <v>2005</v>
      </c>
    </row>
    <row r="708" spans="1:6" x14ac:dyDescent="0.35">
      <c r="A708" s="4" t="s">
        <v>1445</v>
      </c>
      <c r="B708" s="4" t="s">
        <v>1446</v>
      </c>
      <c r="C708" s="4">
        <v>4.8</v>
      </c>
      <c r="D708" s="6">
        <f t="shared" si="13"/>
        <v>99</v>
      </c>
      <c r="E708" s="4">
        <v>15699</v>
      </c>
      <c r="F708" s="4">
        <v>2005</v>
      </c>
    </row>
    <row r="709" spans="1:6" x14ac:dyDescent="0.35">
      <c r="A709" s="4" t="s">
        <v>1554</v>
      </c>
      <c r="B709" s="4" t="s">
        <v>217</v>
      </c>
      <c r="C709" s="4">
        <v>4.9000000000000004</v>
      </c>
      <c r="D709" s="6">
        <f t="shared" si="13"/>
        <v>75</v>
      </c>
      <c r="E709" s="4">
        <v>51617</v>
      </c>
      <c r="F709" s="4">
        <v>2005</v>
      </c>
    </row>
    <row r="710" spans="1:6" x14ac:dyDescent="0.35">
      <c r="A710" s="4" t="s">
        <v>733</v>
      </c>
      <c r="B710" s="4" t="s">
        <v>76</v>
      </c>
      <c r="C710" s="4">
        <v>4.2</v>
      </c>
      <c r="D710" s="6">
        <f t="shared" si="13"/>
        <v>205</v>
      </c>
      <c r="E710" s="4">
        <v>13378</v>
      </c>
      <c r="F710" s="4">
        <v>2005</v>
      </c>
    </row>
    <row r="711" spans="1:6" x14ac:dyDescent="0.35">
      <c r="A711" s="4" t="s">
        <v>909</v>
      </c>
      <c r="B711" s="4" t="s">
        <v>175</v>
      </c>
      <c r="C711" s="4">
        <v>4.4000000000000004</v>
      </c>
      <c r="D711" s="6">
        <f t="shared" si="13"/>
        <v>186</v>
      </c>
      <c r="E711" s="4">
        <v>12212</v>
      </c>
      <c r="F711" s="4">
        <v>2005</v>
      </c>
    </row>
    <row r="712" spans="1:6" x14ac:dyDescent="0.35">
      <c r="A712" s="4" t="s">
        <v>1162</v>
      </c>
      <c r="B712" s="4" t="s">
        <v>275</v>
      </c>
      <c r="C712" s="4">
        <v>4.7</v>
      </c>
      <c r="D712" s="6">
        <f t="shared" si="13"/>
        <v>127</v>
      </c>
      <c r="E712" s="4">
        <v>100251</v>
      </c>
      <c r="F712" s="4">
        <v>2005</v>
      </c>
    </row>
    <row r="713" spans="1:6" x14ac:dyDescent="0.35">
      <c r="A713" s="4" t="s">
        <v>2113</v>
      </c>
      <c r="B713" s="4" t="s">
        <v>155</v>
      </c>
      <c r="C713" s="4">
        <v>5.2</v>
      </c>
      <c r="D713" s="6">
        <f t="shared" si="13"/>
        <v>1</v>
      </c>
      <c r="E713" s="4">
        <v>120222</v>
      </c>
      <c r="F713" s="4">
        <v>2005</v>
      </c>
    </row>
    <row r="714" spans="1:6" x14ac:dyDescent="0.35">
      <c r="A714" s="4" t="s">
        <v>2031</v>
      </c>
      <c r="B714" s="4" t="s">
        <v>584</v>
      </c>
      <c r="C714" s="4">
        <v>5.0999999999999996</v>
      </c>
      <c r="D714" s="6">
        <f t="shared" si="13"/>
        <v>12</v>
      </c>
      <c r="E714" s="4">
        <v>13987</v>
      </c>
      <c r="F714" s="4">
        <v>2005</v>
      </c>
    </row>
    <row r="715" spans="1:6" x14ac:dyDescent="0.35">
      <c r="A715" s="4" t="s">
        <v>1178</v>
      </c>
      <c r="B715" s="4" t="s">
        <v>11</v>
      </c>
      <c r="C715" s="4">
        <v>4.7</v>
      </c>
      <c r="D715" s="6">
        <f t="shared" si="13"/>
        <v>125</v>
      </c>
      <c r="E715" s="4">
        <v>54002</v>
      </c>
      <c r="F715" s="4">
        <v>2005</v>
      </c>
    </row>
    <row r="716" spans="1:6" x14ac:dyDescent="0.35">
      <c r="A716" s="4" t="s">
        <v>1670</v>
      </c>
      <c r="B716" s="4" t="s">
        <v>1671</v>
      </c>
      <c r="C716" s="4">
        <v>4.9000000000000004</v>
      </c>
      <c r="D716" s="6">
        <f t="shared" si="13"/>
        <v>73</v>
      </c>
      <c r="E716" s="4">
        <v>10637</v>
      </c>
      <c r="F716" s="4">
        <v>2005</v>
      </c>
    </row>
    <row r="717" spans="1:6" x14ac:dyDescent="0.35">
      <c r="A717" s="4" t="s">
        <v>1914</v>
      </c>
      <c r="B717" s="4" t="s">
        <v>1098</v>
      </c>
      <c r="C717" s="4">
        <v>5.0999999999999996</v>
      </c>
      <c r="D717" s="6">
        <f t="shared" si="13"/>
        <v>12</v>
      </c>
      <c r="E717" s="4">
        <v>35718</v>
      </c>
      <c r="F717" s="4">
        <v>2005</v>
      </c>
    </row>
    <row r="718" spans="1:6" x14ac:dyDescent="0.35">
      <c r="A718" s="4" t="s">
        <v>701</v>
      </c>
      <c r="B718" s="4" t="s">
        <v>565</v>
      </c>
      <c r="C718" s="4">
        <v>4.2</v>
      </c>
      <c r="D718" s="6">
        <f t="shared" si="13"/>
        <v>198</v>
      </c>
      <c r="E718" s="4">
        <v>32959</v>
      </c>
      <c r="F718" s="4">
        <v>2005</v>
      </c>
    </row>
    <row r="719" spans="1:6" x14ac:dyDescent="0.35">
      <c r="A719" s="4" t="s">
        <v>266</v>
      </c>
      <c r="B719" s="4" t="s">
        <v>267</v>
      </c>
      <c r="C719" s="4">
        <v>3</v>
      </c>
      <c r="D719" s="6">
        <f t="shared" si="13"/>
        <v>258</v>
      </c>
      <c r="E719" s="4">
        <v>37559</v>
      </c>
      <c r="F719" s="4">
        <v>2005</v>
      </c>
    </row>
    <row r="720" spans="1:6" x14ac:dyDescent="0.35">
      <c r="A720" s="4" t="s">
        <v>1328</v>
      </c>
      <c r="B720" s="4" t="s">
        <v>1329</v>
      </c>
      <c r="C720" s="4">
        <v>4.8</v>
      </c>
      <c r="D720" s="6">
        <f t="shared" si="13"/>
        <v>94</v>
      </c>
      <c r="E720" s="4">
        <v>76235</v>
      </c>
      <c r="F720" s="4">
        <v>2005</v>
      </c>
    </row>
    <row r="721" spans="1:6" x14ac:dyDescent="0.35">
      <c r="A721" s="4" t="s">
        <v>1370</v>
      </c>
      <c r="B721" s="4" t="s">
        <v>217</v>
      </c>
      <c r="C721" s="4">
        <v>4.8</v>
      </c>
      <c r="D721" s="6">
        <f t="shared" si="13"/>
        <v>94</v>
      </c>
      <c r="E721" s="4">
        <v>35096</v>
      </c>
      <c r="F721" s="4">
        <v>2005</v>
      </c>
    </row>
    <row r="722" spans="1:6" x14ac:dyDescent="0.35">
      <c r="A722" s="4" t="s">
        <v>1748</v>
      </c>
      <c r="B722" s="4" t="s">
        <v>565</v>
      </c>
      <c r="C722" s="4">
        <v>5</v>
      </c>
      <c r="D722" s="6">
        <f t="shared" si="13"/>
        <v>46</v>
      </c>
      <c r="E722" s="4">
        <v>27196</v>
      </c>
      <c r="F722" s="4">
        <v>2005</v>
      </c>
    </row>
    <row r="723" spans="1:6" x14ac:dyDescent="0.35">
      <c r="A723" s="4" t="s">
        <v>1685</v>
      </c>
      <c r="B723" s="4" t="s">
        <v>11</v>
      </c>
      <c r="C723" s="4">
        <v>5</v>
      </c>
      <c r="D723" s="6">
        <f t="shared" si="13"/>
        <v>46</v>
      </c>
      <c r="E723" s="4">
        <v>76565</v>
      </c>
      <c r="F723" s="4">
        <v>2005</v>
      </c>
    </row>
    <row r="724" spans="1:6" x14ac:dyDescent="0.35">
      <c r="A724" s="4" t="s">
        <v>154</v>
      </c>
      <c r="B724" s="4" t="s">
        <v>155</v>
      </c>
      <c r="C724" s="4">
        <v>2.4</v>
      </c>
      <c r="D724" s="6">
        <f t="shared" si="13"/>
        <v>267</v>
      </c>
      <c r="E724" s="4">
        <v>47417</v>
      </c>
      <c r="F724" s="4">
        <v>2005</v>
      </c>
    </row>
    <row r="725" spans="1:6" x14ac:dyDescent="0.35">
      <c r="A725" s="4" t="s">
        <v>713</v>
      </c>
      <c r="B725" s="4" t="s">
        <v>122</v>
      </c>
      <c r="C725" s="4">
        <v>4.2</v>
      </c>
      <c r="D725" s="6">
        <f t="shared" si="13"/>
        <v>194</v>
      </c>
      <c r="E725" s="4">
        <v>20755</v>
      </c>
      <c r="F725" s="4">
        <v>2005</v>
      </c>
    </row>
    <row r="726" spans="1:6" x14ac:dyDescent="0.35">
      <c r="A726" s="4" t="s">
        <v>543</v>
      </c>
      <c r="B726" s="4" t="s">
        <v>544</v>
      </c>
      <c r="C726" s="4">
        <v>3.9</v>
      </c>
      <c r="D726" s="6">
        <f t="shared" si="13"/>
        <v>212</v>
      </c>
      <c r="E726" s="4">
        <v>28830</v>
      </c>
      <c r="F726" s="4">
        <v>2004</v>
      </c>
    </row>
    <row r="727" spans="1:6" x14ac:dyDescent="0.35">
      <c r="A727" s="4" t="s">
        <v>641</v>
      </c>
      <c r="B727" s="4" t="s">
        <v>146</v>
      </c>
      <c r="C727" s="4">
        <v>4.0999999999999996</v>
      </c>
      <c r="D727" s="6">
        <f t="shared" si="13"/>
        <v>203</v>
      </c>
      <c r="E727" s="4">
        <v>29795</v>
      </c>
      <c r="F727" s="4">
        <v>2004</v>
      </c>
    </row>
    <row r="728" spans="1:6" x14ac:dyDescent="0.35">
      <c r="A728" s="4" t="s">
        <v>806</v>
      </c>
      <c r="B728" s="4" t="s">
        <v>178</v>
      </c>
      <c r="C728" s="4">
        <v>4.3</v>
      </c>
      <c r="D728" s="6">
        <f t="shared" si="13"/>
        <v>189</v>
      </c>
      <c r="E728" s="4">
        <v>14644</v>
      </c>
      <c r="F728" s="4">
        <v>2004</v>
      </c>
    </row>
    <row r="729" spans="1:6" x14ac:dyDescent="0.35">
      <c r="A729" s="4" t="s">
        <v>1611</v>
      </c>
      <c r="B729" s="4" t="s">
        <v>214</v>
      </c>
      <c r="C729" s="4">
        <v>4.9000000000000004</v>
      </c>
      <c r="D729" s="6">
        <f t="shared" si="13"/>
        <v>70</v>
      </c>
      <c r="E729" s="4">
        <v>18930</v>
      </c>
      <c r="F729" s="4">
        <v>2004</v>
      </c>
    </row>
    <row r="730" spans="1:6" x14ac:dyDescent="0.35">
      <c r="A730" s="4" t="s">
        <v>1045</v>
      </c>
      <c r="B730" s="4" t="s">
        <v>146</v>
      </c>
      <c r="C730" s="4">
        <v>4.5999999999999996</v>
      </c>
      <c r="D730" s="6">
        <f t="shared" si="13"/>
        <v>142</v>
      </c>
      <c r="E730" s="4">
        <v>45562</v>
      </c>
      <c r="F730" s="4">
        <v>2004</v>
      </c>
    </row>
    <row r="731" spans="1:6" x14ac:dyDescent="0.35">
      <c r="A731" s="4" t="s">
        <v>58</v>
      </c>
      <c r="B731" s="4" t="s">
        <v>59</v>
      </c>
      <c r="C731" s="4">
        <v>1.5</v>
      </c>
      <c r="D731" s="6">
        <f t="shared" si="13"/>
        <v>270</v>
      </c>
      <c r="E731" s="4">
        <v>31809</v>
      </c>
      <c r="F731" s="4">
        <v>2004</v>
      </c>
    </row>
    <row r="732" spans="1:6" x14ac:dyDescent="0.35">
      <c r="A732" s="4" t="s">
        <v>414</v>
      </c>
      <c r="B732" s="4" t="s">
        <v>122</v>
      </c>
      <c r="C732" s="4">
        <v>3.6</v>
      </c>
      <c r="D732" s="6">
        <f t="shared" si="13"/>
        <v>229</v>
      </c>
      <c r="E732" s="4">
        <v>24800</v>
      </c>
      <c r="F732" s="4">
        <v>2004</v>
      </c>
    </row>
    <row r="733" spans="1:6" x14ac:dyDescent="0.35">
      <c r="A733" s="4" t="s">
        <v>738</v>
      </c>
      <c r="B733" s="4" t="s">
        <v>98</v>
      </c>
      <c r="C733" s="4">
        <v>4.2</v>
      </c>
      <c r="D733" s="6">
        <f t="shared" si="13"/>
        <v>191</v>
      </c>
      <c r="E733" s="4">
        <v>11289</v>
      </c>
      <c r="F733" s="4">
        <v>2004</v>
      </c>
    </row>
    <row r="734" spans="1:6" x14ac:dyDescent="0.35">
      <c r="A734" s="4" t="s">
        <v>965</v>
      </c>
      <c r="B734" s="4" t="s">
        <v>11</v>
      </c>
      <c r="C734" s="4">
        <v>4.5</v>
      </c>
      <c r="D734" s="6">
        <f t="shared" si="13"/>
        <v>164</v>
      </c>
      <c r="E734" s="4">
        <v>24952</v>
      </c>
      <c r="F734" s="4">
        <v>2004</v>
      </c>
    </row>
    <row r="735" spans="1:6" x14ac:dyDescent="0.35">
      <c r="A735" s="4" t="s">
        <v>1556</v>
      </c>
      <c r="B735" s="4" t="s">
        <v>349</v>
      </c>
      <c r="C735" s="4">
        <v>4.9000000000000004</v>
      </c>
      <c r="D735" s="6">
        <f t="shared" si="13"/>
        <v>70</v>
      </c>
      <c r="E735" s="4">
        <v>51323</v>
      </c>
      <c r="F735" s="4">
        <v>2004</v>
      </c>
    </row>
    <row r="736" spans="1:6" x14ac:dyDescent="0.35">
      <c r="A736" s="4" t="s">
        <v>1590</v>
      </c>
      <c r="B736" s="4" t="s">
        <v>1591</v>
      </c>
      <c r="C736" s="4">
        <v>4.9000000000000004</v>
      </c>
      <c r="D736" s="6">
        <f t="shared" si="13"/>
        <v>70</v>
      </c>
      <c r="E736" s="4">
        <v>25286</v>
      </c>
      <c r="F736" s="4">
        <v>2004</v>
      </c>
    </row>
    <row r="737" spans="1:6" x14ac:dyDescent="0.35">
      <c r="A737" s="4" t="s">
        <v>1384</v>
      </c>
      <c r="B737" s="4" t="s">
        <v>376</v>
      </c>
      <c r="C737" s="4">
        <v>4.8</v>
      </c>
      <c r="D737" s="6">
        <f t="shared" si="13"/>
        <v>89</v>
      </c>
      <c r="E737" s="4">
        <v>26734</v>
      </c>
      <c r="F737" s="4">
        <v>2004</v>
      </c>
    </row>
    <row r="738" spans="1:6" x14ac:dyDescent="0.35">
      <c r="A738" s="4" t="s">
        <v>1864</v>
      </c>
      <c r="B738" s="4" t="s">
        <v>217</v>
      </c>
      <c r="C738" s="4">
        <v>5.0999999999999996</v>
      </c>
      <c r="D738" s="6">
        <f t="shared" si="13"/>
        <v>12</v>
      </c>
      <c r="E738" s="4">
        <v>96086</v>
      </c>
      <c r="F738" s="4">
        <v>2004</v>
      </c>
    </row>
    <row r="739" spans="1:6" x14ac:dyDescent="0.35">
      <c r="A739" s="4" t="s">
        <v>1928</v>
      </c>
      <c r="B739" s="4" t="s">
        <v>128</v>
      </c>
      <c r="C739" s="4">
        <v>5.0999999999999996</v>
      </c>
      <c r="D739" s="6">
        <f t="shared" si="13"/>
        <v>12</v>
      </c>
      <c r="E739" s="4">
        <v>28618</v>
      </c>
      <c r="F739" s="4">
        <v>2004</v>
      </c>
    </row>
    <row r="740" spans="1:6" x14ac:dyDescent="0.35">
      <c r="A740" s="4" t="s">
        <v>905</v>
      </c>
      <c r="B740" s="4" t="s">
        <v>140</v>
      </c>
      <c r="C740" s="4">
        <v>4.4000000000000004</v>
      </c>
      <c r="D740" s="6">
        <f t="shared" si="13"/>
        <v>168</v>
      </c>
      <c r="E740" s="4">
        <v>13152</v>
      </c>
      <c r="F740" s="4">
        <v>2004</v>
      </c>
    </row>
    <row r="741" spans="1:6" x14ac:dyDescent="0.35">
      <c r="A741" s="4" t="s">
        <v>1904</v>
      </c>
      <c r="B741" s="4" t="s">
        <v>175</v>
      </c>
      <c r="C741" s="4">
        <v>5.0999999999999996</v>
      </c>
      <c r="D741" s="6">
        <f t="shared" si="13"/>
        <v>12</v>
      </c>
      <c r="E741" s="4">
        <v>40491</v>
      </c>
      <c r="F741" s="4">
        <v>2004</v>
      </c>
    </row>
    <row r="742" spans="1:6" x14ac:dyDescent="0.35">
      <c r="A742" s="4" t="s">
        <v>1374</v>
      </c>
      <c r="B742" s="4" t="s">
        <v>11</v>
      </c>
      <c r="C742" s="4">
        <v>4.8</v>
      </c>
      <c r="D742" s="6">
        <f t="shared" si="13"/>
        <v>86</v>
      </c>
      <c r="E742" s="4">
        <v>32589</v>
      </c>
      <c r="F742" s="4">
        <v>2004</v>
      </c>
    </row>
    <row r="743" spans="1:6" x14ac:dyDescent="0.35">
      <c r="A743" s="4" t="s">
        <v>36</v>
      </c>
      <c r="B743" s="4" t="s">
        <v>37</v>
      </c>
      <c r="C743" s="4">
        <v>1.2</v>
      </c>
      <c r="D743" s="6">
        <f t="shared" si="13"/>
        <v>259</v>
      </c>
      <c r="E743" s="4">
        <v>14938</v>
      </c>
      <c r="F743" s="4">
        <v>2004</v>
      </c>
    </row>
    <row r="744" spans="1:6" x14ac:dyDescent="0.35">
      <c r="A744" s="4" t="s">
        <v>1210</v>
      </c>
      <c r="B744" s="4" t="s">
        <v>291</v>
      </c>
      <c r="C744" s="4">
        <v>4.7</v>
      </c>
      <c r="D744" s="6">
        <f t="shared" si="13"/>
        <v>111</v>
      </c>
      <c r="E744" s="4">
        <v>31927</v>
      </c>
      <c r="F744" s="4">
        <v>2004</v>
      </c>
    </row>
    <row r="745" spans="1:6" x14ac:dyDescent="0.35">
      <c r="A745" s="4" t="s">
        <v>337</v>
      </c>
      <c r="B745" s="4" t="s">
        <v>338</v>
      </c>
      <c r="C745" s="4">
        <v>3.4</v>
      </c>
      <c r="D745" s="6">
        <f t="shared" si="13"/>
        <v>225</v>
      </c>
      <c r="E745" s="4">
        <v>127566</v>
      </c>
      <c r="F745" s="4">
        <v>2004</v>
      </c>
    </row>
    <row r="746" spans="1:6" x14ac:dyDescent="0.35">
      <c r="A746" s="4" t="s">
        <v>917</v>
      </c>
      <c r="B746" s="4" t="s">
        <v>149</v>
      </c>
      <c r="C746" s="4">
        <v>4.4000000000000004</v>
      </c>
      <c r="D746" s="6">
        <f t="shared" si="13"/>
        <v>165</v>
      </c>
      <c r="E746" s="4">
        <v>11010</v>
      </c>
      <c r="F746" s="4">
        <v>2004</v>
      </c>
    </row>
    <row r="747" spans="1:6" x14ac:dyDescent="0.35">
      <c r="A747" s="4" t="s">
        <v>1206</v>
      </c>
      <c r="B747" s="4" t="s">
        <v>122</v>
      </c>
      <c r="C747" s="4">
        <v>4.7</v>
      </c>
      <c r="D747" s="6">
        <f t="shared" si="13"/>
        <v>111</v>
      </c>
      <c r="E747" s="4">
        <v>34619</v>
      </c>
      <c r="F747" s="4">
        <v>2004</v>
      </c>
    </row>
    <row r="748" spans="1:6" x14ac:dyDescent="0.35">
      <c r="A748" s="4" t="s">
        <v>1112</v>
      </c>
      <c r="B748" s="4" t="s">
        <v>178</v>
      </c>
      <c r="C748" s="4">
        <v>4.5999999999999996</v>
      </c>
      <c r="D748" s="6">
        <f t="shared" si="13"/>
        <v>133</v>
      </c>
      <c r="E748" s="4">
        <v>16172</v>
      </c>
      <c r="F748" s="4">
        <v>2004</v>
      </c>
    </row>
    <row r="749" spans="1:6" x14ac:dyDescent="0.35">
      <c r="A749" s="4" t="s">
        <v>2035</v>
      </c>
      <c r="B749" s="4" t="s">
        <v>11</v>
      </c>
      <c r="C749" s="4">
        <v>5.0999999999999996</v>
      </c>
      <c r="D749" s="6">
        <f t="shared" si="13"/>
        <v>12</v>
      </c>
      <c r="E749" s="4">
        <v>13732</v>
      </c>
      <c r="F749" s="4">
        <v>2004</v>
      </c>
    </row>
    <row r="750" spans="1:6" x14ac:dyDescent="0.35">
      <c r="A750" s="4" t="s">
        <v>1238</v>
      </c>
      <c r="B750" s="4" t="s">
        <v>158</v>
      </c>
      <c r="C750" s="4">
        <v>4.7</v>
      </c>
      <c r="D750" s="6">
        <f t="shared" si="13"/>
        <v>110</v>
      </c>
      <c r="E750" s="4">
        <v>24366</v>
      </c>
      <c r="F750" s="4">
        <v>2004</v>
      </c>
    </row>
    <row r="751" spans="1:6" x14ac:dyDescent="0.35">
      <c r="A751" s="4" t="s">
        <v>402</v>
      </c>
      <c r="B751" s="4" t="s">
        <v>14</v>
      </c>
      <c r="C751" s="4">
        <v>3.6</v>
      </c>
      <c r="D751" s="6">
        <f t="shared" si="13"/>
        <v>213</v>
      </c>
      <c r="E751" s="4">
        <v>96417</v>
      </c>
      <c r="F751" s="4">
        <v>2003</v>
      </c>
    </row>
    <row r="752" spans="1:6" x14ac:dyDescent="0.35">
      <c r="A752" s="4" t="s">
        <v>1983</v>
      </c>
      <c r="B752" s="4" t="s">
        <v>175</v>
      </c>
      <c r="C752" s="4">
        <v>5.0999999999999996</v>
      </c>
      <c r="D752" s="6">
        <f t="shared" si="13"/>
        <v>12</v>
      </c>
      <c r="E752" s="4">
        <v>18648</v>
      </c>
      <c r="F752" s="4">
        <v>2003</v>
      </c>
    </row>
    <row r="753" spans="1:6" x14ac:dyDescent="0.35">
      <c r="A753" s="4" t="s">
        <v>2173</v>
      </c>
      <c r="B753" s="4" t="s">
        <v>1967</v>
      </c>
      <c r="C753" s="4">
        <v>5.2</v>
      </c>
      <c r="D753" s="6">
        <f t="shared" si="13"/>
        <v>1</v>
      </c>
      <c r="E753" s="4">
        <v>44504</v>
      </c>
      <c r="F753" s="4">
        <v>2003</v>
      </c>
    </row>
    <row r="754" spans="1:6" x14ac:dyDescent="0.35">
      <c r="A754" s="4" t="s">
        <v>2159</v>
      </c>
      <c r="B754" s="4" t="s">
        <v>140</v>
      </c>
      <c r="C754" s="4">
        <v>5.2</v>
      </c>
      <c r="D754" s="6">
        <f t="shared" si="13"/>
        <v>1</v>
      </c>
      <c r="E754" s="4">
        <v>58317</v>
      </c>
      <c r="F754" s="4">
        <v>2003</v>
      </c>
    </row>
    <row r="755" spans="1:6" x14ac:dyDescent="0.35">
      <c r="A755" s="4" t="s">
        <v>1652</v>
      </c>
      <c r="B755" s="4" t="s">
        <v>128</v>
      </c>
      <c r="C755" s="4">
        <v>4.9000000000000004</v>
      </c>
      <c r="D755" s="6">
        <f t="shared" si="13"/>
        <v>63</v>
      </c>
      <c r="E755" s="4">
        <v>12237</v>
      </c>
      <c r="F755" s="4">
        <v>2003</v>
      </c>
    </row>
    <row r="756" spans="1:6" x14ac:dyDescent="0.35">
      <c r="A756" s="4" t="s">
        <v>634</v>
      </c>
      <c r="B756" s="4" t="s">
        <v>217</v>
      </c>
      <c r="C756" s="4">
        <v>4.0999999999999996</v>
      </c>
      <c r="D756" s="6">
        <f t="shared" si="13"/>
        <v>180</v>
      </c>
      <c r="E756" s="4">
        <v>89438</v>
      </c>
      <c r="F756" s="4">
        <v>2003</v>
      </c>
    </row>
    <row r="757" spans="1:6" x14ac:dyDescent="0.35">
      <c r="A757" s="4" t="s">
        <v>1619</v>
      </c>
      <c r="B757" s="4" t="s">
        <v>14</v>
      </c>
      <c r="C757" s="4">
        <v>4.9000000000000004</v>
      </c>
      <c r="D757" s="6">
        <f t="shared" si="13"/>
        <v>63</v>
      </c>
      <c r="E757" s="4">
        <v>16896</v>
      </c>
      <c r="F757" s="4">
        <v>2003</v>
      </c>
    </row>
    <row r="758" spans="1:6" x14ac:dyDescent="0.35">
      <c r="A758" s="4" t="s">
        <v>836</v>
      </c>
      <c r="B758" s="4" t="s">
        <v>178</v>
      </c>
      <c r="C758" s="4">
        <v>4.4000000000000004</v>
      </c>
      <c r="D758" s="6">
        <f t="shared" si="13"/>
        <v>156</v>
      </c>
      <c r="E758" s="4">
        <v>67628</v>
      </c>
      <c r="F758" s="4">
        <v>2003</v>
      </c>
    </row>
    <row r="759" spans="1:6" x14ac:dyDescent="0.35">
      <c r="A759" s="4" t="s">
        <v>1215</v>
      </c>
      <c r="B759" s="4" t="s">
        <v>116</v>
      </c>
      <c r="C759" s="4">
        <v>4.7</v>
      </c>
      <c r="D759" s="6">
        <f t="shared" si="13"/>
        <v>105</v>
      </c>
      <c r="E759" s="4">
        <v>30886</v>
      </c>
      <c r="F759" s="4">
        <v>2003</v>
      </c>
    </row>
    <row r="760" spans="1:6" x14ac:dyDescent="0.35">
      <c r="A760" s="4" t="s">
        <v>1331</v>
      </c>
      <c r="B760" s="4" t="s">
        <v>11</v>
      </c>
      <c r="C760" s="4">
        <v>4.8</v>
      </c>
      <c r="D760" s="6">
        <f t="shared" ref="D760:D823" si="14">_xlfn.RANK.EQ(C760, C760:C1759)</f>
        <v>80</v>
      </c>
      <c r="E760" s="4">
        <v>74211</v>
      </c>
      <c r="F760" s="4">
        <v>2003</v>
      </c>
    </row>
    <row r="761" spans="1:6" x14ac:dyDescent="0.35">
      <c r="A761" s="4" t="s">
        <v>955</v>
      </c>
      <c r="B761" s="4" t="s">
        <v>178</v>
      </c>
      <c r="C761" s="4">
        <v>4.5</v>
      </c>
      <c r="D761" s="6">
        <f t="shared" si="14"/>
        <v>145</v>
      </c>
      <c r="E761" s="4">
        <v>34299</v>
      </c>
      <c r="F761" s="4">
        <v>2003</v>
      </c>
    </row>
    <row r="762" spans="1:6" x14ac:dyDescent="0.35">
      <c r="A762" s="4" t="s">
        <v>121</v>
      </c>
      <c r="B762" s="4" t="s">
        <v>122</v>
      </c>
      <c r="C762" s="4">
        <v>2.1</v>
      </c>
      <c r="D762" s="6">
        <f t="shared" si="14"/>
        <v>235</v>
      </c>
      <c r="E762" s="4">
        <v>38962</v>
      </c>
      <c r="F762" s="4">
        <v>2003</v>
      </c>
    </row>
    <row r="763" spans="1:6" x14ac:dyDescent="0.35">
      <c r="A763" s="4" t="s">
        <v>186</v>
      </c>
      <c r="B763" s="4" t="s">
        <v>187</v>
      </c>
      <c r="C763" s="4">
        <v>2.6</v>
      </c>
      <c r="D763" s="6">
        <f t="shared" si="14"/>
        <v>226</v>
      </c>
      <c r="E763" s="4">
        <v>51193</v>
      </c>
      <c r="F763" s="4">
        <v>2003</v>
      </c>
    </row>
    <row r="764" spans="1:6" x14ac:dyDescent="0.35">
      <c r="A764" s="4" t="s">
        <v>108</v>
      </c>
      <c r="B764" s="4" t="s">
        <v>109</v>
      </c>
      <c r="C764" s="4">
        <v>1.9</v>
      </c>
      <c r="D764" s="6">
        <f t="shared" si="14"/>
        <v>234</v>
      </c>
      <c r="E764" s="4">
        <v>27123</v>
      </c>
      <c r="F764" s="4">
        <v>2003</v>
      </c>
    </row>
    <row r="765" spans="1:6" x14ac:dyDescent="0.35">
      <c r="A765" s="4" t="s">
        <v>344</v>
      </c>
      <c r="B765" s="4" t="s">
        <v>11</v>
      </c>
      <c r="C765" s="4">
        <v>3.4</v>
      </c>
      <c r="D765" s="6">
        <f t="shared" si="14"/>
        <v>209</v>
      </c>
      <c r="E765" s="4">
        <v>42995</v>
      </c>
      <c r="F765" s="4">
        <v>2003</v>
      </c>
    </row>
    <row r="766" spans="1:6" x14ac:dyDescent="0.35">
      <c r="A766" s="4" t="s">
        <v>1724</v>
      </c>
      <c r="B766" s="4" t="s">
        <v>915</v>
      </c>
      <c r="C766" s="4">
        <v>5</v>
      </c>
      <c r="D766" s="6">
        <f t="shared" si="14"/>
        <v>39</v>
      </c>
      <c r="E766" s="4">
        <v>33993</v>
      </c>
      <c r="F766" s="4">
        <v>2003</v>
      </c>
    </row>
    <row r="767" spans="1:6" x14ac:dyDescent="0.35">
      <c r="A767" s="4" t="s">
        <v>1752</v>
      </c>
      <c r="B767" s="4" t="s">
        <v>846</v>
      </c>
      <c r="C767" s="4">
        <v>5</v>
      </c>
      <c r="D767" s="6">
        <f t="shared" si="14"/>
        <v>39</v>
      </c>
      <c r="E767" s="4">
        <v>25165</v>
      </c>
      <c r="F767" s="4">
        <v>2003</v>
      </c>
    </row>
    <row r="768" spans="1:6" x14ac:dyDescent="0.35">
      <c r="A768" s="4" t="s">
        <v>1526</v>
      </c>
      <c r="B768" s="4" t="s">
        <v>178</v>
      </c>
      <c r="C768" s="4">
        <v>4.9000000000000004</v>
      </c>
      <c r="D768" s="6">
        <f t="shared" si="14"/>
        <v>61</v>
      </c>
      <c r="E768" s="4">
        <v>134567</v>
      </c>
      <c r="F768" s="4">
        <v>2003</v>
      </c>
    </row>
    <row r="769" spans="1:6" x14ac:dyDescent="0.35">
      <c r="A769" s="4" t="s">
        <v>1281</v>
      </c>
      <c r="B769" s="4" t="s">
        <v>26</v>
      </c>
      <c r="C769" s="4">
        <v>4.7</v>
      </c>
      <c r="D769" s="6">
        <f t="shared" si="14"/>
        <v>101</v>
      </c>
      <c r="E769" s="4">
        <v>14293</v>
      </c>
      <c r="F769" s="4">
        <v>2003</v>
      </c>
    </row>
    <row r="770" spans="1:6" x14ac:dyDescent="0.35">
      <c r="A770" s="4" t="s">
        <v>1081</v>
      </c>
      <c r="B770" s="4" t="s">
        <v>93</v>
      </c>
      <c r="C770" s="4">
        <v>4.5999999999999996</v>
      </c>
      <c r="D770" s="6">
        <f t="shared" si="14"/>
        <v>120</v>
      </c>
      <c r="E770" s="4">
        <v>21671</v>
      </c>
      <c r="F770" s="4">
        <v>2003</v>
      </c>
    </row>
    <row r="771" spans="1:6" x14ac:dyDescent="0.35">
      <c r="A771" s="4" t="s">
        <v>1822</v>
      </c>
      <c r="B771" s="4" t="s">
        <v>47</v>
      </c>
      <c r="C771" s="4">
        <v>5</v>
      </c>
      <c r="D771" s="6">
        <f t="shared" si="14"/>
        <v>39</v>
      </c>
      <c r="E771" s="4">
        <v>11526</v>
      </c>
      <c r="F771" s="4">
        <v>2003</v>
      </c>
    </row>
    <row r="772" spans="1:6" x14ac:dyDescent="0.35">
      <c r="A772" s="4" t="s">
        <v>1910</v>
      </c>
      <c r="B772" s="4" t="s">
        <v>178</v>
      </c>
      <c r="C772" s="4">
        <v>5.0999999999999996</v>
      </c>
      <c r="D772" s="6">
        <f t="shared" si="14"/>
        <v>10</v>
      </c>
      <c r="E772" s="4">
        <v>37534</v>
      </c>
      <c r="F772" s="4">
        <v>2003</v>
      </c>
    </row>
    <row r="773" spans="1:6" x14ac:dyDescent="0.35">
      <c r="A773" s="4" t="s">
        <v>1461</v>
      </c>
      <c r="B773" s="4" t="s">
        <v>175</v>
      </c>
      <c r="C773" s="4">
        <v>4.8</v>
      </c>
      <c r="D773" s="6">
        <f t="shared" si="14"/>
        <v>75</v>
      </c>
      <c r="E773" s="4">
        <v>14227</v>
      </c>
      <c r="F773" s="4">
        <v>2002</v>
      </c>
    </row>
    <row r="774" spans="1:6" x14ac:dyDescent="0.35">
      <c r="A774" s="4" t="s">
        <v>1305</v>
      </c>
      <c r="B774" s="4" t="s">
        <v>736</v>
      </c>
      <c r="C774" s="4">
        <v>4.7</v>
      </c>
      <c r="D774" s="6">
        <f t="shared" si="14"/>
        <v>98</v>
      </c>
      <c r="E774" s="4">
        <v>11142</v>
      </c>
      <c r="F774" s="4">
        <v>2002</v>
      </c>
    </row>
    <row r="775" spans="1:6" x14ac:dyDescent="0.35">
      <c r="A775" s="4" t="s">
        <v>2151</v>
      </c>
      <c r="B775" s="4" t="s">
        <v>116</v>
      </c>
      <c r="C775" s="4">
        <v>5.2</v>
      </c>
      <c r="D775" s="6">
        <f t="shared" si="14"/>
        <v>1</v>
      </c>
      <c r="E775" s="4">
        <v>63432</v>
      </c>
      <c r="F775" s="4">
        <v>2002</v>
      </c>
    </row>
    <row r="776" spans="1:6" x14ac:dyDescent="0.35">
      <c r="A776" s="4" t="s">
        <v>346</v>
      </c>
      <c r="B776" s="4" t="s">
        <v>217</v>
      </c>
      <c r="C776" s="4">
        <v>3.4</v>
      </c>
      <c r="D776" s="6">
        <f t="shared" si="14"/>
        <v>199</v>
      </c>
      <c r="E776" s="4">
        <v>27733</v>
      </c>
      <c r="F776" s="4">
        <v>2002</v>
      </c>
    </row>
    <row r="777" spans="1:6" x14ac:dyDescent="0.35">
      <c r="A777" s="4" t="s">
        <v>546</v>
      </c>
      <c r="B777" s="4" t="s">
        <v>62</v>
      </c>
      <c r="C777" s="4">
        <v>3.9</v>
      </c>
      <c r="D777" s="6">
        <f t="shared" si="14"/>
        <v>172</v>
      </c>
      <c r="E777" s="4">
        <v>27338</v>
      </c>
      <c r="F777" s="4">
        <v>2002</v>
      </c>
    </row>
    <row r="778" spans="1:6" x14ac:dyDescent="0.35">
      <c r="A778" s="4" t="s">
        <v>1962</v>
      </c>
      <c r="B778" s="4" t="s">
        <v>31</v>
      </c>
      <c r="C778" s="4">
        <v>5.0999999999999996</v>
      </c>
      <c r="D778" s="6">
        <f t="shared" si="14"/>
        <v>9</v>
      </c>
      <c r="E778" s="4">
        <v>21512</v>
      </c>
      <c r="F778" s="4">
        <v>2002</v>
      </c>
    </row>
    <row r="779" spans="1:6" x14ac:dyDescent="0.35">
      <c r="A779" s="4" t="s">
        <v>420</v>
      </c>
      <c r="B779" s="4" t="s">
        <v>116</v>
      </c>
      <c r="C779" s="4">
        <v>3.6</v>
      </c>
      <c r="D779" s="6">
        <f t="shared" si="14"/>
        <v>191</v>
      </c>
      <c r="E779" s="4">
        <v>18142</v>
      </c>
      <c r="F779" s="4">
        <v>2002</v>
      </c>
    </row>
    <row r="780" spans="1:6" x14ac:dyDescent="0.35">
      <c r="A780" s="4" t="s">
        <v>2033</v>
      </c>
      <c r="B780" s="4" t="s">
        <v>214</v>
      </c>
      <c r="C780" s="4">
        <v>5.0999999999999996</v>
      </c>
      <c r="D780" s="6">
        <f t="shared" si="14"/>
        <v>9</v>
      </c>
      <c r="E780" s="4">
        <v>13878</v>
      </c>
      <c r="F780" s="4">
        <v>2002</v>
      </c>
    </row>
    <row r="781" spans="1:6" x14ac:dyDescent="0.35">
      <c r="A781" s="4" t="s">
        <v>285</v>
      </c>
      <c r="B781" s="4" t="s">
        <v>286</v>
      </c>
      <c r="C781" s="4">
        <v>3.1</v>
      </c>
      <c r="D781" s="6">
        <f t="shared" si="14"/>
        <v>201</v>
      </c>
      <c r="E781" s="4">
        <v>30005</v>
      </c>
      <c r="F781" s="4">
        <v>2002</v>
      </c>
    </row>
    <row r="782" spans="1:6" x14ac:dyDescent="0.35">
      <c r="A782" s="4" t="s">
        <v>192</v>
      </c>
      <c r="B782" s="4" t="s">
        <v>193</v>
      </c>
      <c r="C782" s="4">
        <v>2.6</v>
      </c>
      <c r="D782" s="6">
        <f t="shared" si="14"/>
        <v>209</v>
      </c>
      <c r="E782" s="4">
        <v>40098</v>
      </c>
      <c r="F782" s="4">
        <v>2002</v>
      </c>
    </row>
    <row r="783" spans="1:6" x14ac:dyDescent="0.35">
      <c r="A783" s="4" t="s">
        <v>1627</v>
      </c>
      <c r="B783" s="4" t="s">
        <v>175</v>
      </c>
      <c r="C783" s="4">
        <v>4.9000000000000004</v>
      </c>
      <c r="D783" s="6">
        <f t="shared" si="14"/>
        <v>56</v>
      </c>
      <c r="E783" s="4">
        <v>14869</v>
      </c>
      <c r="F783" s="4">
        <v>2002</v>
      </c>
    </row>
    <row r="784" spans="1:6" x14ac:dyDescent="0.35">
      <c r="A784" s="4" t="s">
        <v>530</v>
      </c>
      <c r="B784" s="4" t="s">
        <v>82</v>
      </c>
      <c r="C784" s="4">
        <v>3.9</v>
      </c>
      <c r="D784" s="6">
        <f t="shared" si="14"/>
        <v>169</v>
      </c>
      <c r="E784" s="4">
        <v>50725</v>
      </c>
      <c r="F784" s="4">
        <v>2002</v>
      </c>
    </row>
    <row r="785" spans="1:6" x14ac:dyDescent="0.35">
      <c r="A785" s="4" t="s">
        <v>1104</v>
      </c>
      <c r="B785" s="4" t="s">
        <v>101</v>
      </c>
      <c r="C785" s="4">
        <v>4.5999999999999996</v>
      </c>
      <c r="D785" s="6">
        <f t="shared" si="14"/>
        <v>112</v>
      </c>
      <c r="E785" s="4">
        <v>17006</v>
      </c>
      <c r="F785" s="4">
        <v>2002</v>
      </c>
    </row>
    <row r="786" spans="1:6" x14ac:dyDescent="0.35">
      <c r="A786" s="4" t="s">
        <v>1301</v>
      </c>
      <c r="B786" s="4" t="s">
        <v>116</v>
      </c>
      <c r="C786" s="4">
        <v>4.7</v>
      </c>
      <c r="D786" s="6">
        <f t="shared" si="14"/>
        <v>94</v>
      </c>
      <c r="E786" s="4">
        <v>11368</v>
      </c>
      <c r="F786" s="4">
        <v>2002</v>
      </c>
    </row>
    <row r="787" spans="1:6" x14ac:dyDescent="0.35">
      <c r="A787" s="4" t="s">
        <v>351</v>
      </c>
      <c r="B787" s="4" t="s">
        <v>352</v>
      </c>
      <c r="C787" s="4">
        <v>3.4</v>
      </c>
      <c r="D787" s="6">
        <f t="shared" si="14"/>
        <v>191</v>
      </c>
      <c r="E787" s="4">
        <v>23043</v>
      </c>
      <c r="F787" s="4">
        <v>2002</v>
      </c>
    </row>
    <row r="788" spans="1:6" x14ac:dyDescent="0.35">
      <c r="A788" s="4" t="s">
        <v>491</v>
      </c>
      <c r="B788" s="4" t="s">
        <v>128</v>
      </c>
      <c r="C788" s="4">
        <v>3.8</v>
      </c>
      <c r="D788" s="6">
        <f t="shared" si="14"/>
        <v>171</v>
      </c>
      <c r="E788" s="4">
        <v>45106</v>
      </c>
      <c r="F788" s="4">
        <v>2002</v>
      </c>
    </row>
    <row r="789" spans="1:6" x14ac:dyDescent="0.35">
      <c r="A789" s="4" t="s">
        <v>1795</v>
      </c>
      <c r="B789" s="4" t="s">
        <v>1796</v>
      </c>
      <c r="C789" s="4">
        <v>5</v>
      </c>
      <c r="D789" s="6">
        <f t="shared" si="14"/>
        <v>35</v>
      </c>
      <c r="E789" s="4">
        <v>14209</v>
      </c>
      <c r="F789" s="4">
        <v>2002</v>
      </c>
    </row>
    <row r="790" spans="1:6" x14ac:dyDescent="0.35">
      <c r="A790" s="4" t="s">
        <v>1576</v>
      </c>
      <c r="B790" s="4" t="s">
        <v>11</v>
      </c>
      <c r="C790" s="4">
        <v>4.9000000000000004</v>
      </c>
      <c r="D790" s="6">
        <f t="shared" si="14"/>
        <v>55</v>
      </c>
      <c r="E790" s="4">
        <v>32630</v>
      </c>
      <c r="F790" s="4">
        <v>2002</v>
      </c>
    </row>
    <row r="791" spans="1:6" x14ac:dyDescent="0.35">
      <c r="A791" s="4" t="s">
        <v>461</v>
      </c>
      <c r="B791" s="4" t="s">
        <v>462</v>
      </c>
      <c r="C791" s="4">
        <v>3.7</v>
      </c>
      <c r="D791" s="6">
        <f t="shared" si="14"/>
        <v>175</v>
      </c>
      <c r="E791" s="4">
        <v>21267</v>
      </c>
      <c r="F791" s="4">
        <v>2002</v>
      </c>
    </row>
    <row r="792" spans="1:6" x14ac:dyDescent="0.35">
      <c r="A792" s="4" t="s">
        <v>2087</v>
      </c>
      <c r="B792" s="4" t="s">
        <v>146</v>
      </c>
      <c r="C792" s="4">
        <v>5.0999999999999996</v>
      </c>
      <c r="D792" s="6">
        <f t="shared" si="14"/>
        <v>9</v>
      </c>
      <c r="E792" s="4">
        <v>10231</v>
      </c>
      <c r="F792" s="4">
        <v>2002</v>
      </c>
    </row>
    <row r="793" spans="1:6" x14ac:dyDescent="0.35">
      <c r="A793" s="4" t="s">
        <v>464</v>
      </c>
      <c r="B793" s="4" t="s">
        <v>82</v>
      </c>
      <c r="C793" s="4">
        <v>3.7</v>
      </c>
      <c r="D793" s="6">
        <f t="shared" si="14"/>
        <v>174</v>
      </c>
      <c r="E793" s="4">
        <v>18409</v>
      </c>
      <c r="F793" s="4">
        <v>2002</v>
      </c>
    </row>
    <row r="794" spans="1:6" x14ac:dyDescent="0.35">
      <c r="A794" s="4" t="s">
        <v>776</v>
      </c>
      <c r="B794" s="4" t="s">
        <v>777</v>
      </c>
      <c r="C794" s="4">
        <v>4.3</v>
      </c>
      <c r="D794" s="6">
        <f t="shared" si="14"/>
        <v>145</v>
      </c>
      <c r="E794" s="4">
        <v>22352</v>
      </c>
      <c r="F794" s="4">
        <v>2002</v>
      </c>
    </row>
    <row r="795" spans="1:6" x14ac:dyDescent="0.35">
      <c r="A795" s="4" t="s">
        <v>1516</v>
      </c>
      <c r="B795" s="4" t="s">
        <v>933</v>
      </c>
      <c r="C795" s="4">
        <v>4.8</v>
      </c>
      <c r="D795" s="6">
        <f t="shared" si="14"/>
        <v>68</v>
      </c>
      <c r="E795" s="4">
        <v>10241</v>
      </c>
      <c r="F795" s="4">
        <v>2002</v>
      </c>
    </row>
    <row r="796" spans="1:6" x14ac:dyDescent="0.35">
      <c r="A796" s="4" t="s">
        <v>1578</v>
      </c>
      <c r="B796" s="4" t="s">
        <v>175</v>
      </c>
      <c r="C796" s="4">
        <v>4.9000000000000004</v>
      </c>
      <c r="D796" s="6">
        <f t="shared" si="14"/>
        <v>54</v>
      </c>
      <c r="E796" s="4">
        <v>30687</v>
      </c>
      <c r="F796" s="4">
        <v>2001</v>
      </c>
    </row>
    <row r="797" spans="1:6" x14ac:dyDescent="0.35">
      <c r="A797" s="4" t="s">
        <v>1271</v>
      </c>
      <c r="B797" s="4" t="s">
        <v>1272</v>
      </c>
      <c r="C797" s="4">
        <v>4.7</v>
      </c>
      <c r="D797" s="6">
        <f t="shared" si="14"/>
        <v>89</v>
      </c>
      <c r="E797" s="4">
        <v>15158</v>
      </c>
      <c r="F797" s="4">
        <v>2001</v>
      </c>
    </row>
    <row r="798" spans="1:6" x14ac:dyDescent="0.35">
      <c r="A798" s="4" t="s">
        <v>1333</v>
      </c>
      <c r="B798" s="4" t="s">
        <v>104</v>
      </c>
      <c r="C798" s="4">
        <v>4.8</v>
      </c>
      <c r="D798" s="6">
        <f t="shared" si="14"/>
        <v>67</v>
      </c>
      <c r="E798" s="4">
        <v>64742</v>
      </c>
      <c r="F798" s="4">
        <v>2001</v>
      </c>
    </row>
    <row r="799" spans="1:6" x14ac:dyDescent="0.35">
      <c r="A799" s="4" t="s">
        <v>2000</v>
      </c>
      <c r="B799" s="4" t="s">
        <v>128</v>
      </c>
      <c r="C799" s="4">
        <v>5.0999999999999996</v>
      </c>
      <c r="D799" s="6">
        <f t="shared" si="14"/>
        <v>9</v>
      </c>
      <c r="E799" s="4">
        <v>16811</v>
      </c>
      <c r="F799" s="4">
        <v>2001</v>
      </c>
    </row>
    <row r="800" spans="1:6" x14ac:dyDescent="0.35">
      <c r="A800" s="4" t="s">
        <v>1798</v>
      </c>
      <c r="B800" s="4" t="s">
        <v>116</v>
      </c>
      <c r="C800" s="4">
        <v>5</v>
      </c>
      <c r="D800" s="6">
        <f t="shared" si="14"/>
        <v>33</v>
      </c>
      <c r="E800" s="4">
        <v>13897</v>
      </c>
      <c r="F800" s="4">
        <v>2001</v>
      </c>
    </row>
    <row r="801" spans="1:6" x14ac:dyDescent="0.35">
      <c r="A801" s="4" t="s">
        <v>1417</v>
      </c>
      <c r="B801" s="4" t="s">
        <v>227</v>
      </c>
      <c r="C801" s="4">
        <v>4.8</v>
      </c>
      <c r="D801" s="6">
        <f t="shared" si="14"/>
        <v>65</v>
      </c>
      <c r="E801" s="4">
        <v>19460</v>
      </c>
      <c r="F801" s="4">
        <v>2001</v>
      </c>
    </row>
    <row r="802" spans="1:6" x14ac:dyDescent="0.35">
      <c r="A802" s="4" t="s">
        <v>937</v>
      </c>
      <c r="B802" s="4" t="s">
        <v>155</v>
      </c>
      <c r="C802" s="4">
        <v>4.5</v>
      </c>
      <c r="D802" s="6">
        <f t="shared" si="14"/>
        <v>120</v>
      </c>
      <c r="E802" s="4">
        <v>63098</v>
      </c>
      <c r="F802" s="4">
        <v>2001</v>
      </c>
    </row>
    <row r="803" spans="1:6" x14ac:dyDescent="0.35">
      <c r="A803" s="4" t="s">
        <v>157</v>
      </c>
      <c r="B803" s="4" t="s">
        <v>158</v>
      </c>
      <c r="C803" s="4">
        <v>2.4</v>
      </c>
      <c r="D803" s="6">
        <f t="shared" si="14"/>
        <v>193</v>
      </c>
      <c r="E803" s="4">
        <v>24198</v>
      </c>
      <c r="F803" s="4">
        <v>2001</v>
      </c>
    </row>
    <row r="804" spans="1:6" x14ac:dyDescent="0.35">
      <c r="A804" s="4" t="s">
        <v>1546</v>
      </c>
      <c r="B804" s="4" t="s">
        <v>155</v>
      </c>
      <c r="C804" s="4">
        <v>4.9000000000000004</v>
      </c>
      <c r="D804" s="6">
        <f t="shared" si="14"/>
        <v>52</v>
      </c>
      <c r="E804" s="4">
        <v>58866</v>
      </c>
      <c r="F804" s="4">
        <v>2001</v>
      </c>
    </row>
    <row r="805" spans="1:6" x14ac:dyDescent="0.35">
      <c r="A805" s="4" t="s">
        <v>1184</v>
      </c>
      <c r="B805" s="4" t="s">
        <v>11</v>
      </c>
      <c r="C805" s="4">
        <v>4.7</v>
      </c>
      <c r="D805" s="6">
        <f t="shared" si="14"/>
        <v>84</v>
      </c>
      <c r="E805" s="4">
        <v>52219</v>
      </c>
      <c r="F805" s="4">
        <v>2001</v>
      </c>
    </row>
    <row r="806" spans="1:6" x14ac:dyDescent="0.35">
      <c r="A806" s="4" t="s">
        <v>1047</v>
      </c>
      <c r="B806" s="4" t="s">
        <v>1048</v>
      </c>
      <c r="C806" s="4">
        <v>4.5999999999999996</v>
      </c>
      <c r="D806" s="6">
        <f t="shared" si="14"/>
        <v>99</v>
      </c>
      <c r="E806" s="4">
        <v>43600</v>
      </c>
      <c r="F806" s="4">
        <v>2001</v>
      </c>
    </row>
    <row r="807" spans="1:6" x14ac:dyDescent="0.35">
      <c r="A807" s="4" t="s">
        <v>1192</v>
      </c>
      <c r="B807" s="4" t="s">
        <v>140</v>
      </c>
      <c r="C807" s="4">
        <v>4.7</v>
      </c>
      <c r="D807" s="6">
        <f t="shared" si="14"/>
        <v>84</v>
      </c>
      <c r="E807" s="4">
        <v>48063</v>
      </c>
      <c r="F807" s="4">
        <v>2001</v>
      </c>
    </row>
    <row r="808" spans="1:6" x14ac:dyDescent="0.35">
      <c r="A808" s="4" t="s">
        <v>1386</v>
      </c>
      <c r="B808" s="4" t="s">
        <v>178</v>
      </c>
      <c r="C808" s="4">
        <v>4.8</v>
      </c>
      <c r="D808" s="6">
        <f t="shared" si="14"/>
        <v>64</v>
      </c>
      <c r="E808" s="4">
        <v>26542</v>
      </c>
      <c r="F808" s="4">
        <v>2001</v>
      </c>
    </row>
    <row r="809" spans="1:6" x14ac:dyDescent="0.35">
      <c r="A809" s="4" t="s">
        <v>1285</v>
      </c>
      <c r="B809" s="4" t="s">
        <v>214</v>
      </c>
      <c r="C809" s="4">
        <v>4.7</v>
      </c>
      <c r="D809" s="6">
        <f t="shared" si="14"/>
        <v>83</v>
      </c>
      <c r="E809" s="4">
        <v>13867</v>
      </c>
      <c r="F809" s="4">
        <v>2001</v>
      </c>
    </row>
    <row r="810" spans="1:6" x14ac:dyDescent="0.35">
      <c r="A810" s="4" t="s">
        <v>2153</v>
      </c>
      <c r="B810" s="4" t="s">
        <v>178</v>
      </c>
      <c r="C810" s="4">
        <v>5.2</v>
      </c>
      <c r="D810" s="6">
        <f t="shared" si="14"/>
        <v>1</v>
      </c>
      <c r="E810" s="4">
        <v>63312</v>
      </c>
      <c r="F810" s="4">
        <v>2001</v>
      </c>
    </row>
    <row r="811" spans="1:6" x14ac:dyDescent="0.35">
      <c r="A811" s="4" t="s">
        <v>1566</v>
      </c>
      <c r="B811" s="4" t="s">
        <v>152</v>
      </c>
      <c r="C811" s="4">
        <v>4.9000000000000004</v>
      </c>
      <c r="D811" s="6">
        <f t="shared" si="14"/>
        <v>51</v>
      </c>
      <c r="E811" s="4">
        <v>43983</v>
      </c>
      <c r="F811" s="4">
        <v>2001</v>
      </c>
    </row>
    <row r="812" spans="1:6" x14ac:dyDescent="0.35">
      <c r="A812" s="4" t="s">
        <v>883</v>
      </c>
      <c r="B812" s="4" t="s">
        <v>448</v>
      </c>
      <c r="C812" s="4">
        <v>4.4000000000000004</v>
      </c>
      <c r="D812" s="6">
        <f t="shared" si="14"/>
        <v>119</v>
      </c>
      <c r="E812" s="4">
        <v>19287</v>
      </c>
      <c r="F812" s="4">
        <v>2000</v>
      </c>
    </row>
    <row r="813" spans="1:6" x14ac:dyDescent="0.35">
      <c r="A813" s="4" t="s">
        <v>1299</v>
      </c>
      <c r="B813" s="4" t="s">
        <v>128</v>
      </c>
      <c r="C813" s="4">
        <v>4.7</v>
      </c>
      <c r="D813" s="6">
        <f t="shared" si="14"/>
        <v>81</v>
      </c>
      <c r="E813" s="4">
        <v>11815</v>
      </c>
      <c r="F813" s="4">
        <v>2000</v>
      </c>
    </row>
    <row r="814" spans="1:6" x14ac:dyDescent="0.35">
      <c r="A814" s="4" t="s">
        <v>454</v>
      </c>
      <c r="B814" s="4" t="s">
        <v>455</v>
      </c>
      <c r="C814" s="4">
        <v>3.7</v>
      </c>
      <c r="D814" s="6">
        <f t="shared" si="14"/>
        <v>155</v>
      </c>
      <c r="E814" s="4">
        <v>25926</v>
      </c>
      <c r="F814" s="4">
        <v>2000</v>
      </c>
    </row>
    <row r="815" spans="1:6" x14ac:dyDescent="0.35">
      <c r="A815" s="4" t="s">
        <v>1639</v>
      </c>
      <c r="B815" s="4" t="s">
        <v>338</v>
      </c>
      <c r="C815" s="4">
        <v>4.9000000000000004</v>
      </c>
      <c r="D815" s="6">
        <f t="shared" si="14"/>
        <v>51</v>
      </c>
      <c r="E815" s="4">
        <v>13059</v>
      </c>
      <c r="F815" s="4">
        <v>2000</v>
      </c>
    </row>
    <row r="816" spans="1:6" x14ac:dyDescent="0.35">
      <c r="A816" s="4" t="s">
        <v>781</v>
      </c>
      <c r="B816" s="4" t="s">
        <v>217</v>
      </c>
      <c r="C816" s="4">
        <v>4.3</v>
      </c>
      <c r="D816" s="6">
        <f t="shared" si="14"/>
        <v>126</v>
      </c>
      <c r="E816" s="4">
        <v>21396</v>
      </c>
      <c r="F816" s="4">
        <v>2000</v>
      </c>
    </row>
    <row r="817" spans="1:6" x14ac:dyDescent="0.35">
      <c r="A817" s="4" t="s">
        <v>1415</v>
      </c>
      <c r="B817" s="4" t="s">
        <v>474</v>
      </c>
      <c r="C817" s="4">
        <v>4.8</v>
      </c>
      <c r="D817" s="6">
        <f t="shared" si="14"/>
        <v>61</v>
      </c>
      <c r="E817" s="4">
        <v>19765</v>
      </c>
      <c r="F817" s="4">
        <v>2000</v>
      </c>
    </row>
    <row r="818" spans="1:6" x14ac:dyDescent="0.35">
      <c r="A818" s="4" t="s">
        <v>622</v>
      </c>
      <c r="B818" s="4" t="s">
        <v>211</v>
      </c>
      <c r="C818" s="4">
        <v>4</v>
      </c>
      <c r="D818" s="6">
        <f t="shared" si="14"/>
        <v>140</v>
      </c>
      <c r="E818" s="4">
        <v>11678</v>
      </c>
      <c r="F818" s="4">
        <v>2000</v>
      </c>
    </row>
    <row r="819" spans="1:6" x14ac:dyDescent="0.35">
      <c r="A819" s="4" t="s">
        <v>943</v>
      </c>
      <c r="B819" s="4" t="s">
        <v>944</v>
      </c>
      <c r="C819" s="4">
        <v>4.5</v>
      </c>
      <c r="D819" s="6">
        <f t="shared" si="14"/>
        <v>109</v>
      </c>
      <c r="E819" s="4">
        <v>53985</v>
      </c>
      <c r="F819" s="4">
        <v>2000</v>
      </c>
    </row>
    <row r="820" spans="1:6" x14ac:dyDescent="0.35">
      <c r="A820" s="4" t="s">
        <v>2063</v>
      </c>
      <c r="B820" s="4" t="s">
        <v>214</v>
      </c>
      <c r="C820" s="4">
        <v>5.0999999999999996</v>
      </c>
      <c r="D820" s="6">
        <f t="shared" si="14"/>
        <v>8</v>
      </c>
      <c r="E820" s="4">
        <v>11034</v>
      </c>
      <c r="F820" s="4">
        <v>2000</v>
      </c>
    </row>
    <row r="821" spans="1:6" x14ac:dyDescent="0.35">
      <c r="A821" s="4" t="s">
        <v>1492</v>
      </c>
      <c r="B821" s="4" t="s">
        <v>584</v>
      </c>
      <c r="C821" s="4">
        <v>4.8</v>
      </c>
      <c r="D821" s="6">
        <f t="shared" si="14"/>
        <v>60</v>
      </c>
      <c r="E821" s="4">
        <v>11487</v>
      </c>
      <c r="F821" s="4">
        <v>2000</v>
      </c>
    </row>
    <row r="822" spans="1:6" x14ac:dyDescent="0.35">
      <c r="A822" s="4" t="s">
        <v>822</v>
      </c>
      <c r="B822" s="4" t="s">
        <v>376</v>
      </c>
      <c r="C822" s="4">
        <v>4.3</v>
      </c>
      <c r="D822" s="6">
        <f t="shared" si="14"/>
        <v>122</v>
      </c>
      <c r="E822" s="4">
        <v>10733</v>
      </c>
      <c r="F822" s="4">
        <v>2000</v>
      </c>
    </row>
    <row r="823" spans="1:6" x14ac:dyDescent="0.35">
      <c r="A823" s="4" t="s">
        <v>1083</v>
      </c>
      <c r="B823" s="4" t="s">
        <v>166</v>
      </c>
      <c r="C823" s="4">
        <v>4.5999999999999996</v>
      </c>
      <c r="D823" s="6">
        <f t="shared" si="14"/>
        <v>89</v>
      </c>
      <c r="E823" s="4">
        <v>21523</v>
      </c>
      <c r="F823" s="4">
        <v>2000</v>
      </c>
    </row>
    <row r="824" spans="1:6" x14ac:dyDescent="0.35">
      <c r="A824" s="4" t="s">
        <v>1637</v>
      </c>
      <c r="B824" s="4" t="s">
        <v>646</v>
      </c>
      <c r="C824" s="4">
        <v>4.9000000000000004</v>
      </c>
      <c r="D824" s="6">
        <f t="shared" ref="D824:D887" si="15">_xlfn.RANK.EQ(C824, C824:C1823)</f>
        <v>50</v>
      </c>
      <c r="E824" s="4">
        <v>13301</v>
      </c>
      <c r="F824" s="4">
        <v>2000</v>
      </c>
    </row>
    <row r="825" spans="1:6" x14ac:dyDescent="0.35">
      <c r="A825" s="4" t="s">
        <v>2181</v>
      </c>
      <c r="B825" s="4" t="s">
        <v>56</v>
      </c>
      <c r="C825" s="4">
        <v>5.2</v>
      </c>
      <c r="D825" s="6">
        <f t="shared" si="15"/>
        <v>1</v>
      </c>
      <c r="E825" s="4">
        <v>37384</v>
      </c>
      <c r="F825" s="4">
        <v>2000</v>
      </c>
    </row>
    <row r="826" spans="1:6" x14ac:dyDescent="0.35">
      <c r="A826" s="4" t="s">
        <v>452</v>
      </c>
      <c r="B826" s="4" t="s">
        <v>166</v>
      </c>
      <c r="C826" s="4">
        <v>3.7</v>
      </c>
      <c r="D826" s="6">
        <f t="shared" si="15"/>
        <v>144</v>
      </c>
      <c r="E826" s="4">
        <v>36690</v>
      </c>
      <c r="F826" s="4">
        <v>2000</v>
      </c>
    </row>
    <row r="827" spans="1:6" x14ac:dyDescent="0.35">
      <c r="A827" s="4" t="s">
        <v>1572</v>
      </c>
      <c r="B827" s="4" t="s">
        <v>267</v>
      </c>
      <c r="C827" s="4">
        <v>4.9000000000000004</v>
      </c>
      <c r="D827" s="6">
        <f t="shared" si="15"/>
        <v>49</v>
      </c>
      <c r="E827" s="4">
        <v>37216</v>
      </c>
      <c r="F827" s="4">
        <v>2000</v>
      </c>
    </row>
    <row r="828" spans="1:6" x14ac:dyDescent="0.35">
      <c r="A828" s="4" t="s">
        <v>1251</v>
      </c>
      <c r="B828" s="4" t="s">
        <v>128</v>
      </c>
      <c r="C828" s="4">
        <v>4.7</v>
      </c>
      <c r="D828" s="6">
        <f t="shared" si="15"/>
        <v>74</v>
      </c>
      <c r="E828" s="4">
        <v>20420</v>
      </c>
      <c r="F828" s="4">
        <v>2000</v>
      </c>
    </row>
    <row r="829" spans="1:6" x14ac:dyDescent="0.35">
      <c r="A829" s="4" t="s">
        <v>1784</v>
      </c>
      <c r="B829" s="4" t="s">
        <v>128</v>
      </c>
      <c r="C829" s="4">
        <v>5</v>
      </c>
      <c r="D829" s="6">
        <f t="shared" si="15"/>
        <v>30</v>
      </c>
      <c r="E829" s="4">
        <v>15875</v>
      </c>
      <c r="F829" s="4">
        <v>2000</v>
      </c>
    </row>
    <row r="830" spans="1:6" x14ac:dyDescent="0.35">
      <c r="A830" s="4" t="s">
        <v>893</v>
      </c>
      <c r="B830" s="4" t="s">
        <v>14</v>
      </c>
      <c r="C830" s="4">
        <v>4.4000000000000004</v>
      </c>
      <c r="D830" s="6">
        <f t="shared" si="15"/>
        <v>107</v>
      </c>
      <c r="E830" s="4">
        <v>16373</v>
      </c>
      <c r="F830" s="4">
        <v>2000</v>
      </c>
    </row>
    <row r="831" spans="1:6" x14ac:dyDescent="0.35">
      <c r="A831" s="4" t="s">
        <v>596</v>
      </c>
      <c r="B831" s="4" t="s">
        <v>597</v>
      </c>
      <c r="C831" s="4">
        <v>4</v>
      </c>
      <c r="D831" s="6">
        <f t="shared" si="15"/>
        <v>129</v>
      </c>
      <c r="E831" s="4">
        <v>40658</v>
      </c>
      <c r="F831" s="4">
        <v>2000</v>
      </c>
    </row>
    <row r="832" spans="1:6" x14ac:dyDescent="0.35">
      <c r="A832" s="4" t="s">
        <v>2011</v>
      </c>
      <c r="B832" s="4" t="s">
        <v>669</v>
      </c>
      <c r="C832" s="4">
        <v>5.0999999999999996</v>
      </c>
      <c r="D832" s="6">
        <f t="shared" si="15"/>
        <v>7</v>
      </c>
      <c r="E832" s="4">
        <v>15538</v>
      </c>
      <c r="F832" s="4">
        <v>2000</v>
      </c>
    </row>
    <row r="833" spans="1:6" x14ac:dyDescent="0.35">
      <c r="A833" s="4" t="s">
        <v>2125</v>
      </c>
      <c r="B833" s="4" t="s">
        <v>146</v>
      </c>
      <c r="C833" s="4">
        <v>5.2</v>
      </c>
      <c r="D833" s="6">
        <f t="shared" si="15"/>
        <v>1</v>
      </c>
      <c r="E833" s="4">
        <v>92136</v>
      </c>
      <c r="F833" s="4">
        <v>2000</v>
      </c>
    </row>
    <row r="834" spans="1:6" x14ac:dyDescent="0.35">
      <c r="A834" s="4" t="s">
        <v>162</v>
      </c>
      <c r="B834" s="4" t="s">
        <v>163</v>
      </c>
      <c r="C834" s="4">
        <v>2.5</v>
      </c>
      <c r="D834" s="6">
        <f t="shared" si="15"/>
        <v>161</v>
      </c>
      <c r="E834" s="4">
        <v>83924</v>
      </c>
      <c r="F834" s="4">
        <v>2000</v>
      </c>
    </row>
    <row r="835" spans="1:6" x14ac:dyDescent="0.35">
      <c r="A835" s="4" t="s">
        <v>885</v>
      </c>
      <c r="B835" s="4" t="s">
        <v>606</v>
      </c>
      <c r="C835" s="4">
        <v>4.4000000000000004</v>
      </c>
      <c r="D835" s="6">
        <f t="shared" si="15"/>
        <v>105</v>
      </c>
      <c r="E835" s="4">
        <v>18776</v>
      </c>
      <c r="F835" s="4">
        <v>2000</v>
      </c>
    </row>
    <row r="836" spans="1:6" x14ac:dyDescent="0.35">
      <c r="A836" s="4" t="s">
        <v>388</v>
      </c>
      <c r="B836" s="4" t="s">
        <v>104</v>
      </c>
      <c r="C836" s="4">
        <v>3.5</v>
      </c>
      <c r="D836" s="6">
        <f t="shared" si="15"/>
        <v>141</v>
      </c>
      <c r="E836" s="4">
        <v>13085</v>
      </c>
      <c r="F836" s="4">
        <v>2000</v>
      </c>
    </row>
    <row r="837" spans="1:6" x14ac:dyDescent="0.35">
      <c r="A837" s="4" t="s">
        <v>1358</v>
      </c>
      <c r="B837" s="4" t="s">
        <v>217</v>
      </c>
      <c r="C837" s="4">
        <v>4.8</v>
      </c>
      <c r="D837" s="6">
        <f t="shared" si="15"/>
        <v>54</v>
      </c>
      <c r="E837" s="4">
        <v>40156</v>
      </c>
      <c r="F837" s="4">
        <v>2000</v>
      </c>
    </row>
    <row r="838" spans="1:6" x14ac:dyDescent="0.35">
      <c r="A838" s="4" t="s">
        <v>788</v>
      </c>
      <c r="B838" s="4" t="s">
        <v>163</v>
      </c>
      <c r="C838" s="4">
        <v>4.3</v>
      </c>
      <c r="D838" s="6">
        <f t="shared" si="15"/>
        <v>111</v>
      </c>
      <c r="E838" s="4">
        <v>17596</v>
      </c>
      <c r="F838" s="4">
        <v>1999</v>
      </c>
    </row>
    <row r="839" spans="1:6" x14ac:dyDescent="0.35">
      <c r="A839" s="4" t="s">
        <v>1524</v>
      </c>
      <c r="B839" s="4" t="s">
        <v>62</v>
      </c>
      <c r="C839" s="4">
        <v>4.9000000000000004</v>
      </c>
      <c r="D839" s="6">
        <f t="shared" si="15"/>
        <v>46</v>
      </c>
      <c r="E839" s="4">
        <v>168977</v>
      </c>
      <c r="F839" s="4">
        <v>1999</v>
      </c>
    </row>
    <row r="840" spans="1:6" x14ac:dyDescent="0.35">
      <c r="A840" s="4" t="s">
        <v>1738</v>
      </c>
      <c r="B840" s="4" t="s">
        <v>155</v>
      </c>
      <c r="C840" s="4">
        <v>5</v>
      </c>
      <c r="D840" s="6">
        <f t="shared" si="15"/>
        <v>28</v>
      </c>
      <c r="E840" s="4">
        <v>30458</v>
      </c>
      <c r="F840" s="4">
        <v>1999</v>
      </c>
    </row>
    <row r="841" spans="1:6" x14ac:dyDescent="0.35">
      <c r="A841" s="4" t="s">
        <v>703</v>
      </c>
      <c r="B841" s="4" t="s">
        <v>172</v>
      </c>
      <c r="C841" s="4">
        <v>4.2</v>
      </c>
      <c r="D841" s="6">
        <f t="shared" si="15"/>
        <v>109</v>
      </c>
      <c r="E841" s="4">
        <v>31116</v>
      </c>
      <c r="F841" s="4">
        <v>1999</v>
      </c>
    </row>
    <row r="842" spans="1:6" x14ac:dyDescent="0.35">
      <c r="A842" s="4" t="s">
        <v>1419</v>
      </c>
      <c r="B842" s="4" t="s">
        <v>1075</v>
      </c>
      <c r="C842" s="4">
        <v>4.8</v>
      </c>
      <c r="D842" s="6">
        <f t="shared" si="15"/>
        <v>52</v>
      </c>
      <c r="E842" s="4">
        <v>18388</v>
      </c>
      <c r="F842" s="4">
        <v>1999</v>
      </c>
    </row>
    <row r="843" spans="1:6" x14ac:dyDescent="0.35">
      <c r="A843" s="4" t="s">
        <v>1681</v>
      </c>
      <c r="B843" s="4" t="s">
        <v>915</v>
      </c>
      <c r="C843" s="4">
        <v>5</v>
      </c>
      <c r="D843" s="6">
        <f t="shared" si="15"/>
        <v>28</v>
      </c>
      <c r="E843" s="4">
        <v>81840</v>
      </c>
      <c r="F843" s="4">
        <v>1999</v>
      </c>
    </row>
    <row r="844" spans="1:6" x14ac:dyDescent="0.35">
      <c r="A844" s="4" t="s">
        <v>1979</v>
      </c>
      <c r="B844" s="4" t="s">
        <v>116</v>
      </c>
      <c r="C844" s="4">
        <v>5.0999999999999996</v>
      </c>
      <c r="D844" s="6">
        <f t="shared" si="15"/>
        <v>6</v>
      </c>
      <c r="E844" s="4">
        <v>19148</v>
      </c>
      <c r="F844" s="4">
        <v>1999</v>
      </c>
    </row>
    <row r="845" spans="1:6" x14ac:dyDescent="0.35">
      <c r="A845" s="4" t="s">
        <v>2025</v>
      </c>
      <c r="B845" s="4" t="s">
        <v>59</v>
      </c>
      <c r="C845" s="4">
        <v>5.0999999999999996</v>
      </c>
      <c r="D845" s="6">
        <f t="shared" si="15"/>
        <v>6</v>
      </c>
      <c r="E845" s="4">
        <v>14637</v>
      </c>
      <c r="F845" s="4">
        <v>1999</v>
      </c>
    </row>
    <row r="846" spans="1:6" x14ac:dyDescent="0.35">
      <c r="A846" s="4" t="s">
        <v>693</v>
      </c>
      <c r="B846" s="4" t="s">
        <v>178</v>
      </c>
      <c r="C846" s="4">
        <v>4.2</v>
      </c>
      <c r="D846" s="6">
        <f t="shared" si="15"/>
        <v>105</v>
      </c>
      <c r="E846" s="4">
        <v>51595</v>
      </c>
      <c r="F846" s="4">
        <v>1999</v>
      </c>
    </row>
    <row r="847" spans="1:6" x14ac:dyDescent="0.35">
      <c r="A847" s="4" t="s">
        <v>1469</v>
      </c>
      <c r="B847" s="4" t="s">
        <v>1470</v>
      </c>
      <c r="C847" s="4">
        <v>4.8</v>
      </c>
      <c r="D847" s="6">
        <f t="shared" si="15"/>
        <v>49</v>
      </c>
      <c r="E847" s="4">
        <v>12851</v>
      </c>
      <c r="F847" s="4">
        <v>1999</v>
      </c>
    </row>
    <row r="848" spans="1:6" x14ac:dyDescent="0.35">
      <c r="A848" s="4" t="s">
        <v>719</v>
      </c>
      <c r="B848" s="4" t="s">
        <v>352</v>
      </c>
      <c r="C848" s="4">
        <v>4.2</v>
      </c>
      <c r="D848" s="6">
        <f t="shared" si="15"/>
        <v>104</v>
      </c>
      <c r="E848" s="4">
        <v>17724</v>
      </c>
      <c r="F848" s="4">
        <v>1999</v>
      </c>
    </row>
    <row r="849" spans="1:6" x14ac:dyDescent="0.35">
      <c r="A849" s="4" t="s">
        <v>1782</v>
      </c>
      <c r="B849" s="4" t="s">
        <v>846</v>
      </c>
      <c r="C849" s="4">
        <v>5</v>
      </c>
      <c r="D849" s="6">
        <f t="shared" si="15"/>
        <v>26</v>
      </c>
      <c r="E849" s="4">
        <v>16170</v>
      </c>
      <c r="F849" s="4">
        <v>1999</v>
      </c>
    </row>
    <row r="850" spans="1:6" x14ac:dyDescent="0.35">
      <c r="A850" s="4" t="s">
        <v>579</v>
      </c>
      <c r="B850" s="4" t="s">
        <v>455</v>
      </c>
      <c r="C850" s="4">
        <v>3.9</v>
      </c>
      <c r="D850" s="6">
        <f t="shared" si="15"/>
        <v>113</v>
      </c>
      <c r="E850" s="4">
        <v>11508</v>
      </c>
      <c r="F850" s="4">
        <v>1999</v>
      </c>
    </row>
    <row r="851" spans="1:6" x14ac:dyDescent="0.35">
      <c r="A851" s="4" t="s">
        <v>671</v>
      </c>
      <c r="B851" s="4" t="s">
        <v>166</v>
      </c>
      <c r="C851" s="4">
        <v>4.0999999999999996</v>
      </c>
      <c r="D851" s="6">
        <f t="shared" si="15"/>
        <v>108</v>
      </c>
      <c r="E851" s="4">
        <v>12725</v>
      </c>
      <c r="F851" s="4">
        <v>1999</v>
      </c>
    </row>
    <row r="852" spans="1:6" x14ac:dyDescent="0.35">
      <c r="A852" s="4" t="s">
        <v>677</v>
      </c>
      <c r="B852" s="4" t="s">
        <v>474</v>
      </c>
      <c r="C852" s="4">
        <v>4.0999999999999996</v>
      </c>
      <c r="D852" s="6">
        <f t="shared" si="15"/>
        <v>108</v>
      </c>
      <c r="E852" s="4">
        <v>11649</v>
      </c>
      <c r="F852" s="4">
        <v>1999</v>
      </c>
    </row>
    <row r="853" spans="1:6" x14ac:dyDescent="0.35">
      <c r="A853" s="4" t="s">
        <v>195</v>
      </c>
      <c r="B853" s="4" t="s">
        <v>193</v>
      </c>
      <c r="C853" s="4">
        <v>2.6</v>
      </c>
      <c r="D853" s="6">
        <f t="shared" si="15"/>
        <v>141</v>
      </c>
      <c r="E853" s="4">
        <v>27849</v>
      </c>
      <c r="F853" s="4">
        <v>1999</v>
      </c>
    </row>
    <row r="854" spans="1:6" x14ac:dyDescent="0.35">
      <c r="A854" s="4" t="s">
        <v>731</v>
      </c>
      <c r="B854" s="4" t="s">
        <v>294</v>
      </c>
      <c r="C854" s="4">
        <v>4.2</v>
      </c>
      <c r="D854" s="6">
        <f t="shared" si="15"/>
        <v>103</v>
      </c>
      <c r="E854" s="4">
        <v>13489</v>
      </c>
      <c r="F854" s="4">
        <v>1998</v>
      </c>
    </row>
    <row r="855" spans="1:6" x14ac:dyDescent="0.35">
      <c r="A855" s="4" t="s">
        <v>489</v>
      </c>
      <c r="B855" s="4" t="s">
        <v>163</v>
      </c>
      <c r="C855" s="4">
        <v>3.8</v>
      </c>
      <c r="D855" s="6">
        <f t="shared" si="15"/>
        <v>113</v>
      </c>
      <c r="E855" s="4">
        <v>45902</v>
      </c>
      <c r="F855" s="4">
        <v>1998</v>
      </c>
    </row>
    <row r="856" spans="1:6" x14ac:dyDescent="0.35">
      <c r="A856" s="4" t="s">
        <v>957</v>
      </c>
      <c r="B856" s="4" t="s">
        <v>155</v>
      </c>
      <c r="C856" s="4">
        <v>4.5</v>
      </c>
      <c r="D856" s="6">
        <f t="shared" si="15"/>
        <v>90</v>
      </c>
      <c r="E856" s="4">
        <v>32271</v>
      </c>
      <c r="F856" s="4">
        <v>1998</v>
      </c>
    </row>
    <row r="857" spans="1:6" x14ac:dyDescent="0.35">
      <c r="A857" s="4" t="s">
        <v>1036</v>
      </c>
      <c r="B857" s="4" t="s">
        <v>175</v>
      </c>
      <c r="C857" s="4">
        <v>4.5999999999999996</v>
      </c>
      <c r="D857" s="6">
        <f t="shared" si="15"/>
        <v>73</v>
      </c>
      <c r="E857" s="4">
        <v>51262</v>
      </c>
      <c r="F857" s="4">
        <v>1998</v>
      </c>
    </row>
    <row r="858" spans="1:6" x14ac:dyDescent="0.35">
      <c r="A858" s="4" t="s">
        <v>1428</v>
      </c>
      <c r="B858" s="4" t="s">
        <v>1429</v>
      </c>
      <c r="C858" s="4">
        <v>4.8</v>
      </c>
      <c r="D858" s="6">
        <f t="shared" si="15"/>
        <v>48</v>
      </c>
      <c r="E858" s="4">
        <v>17740</v>
      </c>
      <c r="F858" s="4">
        <v>1998</v>
      </c>
    </row>
    <row r="859" spans="1:6" x14ac:dyDescent="0.35">
      <c r="A859" s="4" t="s">
        <v>2129</v>
      </c>
      <c r="B859" s="4" t="s">
        <v>163</v>
      </c>
      <c r="C859" s="4">
        <v>5.2</v>
      </c>
      <c r="D859" s="6">
        <f t="shared" si="15"/>
        <v>1</v>
      </c>
      <c r="E859" s="4">
        <v>75507</v>
      </c>
      <c r="F859" s="4">
        <v>1998</v>
      </c>
    </row>
    <row r="860" spans="1:6" x14ac:dyDescent="0.35">
      <c r="A860" s="4" t="s">
        <v>1621</v>
      </c>
      <c r="B860" s="4" t="s">
        <v>101</v>
      </c>
      <c r="C860" s="4">
        <v>4.9000000000000004</v>
      </c>
      <c r="D860" s="6">
        <f t="shared" si="15"/>
        <v>40</v>
      </c>
      <c r="E860" s="4">
        <v>16691</v>
      </c>
      <c r="F860" s="4">
        <v>1998</v>
      </c>
    </row>
    <row r="861" spans="1:6" x14ac:dyDescent="0.35">
      <c r="A861" s="4" t="s">
        <v>1326</v>
      </c>
      <c r="B861" s="4" t="s">
        <v>175</v>
      </c>
      <c r="C861" s="4">
        <v>4.8</v>
      </c>
      <c r="D861" s="6">
        <f t="shared" si="15"/>
        <v>46</v>
      </c>
      <c r="E861" s="4">
        <v>80450</v>
      </c>
      <c r="F861" s="4">
        <v>1998</v>
      </c>
    </row>
    <row r="862" spans="1:6" x14ac:dyDescent="0.35">
      <c r="A862" s="4" t="s">
        <v>1764</v>
      </c>
      <c r="B862" s="4" t="s">
        <v>646</v>
      </c>
      <c r="C862" s="4">
        <v>5</v>
      </c>
      <c r="D862" s="6">
        <f t="shared" si="15"/>
        <v>25</v>
      </c>
      <c r="E862" s="4">
        <v>21173</v>
      </c>
      <c r="F862" s="4">
        <v>1998</v>
      </c>
    </row>
    <row r="863" spans="1:6" x14ac:dyDescent="0.35">
      <c r="A863" s="4" t="s">
        <v>1574</v>
      </c>
      <c r="B863" s="4" t="s">
        <v>146</v>
      </c>
      <c r="C863" s="4">
        <v>4.9000000000000004</v>
      </c>
      <c r="D863" s="6">
        <f t="shared" si="15"/>
        <v>39</v>
      </c>
      <c r="E863" s="4">
        <v>35175</v>
      </c>
      <c r="F863" s="4">
        <v>1998</v>
      </c>
    </row>
    <row r="864" spans="1:6" x14ac:dyDescent="0.35">
      <c r="A864" s="4" t="s">
        <v>277</v>
      </c>
      <c r="B864" s="4" t="s">
        <v>178</v>
      </c>
      <c r="C864" s="4">
        <v>3</v>
      </c>
      <c r="D864" s="6">
        <f t="shared" si="15"/>
        <v>124</v>
      </c>
      <c r="E864" s="4">
        <v>12537</v>
      </c>
      <c r="F864" s="4">
        <v>1998</v>
      </c>
    </row>
    <row r="865" spans="1:6" x14ac:dyDescent="0.35">
      <c r="A865" s="4" t="s">
        <v>1806</v>
      </c>
      <c r="B865" s="4" t="s">
        <v>294</v>
      </c>
      <c r="C865" s="4">
        <v>5</v>
      </c>
      <c r="D865" s="6">
        <f t="shared" si="15"/>
        <v>25</v>
      </c>
      <c r="E865" s="4">
        <v>12884</v>
      </c>
      <c r="F865" s="4">
        <v>1997</v>
      </c>
    </row>
    <row r="866" spans="1:6" x14ac:dyDescent="0.35">
      <c r="A866" s="4" t="s">
        <v>476</v>
      </c>
      <c r="B866" s="4" t="s">
        <v>477</v>
      </c>
      <c r="C866" s="4">
        <v>3.7</v>
      </c>
      <c r="D866" s="6">
        <f t="shared" si="15"/>
        <v>109</v>
      </c>
      <c r="E866" s="4">
        <v>10065</v>
      </c>
      <c r="F866" s="4">
        <v>1997</v>
      </c>
    </row>
    <row r="867" spans="1:6" x14ac:dyDescent="0.35">
      <c r="A867" s="4" t="s">
        <v>183</v>
      </c>
      <c r="B867" s="4" t="s">
        <v>184</v>
      </c>
      <c r="C867" s="4">
        <v>2.5</v>
      </c>
      <c r="D867" s="6">
        <f t="shared" si="15"/>
        <v>129</v>
      </c>
      <c r="E867" s="4">
        <v>10099</v>
      </c>
      <c r="F867" s="4">
        <v>1997</v>
      </c>
    </row>
    <row r="868" spans="1:6" x14ac:dyDescent="0.35">
      <c r="A868" s="4" t="s">
        <v>274</v>
      </c>
      <c r="B868" s="4" t="s">
        <v>275</v>
      </c>
      <c r="C868" s="4">
        <v>3</v>
      </c>
      <c r="D868" s="6">
        <f t="shared" si="15"/>
        <v>122</v>
      </c>
      <c r="E868" s="4">
        <v>15292</v>
      </c>
      <c r="F868" s="4">
        <v>1997</v>
      </c>
    </row>
    <row r="869" spans="1:6" x14ac:dyDescent="0.35">
      <c r="A869" s="4" t="s">
        <v>450</v>
      </c>
      <c r="B869" s="4" t="s">
        <v>291</v>
      </c>
      <c r="C869" s="4">
        <v>3.7</v>
      </c>
      <c r="D869" s="6">
        <f t="shared" si="15"/>
        <v>109</v>
      </c>
      <c r="E869" s="4">
        <v>38236</v>
      </c>
      <c r="F869" s="4">
        <v>1997</v>
      </c>
    </row>
    <row r="870" spans="1:6" x14ac:dyDescent="0.35">
      <c r="A870" s="4" t="s">
        <v>528</v>
      </c>
      <c r="B870" s="4" t="s">
        <v>275</v>
      </c>
      <c r="C870" s="4">
        <v>3.9</v>
      </c>
      <c r="D870" s="6">
        <f t="shared" si="15"/>
        <v>101</v>
      </c>
      <c r="E870" s="4">
        <v>87201</v>
      </c>
      <c r="F870" s="4">
        <v>1997</v>
      </c>
    </row>
    <row r="871" spans="1:6" x14ac:dyDescent="0.35">
      <c r="A871" s="4" t="s">
        <v>2135</v>
      </c>
      <c r="B871" s="4" t="s">
        <v>56</v>
      </c>
      <c r="C871" s="4">
        <v>5.2</v>
      </c>
      <c r="D871" s="6">
        <f t="shared" si="15"/>
        <v>1</v>
      </c>
      <c r="E871" s="4">
        <v>73490</v>
      </c>
      <c r="F871" s="4">
        <v>1997</v>
      </c>
    </row>
    <row r="872" spans="1:6" x14ac:dyDescent="0.35">
      <c r="A872" s="4" t="s">
        <v>662</v>
      </c>
      <c r="B872" s="4" t="s">
        <v>217</v>
      </c>
      <c r="C872" s="4">
        <v>4.0999999999999996</v>
      </c>
      <c r="D872" s="6">
        <f t="shared" si="15"/>
        <v>97</v>
      </c>
      <c r="E872" s="4">
        <v>16358</v>
      </c>
      <c r="F872" s="4">
        <v>1997</v>
      </c>
    </row>
    <row r="873" spans="1:6" x14ac:dyDescent="0.35">
      <c r="A873" s="4" t="s">
        <v>404</v>
      </c>
      <c r="B873" s="4" t="s">
        <v>166</v>
      </c>
      <c r="C873" s="4">
        <v>3.6</v>
      </c>
      <c r="D873" s="6">
        <f t="shared" si="15"/>
        <v>108</v>
      </c>
      <c r="E873" s="4">
        <v>58941</v>
      </c>
      <c r="F873" s="4">
        <v>1997</v>
      </c>
    </row>
    <row r="874" spans="1:6" x14ac:dyDescent="0.35">
      <c r="A874" s="4" t="s">
        <v>1309</v>
      </c>
      <c r="B874" s="4" t="s">
        <v>270</v>
      </c>
      <c r="C874" s="4">
        <v>4.7</v>
      </c>
      <c r="D874" s="6">
        <f t="shared" si="15"/>
        <v>54</v>
      </c>
      <c r="E874" s="4">
        <v>10942</v>
      </c>
      <c r="F874" s="4">
        <v>1997</v>
      </c>
    </row>
    <row r="875" spans="1:6" x14ac:dyDescent="0.35">
      <c r="A875" s="4" t="s">
        <v>1772</v>
      </c>
      <c r="B875" s="4" t="s">
        <v>178</v>
      </c>
      <c r="C875" s="4">
        <v>5</v>
      </c>
      <c r="D875" s="6">
        <f t="shared" si="15"/>
        <v>24</v>
      </c>
      <c r="E875" s="4">
        <v>17382</v>
      </c>
      <c r="F875" s="4">
        <v>1997</v>
      </c>
    </row>
    <row r="876" spans="1:6" x14ac:dyDescent="0.35">
      <c r="A876" s="4" t="s">
        <v>1026</v>
      </c>
      <c r="B876" s="4" t="s">
        <v>146</v>
      </c>
      <c r="C876" s="4">
        <v>4.5999999999999996</v>
      </c>
      <c r="D876" s="6">
        <f t="shared" si="15"/>
        <v>63</v>
      </c>
      <c r="E876" s="4">
        <v>129033</v>
      </c>
      <c r="F876" s="4">
        <v>1997</v>
      </c>
    </row>
    <row r="877" spans="1:6" x14ac:dyDescent="0.35">
      <c r="A877" s="4" t="s">
        <v>1509</v>
      </c>
      <c r="B877" s="4" t="s">
        <v>214</v>
      </c>
      <c r="C877" s="4">
        <v>4.8</v>
      </c>
      <c r="D877" s="6">
        <f t="shared" si="15"/>
        <v>41</v>
      </c>
      <c r="E877" s="4">
        <v>10755</v>
      </c>
      <c r="F877" s="4">
        <v>1997</v>
      </c>
    </row>
    <row r="878" spans="1:6" x14ac:dyDescent="0.35">
      <c r="A878" s="4" t="s">
        <v>1311</v>
      </c>
      <c r="B878" s="4" t="s">
        <v>762</v>
      </c>
      <c r="C878" s="4">
        <v>4.7</v>
      </c>
      <c r="D878" s="6">
        <f t="shared" si="15"/>
        <v>52</v>
      </c>
      <c r="E878" s="4">
        <v>10923</v>
      </c>
      <c r="F878" s="4">
        <v>1997</v>
      </c>
    </row>
    <row r="879" spans="1:6" x14ac:dyDescent="0.35">
      <c r="A879" s="4" t="s">
        <v>1975</v>
      </c>
      <c r="B879" s="4" t="s">
        <v>568</v>
      </c>
      <c r="C879" s="4">
        <v>5.0999999999999996</v>
      </c>
      <c r="D879" s="6">
        <f t="shared" si="15"/>
        <v>4</v>
      </c>
      <c r="E879" s="4">
        <v>19398</v>
      </c>
      <c r="F879" s="4">
        <v>1997</v>
      </c>
    </row>
    <row r="880" spans="1:6" x14ac:dyDescent="0.35">
      <c r="A880" s="4" t="s">
        <v>1362</v>
      </c>
      <c r="B880" s="4" t="s">
        <v>62</v>
      </c>
      <c r="C880" s="4">
        <v>4.8</v>
      </c>
      <c r="D880" s="6">
        <f t="shared" si="15"/>
        <v>40</v>
      </c>
      <c r="E880" s="4">
        <v>37206</v>
      </c>
      <c r="F880" s="4">
        <v>1997</v>
      </c>
    </row>
    <row r="881" spans="1:6" x14ac:dyDescent="0.35">
      <c r="A881" s="4" t="s">
        <v>479</v>
      </c>
      <c r="B881" s="4" t="s">
        <v>172</v>
      </c>
      <c r="C881" s="4">
        <v>3.8</v>
      </c>
      <c r="D881" s="6">
        <f t="shared" si="15"/>
        <v>94</v>
      </c>
      <c r="E881" s="4">
        <v>272072</v>
      </c>
      <c r="F881" s="4">
        <v>1997</v>
      </c>
    </row>
    <row r="882" spans="1:6" x14ac:dyDescent="0.35">
      <c r="A882" s="4" t="s">
        <v>1528</v>
      </c>
      <c r="B882" s="4" t="s">
        <v>122</v>
      </c>
      <c r="C882" s="4">
        <v>4.9000000000000004</v>
      </c>
      <c r="D882" s="6">
        <f t="shared" si="15"/>
        <v>35</v>
      </c>
      <c r="E882" s="4">
        <v>114363</v>
      </c>
      <c r="F882" s="4">
        <v>1997</v>
      </c>
    </row>
    <row r="883" spans="1:6" x14ac:dyDescent="0.35">
      <c r="A883" s="4" t="s">
        <v>1936</v>
      </c>
      <c r="B883" s="4" t="s">
        <v>270</v>
      </c>
      <c r="C883" s="4">
        <v>5.0999999999999996</v>
      </c>
      <c r="D883" s="6">
        <f t="shared" si="15"/>
        <v>4</v>
      </c>
      <c r="E883" s="4">
        <v>27665</v>
      </c>
      <c r="F883" s="4">
        <v>1997</v>
      </c>
    </row>
    <row r="884" spans="1:6" x14ac:dyDescent="0.35">
      <c r="A884" s="4" t="s">
        <v>1912</v>
      </c>
      <c r="B884" s="4" t="s">
        <v>178</v>
      </c>
      <c r="C884" s="4">
        <v>5.0999999999999996</v>
      </c>
      <c r="D884" s="6">
        <f t="shared" si="15"/>
        <v>4</v>
      </c>
      <c r="E884" s="4">
        <v>36282</v>
      </c>
      <c r="F884" s="4">
        <v>1996</v>
      </c>
    </row>
    <row r="885" spans="1:6" x14ac:dyDescent="0.35">
      <c r="A885" s="4" t="s">
        <v>1820</v>
      </c>
      <c r="B885" s="4" t="s">
        <v>116</v>
      </c>
      <c r="C885" s="4">
        <v>5</v>
      </c>
      <c r="D885" s="6">
        <f t="shared" si="15"/>
        <v>21</v>
      </c>
      <c r="E885" s="4">
        <v>11679</v>
      </c>
      <c r="F885" s="4">
        <v>1996</v>
      </c>
    </row>
    <row r="886" spans="1:6" x14ac:dyDescent="0.35">
      <c r="A886" s="4" t="s">
        <v>1056</v>
      </c>
      <c r="B886" s="4" t="s">
        <v>474</v>
      </c>
      <c r="C886" s="4">
        <v>4.5999999999999996</v>
      </c>
      <c r="D886" s="6">
        <f t="shared" si="15"/>
        <v>55</v>
      </c>
      <c r="E886" s="4">
        <v>36082</v>
      </c>
      <c r="F886" s="4">
        <v>1996</v>
      </c>
    </row>
    <row r="887" spans="1:6" x14ac:dyDescent="0.35">
      <c r="A887" s="4" t="s">
        <v>1079</v>
      </c>
      <c r="B887" s="4" t="s">
        <v>338</v>
      </c>
      <c r="C887" s="4">
        <v>4.5999999999999996</v>
      </c>
      <c r="D887" s="6">
        <f t="shared" si="15"/>
        <v>55</v>
      </c>
      <c r="E887" s="4">
        <v>22517</v>
      </c>
      <c r="F887" s="4">
        <v>1996</v>
      </c>
    </row>
    <row r="888" spans="1:6" x14ac:dyDescent="0.35">
      <c r="A888" s="4" t="s">
        <v>1038</v>
      </c>
      <c r="B888" s="4" t="s">
        <v>1039</v>
      </c>
      <c r="C888" s="4">
        <v>4.5999999999999996</v>
      </c>
      <c r="D888" s="6">
        <f t="shared" ref="D888:D951" si="16">_xlfn.RANK.EQ(C888, C888:C1887)</f>
        <v>55</v>
      </c>
      <c r="E888" s="4">
        <v>48925</v>
      </c>
      <c r="F888" s="4">
        <v>1996</v>
      </c>
    </row>
    <row r="889" spans="1:6" x14ac:dyDescent="0.35">
      <c r="A889" s="4" t="s">
        <v>288</v>
      </c>
      <c r="B889" s="4" t="s">
        <v>140</v>
      </c>
      <c r="C889" s="4">
        <v>3.1</v>
      </c>
      <c r="D889" s="6">
        <f t="shared" si="16"/>
        <v>101</v>
      </c>
      <c r="E889" s="4">
        <v>25970</v>
      </c>
      <c r="F889" s="4">
        <v>1996</v>
      </c>
    </row>
    <row r="890" spans="1:6" x14ac:dyDescent="0.35">
      <c r="A890" s="4" t="s">
        <v>1940</v>
      </c>
      <c r="B890" s="4" t="s">
        <v>98</v>
      </c>
      <c r="C890" s="4">
        <v>5.0999999999999996</v>
      </c>
      <c r="D890" s="6">
        <f t="shared" si="16"/>
        <v>4</v>
      </c>
      <c r="E890" s="4">
        <v>25248</v>
      </c>
      <c r="F890" s="4">
        <v>1996</v>
      </c>
    </row>
    <row r="891" spans="1:6" x14ac:dyDescent="0.35">
      <c r="A891" s="4" t="s">
        <v>861</v>
      </c>
      <c r="B891" s="4" t="s">
        <v>11</v>
      </c>
      <c r="C891" s="4">
        <v>4.4000000000000004</v>
      </c>
      <c r="D891" s="6">
        <f t="shared" si="16"/>
        <v>71</v>
      </c>
      <c r="E891" s="4">
        <v>30265</v>
      </c>
      <c r="F891" s="4">
        <v>1996</v>
      </c>
    </row>
    <row r="892" spans="1:6" x14ac:dyDescent="0.35">
      <c r="A892" s="4" t="s">
        <v>373</v>
      </c>
      <c r="B892" s="4" t="s">
        <v>172</v>
      </c>
      <c r="C892" s="4">
        <v>3.5</v>
      </c>
      <c r="D892" s="6">
        <f t="shared" si="16"/>
        <v>91</v>
      </c>
      <c r="E892" s="4">
        <v>31722</v>
      </c>
      <c r="F892" s="4">
        <v>1996</v>
      </c>
    </row>
    <row r="893" spans="1:6" x14ac:dyDescent="0.35">
      <c r="A893" s="4" t="s">
        <v>1232</v>
      </c>
      <c r="B893" s="4" t="s">
        <v>270</v>
      </c>
      <c r="C893" s="4">
        <v>4.7</v>
      </c>
      <c r="D893" s="6">
        <f t="shared" si="16"/>
        <v>45</v>
      </c>
      <c r="E893" s="4">
        <v>25626</v>
      </c>
      <c r="F893" s="4">
        <v>1995</v>
      </c>
    </row>
    <row r="894" spans="1:6" x14ac:dyDescent="0.35">
      <c r="A894" s="4" t="s">
        <v>921</v>
      </c>
      <c r="B894" s="4" t="s">
        <v>448</v>
      </c>
      <c r="C894" s="4">
        <v>4.4000000000000004</v>
      </c>
      <c r="D894" s="6">
        <f t="shared" si="16"/>
        <v>70</v>
      </c>
      <c r="E894" s="4">
        <v>10182</v>
      </c>
      <c r="F894" s="4">
        <v>1995</v>
      </c>
    </row>
    <row r="895" spans="1:6" x14ac:dyDescent="0.35">
      <c r="A895" s="4" t="s">
        <v>1873</v>
      </c>
      <c r="B895" s="4" t="s">
        <v>14</v>
      </c>
      <c r="C895" s="4">
        <v>5.0999999999999996</v>
      </c>
      <c r="D895" s="6">
        <f t="shared" si="16"/>
        <v>4</v>
      </c>
      <c r="E895" s="4">
        <v>76488</v>
      </c>
      <c r="F895" s="4">
        <v>1995</v>
      </c>
    </row>
    <row r="896" spans="1:6" x14ac:dyDescent="0.35">
      <c r="A896" s="4" t="s">
        <v>200</v>
      </c>
      <c r="B896" s="4" t="s">
        <v>143</v>
      </c>
      <c r="C896" s="4">
        <v>2.6</v>
      </c>
      <c r="D896" s="6">
        <f t="shared" si="16"/>
        <v>100</v>
      </c>
      <c r="E896" s="4">
        <v>10442</v>
      </c>
      <c r="F896" s="4">
        <v>1995</v>
      </c>
    </row>
    <row r="897" spans="1:6" x14ac:dyDescent="0.35">
      <c r="A897" s="4" t="s">
        <v>1199</v>
      </c>
      <c r="B897" s="4" t="s">
        <v>82</v>
      </c>
      <c r="C897" s="4">
        <v>4.7</v>
      </c>
      <c r="D897" s="6">
        <f t="shared" si="16"/>
        <v>44</v>
      </c>
      <c r="E897" s="4">
        <v>43509</v>
      </c>
      <c r="F897" s="4">
        <v>1995</v>
      </c>
    </row>
    <row r="898" spans="1:6" x14ac:dyDescent="0.35">
      <c r="A898" s="4" t="s">
        <v>1971</v>
      </c>
      <c r="B898" s="4" t="s">
        <v>762</v>
      </c>
      <c r="C898" s="4">
        <v>5.0999999999999996</v>
      </c>
      <c r="D898" s="6">
        <f t="shared" si="16"/>
        <v>4</v>
      </c>
      <c r="E898" s="4">
        <v>19856</v>
      </c>
      <c r="F898" s="4">
        <v>1995</v>
      </c>
    </row>
    <row r="899" spans="1:6" x14ac:dyDescent="0.35">
      <c r="A899" s="4" t="s">
        <v>900</v>
      </c>
      <c r="B899" s="4" t="s">
        <v>901</v>
      </c>
      <c r="C899" s="4">
        <v>4.4000000000000004</v>
      </c>
      <c r="D899" s="6">
        <f t="shared" si="16"/>
        <v>67</v>
      </c>
      <c r="E899" s="4">
        <v>14073</v>
      </c>
      <c r="F899" s="4">
        <v>1995</v>
      </c>
    </row>
    <row r="900" spans="1:6" x14ac:dyDescent="0.35">
      <c r="A900" s="4" t="s">
        <v>1058</v>
      </c>
      <c r="B900" s="4" t="s">
        <v>1059</v>
      </c>
      <c r="C900" s="4">
        <v>4.5999999999999996</v>
      </c>
      <c r="D900" s="6">
        <f t="shared" si="16"/>
        <v>50</v>
      </c>
      <c r="E900" s="4">
        <v>34690</v>
      </c>
      <c r="F900" s="4">
        <v>1994</v>
      </c>
    </row>
    <row r="901" spans="1:6" x14ac:dyDescent="0.35">
      <c r="A901" s="4" t="s">
        <v>310</v>
      </c>
      <c r="B901" s="4" t="s">
        <v>217</v>
      </c>
      <c r="C901" s="4">
        <v>3.2</v>
      </c>
      <c r="D901" s="6">
        <f t="shared" si="16"/>
        <v>89</v>
      </c>
      <c r="E901" s="4">
        <v>12633</v>
      </c>
      <c r="F901" s="4">
        <v>1994</v>
      </c>
    </row>
    <row r="902" spans="1:6" x14ac:dyDescent="0.35">
      <c r="A902" s="4" t="s">
        <v>1677</v>
      </c>
      <c r="B902" s="4" t="s">
        <v>140</v>
      </c>
      <c r="C902" s="4">
        <v>5</v>
      </c>
      <c r="D902" s="6">
        <f t="shared" si="16"/>
        <v>18</v>
      </c>
      <c r="E902" s="4">
        <v>87941</v>
      </c>
      <c r="F902" s="4">
        <v>1994</v>
      </c>
    </row>
    <row r="903" spans="1:6" x14ac:dyDescent="0.35">
      <c r="A903" s="4" t="s">
        <v>348</v>
      </c>
      <c r="B903" s="4" t="s">
        <v>349</v>
      </c>
      <c r="C903" s="4">
        <v>3.4</v>
      </c>
      <c r="D903" s="6">
        <f t="shared" si="16"/>
        <v>85</v>
      </c>
      <c r="E903" s="4">
        <v>26805</v>
      </c>
      <c r="F903" s="4">
        <v>1994</v>
      </c>
    </row>
    <row r="904" spans="1:6" x14ac:dyDescent="0.35">
      <c r="A904" s="4" t="s">
        <v>636</v>
      </c>
      <c r="B904" s="4" t="s">
        <v>178</v>
      </c>
      <c r="C904" s="4">
        <v>4.0999999999999996</v>
      </c>
      <c r="D904" s="6">
        <f t="shared" si="16"/>
        <v>73</v>
      </c>
      <c r="E904" s="4">
        <v>76574</v>
      </c>
      <c r="F904" s="4">
        <v>1994</v>
      </c>
    </row>
    <row r="905" spans="1:6" x14ac:dyDescent="0.35">
      <c r="A905" s="4" t="s">
        <v>369</v>
      </c>
      <c r="B905" s="4" t="s">
        <v>214</v>
      </c>
      <c r="C905" s="4">
        <v>3.5</v>
      </c>
      <c r="D905" s="6">
        <f t="shared" si="16"/>
        <v>82</v>
      </c>
      <c r="E905" s="4">
        <v>36715</v>
      </c>
      <c r="F905" s="4">
        <v>1994</v>
      </c>
    </row>
    <row r="906" spans="1:6" x14ac:dyDescent="0.35">
      <c r="A906" s="4" t="s">
        <v>1069</v>
      </c>
      <c r="B906" s="4" t="s">
        <v>134</v>
      </c>
      <c r="C906" s="4">
        <v>4.5999999999999996</v>
      </c>
      <c r="D906" s="6">
        <f t="shared" si="16"/>
        <v>49</v>
      </c>
      <c r="E906" s="4">
        <v>25861</v>
      </c>
      <c r="F906" s="4">
        <v>1994</v>
      </c>
    </row>
    <row r="907" spans="1:6" x14ac:dyDescent="0.35">
      <c r="A907" s="4" t="s">
        <v>989</v>
      </c>
      <c r="B907" s="4" t="s">
        <v>549</v>
      </c>
      <c r="C907" s="4">
        <v>4.5</v>
      </c>
      <c r="D907" s="6">
        <f t="shared" si="16"/>
        <v>59</v>
      </c>
      <c r="E907" s="4">
        <v>14962</v>
      </c>
      <c r="F907" s="4">
        <v>1994</v>
      </c>
    </row>
    <row r="908" spans="1:6" x14ac:dyDescent="0.35">
      <c r="A908" s="4" t="s">
        <v>1133</v>
      </c>
      <c r="B908" s="4" t="s">
        <v>270</v>
      </c>
      <c r="C908" s="4">
        <v>4.5999999999999996</v>
      </c>
      <c r="D908" s="6">
        <f t="shared" si="16"/>
        <v>49</v>
      </c>
      <c r="E908" s="4">
        <v>12193</v>
      </c>
      <c r="F908" s="4">
        <v>1994</v>
      </c>
    </row>
    <row r="909" spans="1:6" x14ac:dyDescent="0.35">
      <c r="A909" s="4" t="s">
        <v>1168</v>
      </c>
      <c r="B909" s="4" t="s">
        <v>944</v>
      </c>
      <c r="C909" s="4">
        <v>4.7</v>
      </c>
      <c r="D909" s="6">
        <f t="shared" si="16"/>
        <v>42</v>
      </c>
      <c r="E909" s="4">
        <v>74118</v>
      </c>
      <c r="F909" s="4">
        <v>1994</v>
      </c>
    </row>
    <row r="910" spans="1:6" x14ac:dyDescent="0.35">
      <c r="A910" s="4" t="s">
        <v>240</v>
      </c>
      <c r="B910" s="4" t="s">
        <v>11</v>
      </c>
      <c r="C910" s="4">
        <v>2.8</v>
      </c>
      <c r="D910" s="6">
        <f t="shared" si="16"/>
        <v>85</v>
      </c>
      <c r="E910" s="4">
        <v>10574</v>
      </c>
      <c r="F910" s="4">
        <v>1994</v>
      </c>
    </row>
    <row r="911" spans="1:6" x14ac:dyDescent="0.35">
      <c r="A911" s="4" t="s">
        <v>1788</v>
      </c>
      <c r="B911" s="4" t="s">
        <v>1789</v>
      </c>
      <c r="C911" s="4">
        <v>5</v>
      </c>
      <c r="D911" s="6">
        <f t="shared" si="16"/>
        <v>18</v>
      </c>
      <c r="E911" s="4">
        <v>14933</v>
      </c>
      <c r="F911" s="4">
        <v>1994</v>
      </c>
    </row>
    <row r="912" spans="1:6" x14ac:dyDescent="0.35">
      <c r="A912" s="4" t="s">
        <v>975</v>
      </c>
      <c r="B912" s="4" t="s">
        <v>976</v>
      </c>
      <c r="C912" s="4">
        <v>4.5</v>
      </c>
      <c r="D912" s="6">
        <f t="shared" si="16"/>
        <v>56</v>
      </c>
      <c r="E912" s="4">
        <v>22416</v>
      </c>
      <c r="F912" s="4">
        <v>1994</v>
      </c>
    </row>
    <row r="913" spans="1:6" x14ac:dyDescent="0.35">
      <c r="A913" s="4" t="s">
        <v>573</v>
      </c>
      <c r="B913" s="4" t="s">
        <v>178</v>
      </c>
      <c r="C913" s="4">
        <v>3.9</v>
      </c>
      <c r="D913" s="6">
        <f t="shared" si="16"/>
        <v>68</v>
      </c>
      <c r="E913" s="4">
        <v>14096</v>
      </c>
      <c r="F913" s="4">
        <v>1994</v>
      </c>
    </row>
    <row r="914" spans="1:6" x14ac:dyDescent="0.35">
      <c r="A914" s="4" t="s">
        <v>2077</v>
      </c>
      <c r="B914" s="4" t="s">
        <v>146</v>
      </c>
      <c r="C914" s="4">
        <v>5.0999999999999996</v>
      </c>
      <c r="D914" s="6">
        <f t="shared" si="16"/>
        <v>4</v>
      </c>
      <c r="E914" s="4">
        <v>10754</v>
      </c>
      <c r="F914" s="4">
        <v>1994</v>
      </c>
    </row>
    <row r="915" spans="1:6" x14ac:dyDescent="0.35">
      <c r="A915" s="4" t="s">
        <v>1157</v>
      </c>
      <c r="B915" s="4" t="s">
        <v>524</v>
      </c>
      <c r="C915" s="4">
        <v>4.5999999999999996</v>
      </c>
      <c r="D915" s="6">
        <f t="shared" si="16"/>
        <v>46</v>
      </c>
      <c r="E915" s="4">
        <v>10089</v>
      </c>
      <c r="F915" s="4">
        <v>1994</v>
      </c>
    </row>
    <row r="916" spans="1:6" x14ac:dyDescent="0.35">
      <c r="A916" s="4" t="s">
        <v>1459</v>
      </c>
      <c r="B916" s="4" t="s">
        <v>152</v>
      </c>
      <c r="C916" s="4">
        <v>4.8</v>
      </c>
      <c r="D916" s="6">
        <f t="shared" si="16"/>
        <v>30</v>
      </c>
      <c r="E916" s="4">
        <v>14707</v>
      </c>
      <c r="F916" s="4">
        <v>1993</v>
      </c>
    </row>
    <row r="917" spans="1:6" x14ac:dyDescent="0.35">
      <c r="A917" s="4" t="s">
        <v>1969</v>
      </c>
      <c r="B917" s="4" t="s">
        <v>44</v>
      </c>
      <c r="C917" s="4">
        <v>5.0999999999999996</v>
      </c>
      <c r="D917" s="6">
        <f t="shared" si="16"/>
        <v>4</v>
      </c>
      <c r="E917" s="4">
        <v>20183</v>
      </c>
      <c r="F917" s="4">
        <v>1993</v>
      </c>
    </row>
    <row r="918" spans="1:6" x14ac:dyDescent="0.35">
      <c r="A918" s="4" t="s">
        <v>1364</v>
      </c>
      <c r="B918" s="4" t="s">
        <v>178</v>
      </c>
      <c r="C918" s="4">
        <v>4.8</v>
      </c>
      <c r="D918" s="6">
        <f t="shared" si="16"/>
        <v>29</v>
      </c>
      <c r="E918" s="4">
        <v>37029</v>
      </c>
      <c r="F918" s="4">
        <v>1993</v>
      </c>
    </row>
    <row r="919" spans="1:6" x14ac:dyDescent="0.35">
      <c r="A919" s="4" t="s">
        <v>688</v>
      </c>
      <c r="B919" s="4" t="s">
        <v>217</v>
      </c>
      <c r="C919" s="4">
        <v>4.2</v>
      </c>
      <c r="D919" s="6">
        <f t="shared" si="16"/>
        <v>58</v>
      </c>
      <c r="E919" s="4">
        <v>64107</v>
      </c>
      <c r="F919" s="4">
        <v>1993</v>
      </c>
    </row>
    <row r="920" spans="1:6" x14ac:dyDescent="0.35">
      <c r="A920" s="4" t="s">
        <v>1916</v>
      </c>
      <c r="B920" s="4" t="s">
        <v>31</v>
      </c>
      <c r="C920" s="4">
        <v>5.0999999999999996</v>
      </c>
      <c r="D920" s="6">
        <f t="shared" si="16"/>
        <v>4</v>
      </c>
      <c r="E920" s="4">
        <v>34730</v>
      </c>
      <c r="F920" s="4">
        <v>1993</v>
      </c>
    </row>
    <row r="921" spans="1:6" x14ac:dyDescent="0.35">
      <c r="A921" s="4" t="s">
        <v>690</v>
      </c>
      <c r="B921" s="4" t="s">
        <v>691</v>
      </c>
      <c r="C921" s="4">
        <v>4.2</v>
      </c>
      <c r="D921" s="6">
        <f t="shared" si="16"/>
        <v>57</v>
      </c>
      <c r="E921" s="4">
        <v>55420</v>
      </c>
      <c r="F921" s="4">
        <v>1993</v>
      </c>
    </row>
    <row r="922" spans="1:6" x14ac:dyDescent="0.35">
      <c r="A922" s="4" t="s">
        <v>523</v>
      </c>
      <c r="B922" s="4" t="s">
        <v>524</v>
      </c>
      <c r="C922" s="4">
        <v>3.8</v>
      </c>
      <c r="D922" s="6">
        <f t="shared" si="16"/>
        <v>61</v>
      </c>
      <c r="E922" s="4">
        <v>10355</v>
      </c>
      <c r="F922" s="4">
        <v>1993</v>
      </c>
    </row>
    <row r="923" spans="1:6" x14ac:dyDescent="0.35">
      <c r="A923" s="4" t="s">
        <v>1989</v>
      </c>
      <c r="B923" s="4" t="s">
        <v>11</v>
      </c>
      <c r="C923" s="4">
        <v>5.0999999999999996</v>
      </c>
      <c r="D923" s="6">
        <f t="shared" si="16"/>
        <v>4</v>
      </c>
      <c r="E923" s="4">
        <v>18057</v>
      </c>
      <c r="F923" s="4">
        <v>1993</v>
      </c>
    </row>
    <row r="924" spans="1:6" x14ac:dyDescent="0.35">
      <c r="A924" s="4" t="s">
        <v>854</v>
      </c>
      <c r="B924" s="4" t="s">
        <v>455</v>
      </c>
      <c r="C924" s="4">
        <v>4.4000000000000004</v>
      </c>
      <c r="D924" s="6">
        <f t="shared" si="16"/>
        <v>52</v>
      </c>
      <c r="E924" s="4">
        <v>31357</v>
      </c>
      <c r="F924" s="4">
        <v>1993</v>
      </c>
    </row>
    <row r="925" spans="1:6" x14ac:dyDescent="0.35">
      <c r="A925" s="4" t="s">
        <v>1376</v>
      </c>
      <c r="B925" s="4" t="s">
        <v>270</v>
      </c>
      <c r="C925" s="4">
        <v>4.8</v>
      </c>
      <c r="D925" s="6">
        <f t="shared" si="16"/>
        <v>27</v>
      </c>
      <c r="E925" s="4">
        <v>31239</v>
      </c>
      <c r="F925" s="4">
        <v>1993</v>
      </c>
    </row>
    <row r="926" spans="1:6" x14ac:dyDescent="0.35">
      <c r="A926" s="4" t="s">
        <v>638</v>
      </c>
      <c r="B926" s="4" t="s">
        <v>639</v>
      </c>
      <c r="C926" s="4">
        <v>4.0999999999999996</v>
      </c>
      <c r="D926" s="6">
        <f t="shared" si="16"/>
        <v>56</v>
      </c>
      <c r="E926" s="4">
        <v>38080</v>
      </c>
      <c r="F926" s="4">
        <v>1993</v>
      </c>
    </row>
    <row r="927" spans="1:6" x14ac:dyDescent="0.35">
      <c r="A927" s="4" t="s">
        <v>1287</v>
      </c>
      <c r="B927" s="4" t="s">
        <v>933</v>
      </c>
      <c r="C927" s="4">
        <v>4.7</v>
      </c>
      <c r="D927" s="6">
        <f t="shared" si="16"/>
        <v>34</v>
      </c>
      <c r="E927" s="4">
        <v>13343</v>
      </c>
      <c r="F927" s="4">
        <v>1993</v>
      </c>
    </row>
    <row r="928" spans="1:6" x14ac:dyDescent="0.35">
      <c r="A928" s="4" t="s">
        <v>1110</v>
      </c>
      <c r="B928" s="4" t="s">
        <v>31</v>
      </c>
      <c r="C928" s="4">
        <v>4.5999999999999996</v>
      </c>
      <c r="D928" s="6">
        <f t="shared" si="16"/>
        <v>39</v>
      </c>
      <c r="E928" s="4">
        <v>16708</v>
      </c>
      <c r="F928" s="4">
        <v>1993</v>
      </c>
    </row>
    <row r="929" spans="1:6" x14ac:dyDescent="0.35">
      <c r="A929" s="4" t="s">
        <v>1740</v>
      </c>
      <c r="B929" s="4" t="s">
        <v>455</v>
      </c>
      <c r="C929" s="4">
        <v>5</v>
      </c>
      <c r="D929" s="6">
        <f t="shared" si="16"/>
        <v>14</v>
      </c>
      <c r="E929" s="4">
        <v>30157</v>
      </c>
      <c r="F929" s="4">
        <v>1993</v>
      </c>
    </row>
    <row r="930" spans="1:6" x14ac:dyDescent="0.35">
      <c r="A930" s="4" t="s">
        <v>1918</v>
      </c>
      <c r="B930" s="4" t="s">
        <v>549</v>
      </c>
      <c r="C930" s="4">
        <v>5.0999999999999996</v>
      </c>
      <c r="D930" s="6">
        <f t="shared" si="16"/>
        <v>4</v>
      </c>
      <c r="E930" s="4">
        <v>34036</v>
      </c>
      <c r="F930" s="4">
        <v>1992</v>
      </c>
    </row>
    <row r="931" spans="1:6" x14ac:dyDescent="0.35">
      <c r="A931" s="4" t="s">
        <v>842</v>
      </c>
      <c r="B931" s="4" t="s">
        <v>843</v>
      </c>
      <c r="C931" s="4">
        <v>4.4000000000000004</v>
      </c>
      <c r="D931" s="6">
        <f t="shared" si="16"/>
        <v>47</v>
      </c>
      <c r="E931" s="4">
        <v>45378</v>
      </c>
      <c r="F931" s="4">
        <v>1992</v>
      </c>
    </row>
    <row r="932" spans="1:6" x14ac:dyDescent="0.35">
      <c r="A932" s="4" t="s">
        <v>1597</v>
      </c>
      <c r="B932" s="4" t="s">
        <v>639</v>
      </c>
      <c r="C932" s="4">
        <v>4.9000000000000004</v>
      </c>
      <c r="D932" s="6">
        <f t="shared" si="16"/>
        <v>21</v>
      </c>
      <c r="E932" s="4">
        <v>23991</v>
      </c>
      <c r="F932" s="4">
        <v>1992</v>
      </c>
    </row>
    <row r="933" spans="1:6" x14ac:dyDescent="0.35">
      <c r="A933" s="4" t="s">
        <v>1562</v>
      </c>
      <c r="B933" s="4" t="s">
        <v>217</v>
      </c>
      <c r="C933" s="4">
        <v>4.9000000000000004</v>
      </c>
      <c r="D933" s="6">
        <f t="shared" si="16"/>
        <v>21</v>
      </c>
      <c r="E933" s="4">
        <v>47571</v>
      </c>
      <c r="F933" s="4">
        <v>1992</v>
      </c>
    </row>
    <row r="934" spans="1:6" x14ac:dyDescent="0.35">
      <c r="A934" s="4" t="s">
        <v>1392</v>
      </c>
      <c r="B934" s="4" t="s">
        <v>87</v>
      </c>
      <c r="C934" s="4">
        <v>4.8</v>
      </c>
      <c r="D934" s="6">
        <f t="shared" si="16"/>
        <v>23</v>
      </c>
      <c r="E934" s="4">
        <v>25429</v>
      </c>
      <c r="F934" s="4">
        <v>1992</v>
      </c>
    </row>
    <row r="935" spans="1:6" x14ac:dyDescent="0.35">
      <c r="A935" s="4" t="s">
        <v>1139</v>
      </c>
      <c r="B935" s="4" t="s">
        <v>62</v>
      </c>
      <c r="C935" s="4">
        <v>4.5999999999999996</v>
      </c>
      <c r="D935" s="6">
        <f t="shared" si="16"/>
        <v>34</v>
      </c>
      <c r="E935" s="4">
        <v>11373</v>
      </c>
      <c r="F935" s="4">
        <v>1991</v>
      </c>
    </row>
    <row r="936" spans="1:6" x14ac:dyDescent="0.35">
      <c r="A936" s="4" t="s">
        <v>1151</v>
      </c>
      <c r="B936" s="4" t="s">
        <v>101</v>
      </c>
      <c r="C936" s="4">
        <v>4.5999999999999996</v>
      </c>
      <c r="D936" s="6">
        <f t="shared" si="16"/>
        <v>34</v>
      </c>
      <c r="E936" s="4">
        <v>10475</v>
      </c>
      <c r="F936" s="4">
        <v>1991</v>
      </c>
    </row>
    <row r="937" spans="1:6" x14ac:dyDescent="0.35">
      <c r="A937" s="4" t="s">
        <v>1595</v>
      </c>
      <c r="B937" s="4" t="s">
        <v>44</v>
      </c>
      <c r="C937" s="4">
        <v>4.9000000000000004</v>
      </c>
      <c r="D937" s="6">
        <f t="shared" si="16"/>
        <v>21</v>
      </c>
      <c r="E937" s="4">
        <v>24124</v>
      </c>
      <c r="F937" s="4">
        <v>1991</v>
      </c>
    </row>
    <row r="938" spans="1:6" x14ac:dyDescent="0.35">
      <c r="A938" s="4" t="s">
        <v>1932</v>
      </c>
      <c r="B938" s="4" t="s">
        <v>11</v>
      </c>
      <c r="C938" s="4">
        <v>5.0999999999999996</v>
      </c>
      <c r="D938" s="6">
        <f t="shared" si="16"/>
        <v>4</v>
      </c>
      <c r="E938" s="4">
        <v>28077</v>
      </c>
      <c r="F938" s="4">
        <v>1991</v>
      </c>
    </row>
    <row r="939" spans="1:6" x14ac:dyDescent="0.35">
      <c r="A939" s="4" t="s">
        <v>695</v>
      </c>
      <c r="B939" s="4" t="s">
        <v>166</v>
      </c>
      <c r="C939" s="4">
        <v>4.2</v>
      </c>
      <c r="D939" s="6">
        <f t="shared" si="16"/>
        <v>42</v>
      </c>
      <c r="E939" s="4">
        <v>48638</v>
      </c>
      <c r="F939" s="4">
        <v>1991</v>
      </c>
    </row>
    <row r="940" spans="1:6" x14ac:dyDescent="0.35">
      <c r="A940" s="4" t="s">
        <v>1182</v>
      </c>
      <c r="B940" s="4" t="s">
        <v>859</v>
      </c>
      <c r="C940" s="4">
        <v>4.7</v>
      </c>
      <c r="D940" s="6">
        <f t="shared" si="16"/>
        <v>27</v>
      </c>
      <c r="E940" s="4">
        <v>52423</v>
      </c>
      <c r="F940" s="4">
        <v>1991</v>
      </c>
    </row>
    <row r="941" spans="1:6" x14ac:dyDescent="0.35">
      <c r="A941" s="4" t="s">
        <v>997</v>
      </c>
      <c r="B941" s="4" t="s">
        <v>137</v>
      </c>
      <c r="C941" s="4">
        <v>4.5</v>
      </c>
      <c r="D941" s="6">
        <f t="shared" si="16"/>
        <v>36</v>
      </c>
      <c r="E941" s="4">
        <v>13577</v>
      </c>
      <c r="F941" s="4">
        <v>1991</v>
      </c>
    </row>
    <row r="942" spans="1:6" x14ac:dyDescent="0.35">
      <c r="A942" s="4" t="s">
        <v>260</v>
      </c>
      <c r="B942" s="4" t="s">
        <v>261</v>
      </c>
      <c r="C942" s="4">
        <v>2.9</v>
      </c>
      <c r="D942" s="6">
        <f t="shared" si="16"/>
        <v>53</v>
      </c>
      <c r="E942" s="4">
        <v>10570</v>
      </c>
      <c r="F942" s="4">
        <v>1991</v>
      </c>
    </row>
    <row r="943" spans="1:6" x14ac:dyDescent="0.35">
      <c r="A943" s="4" t="s">
        <v>2167</v>
      </c>
      <c r="B943" s="4" t="s">
        <v>82</v>
      </c>
      <c r="C943" s="4">
        <v>5.2</v>
      </c>
      <c r="D943" s="6">
        <f t="shared" si="16"/>
        <v>1</v>
      </c>
      <c r="E943" s="4">
        <v>47876</v>
      </c>
      <c r="F943" s="4">
        <v>1991</v>
      </c>
    </row>
    <row r="944" spans="1:6" x14ac:dyDescent="0.35">
      <c r="A944" s="4" t="s">
        <v>269</v>
      </c>
      <c r="B944" s="4" t="s">
        <v>270</v>
      </c>
      <c r="C944" s="4">
        <v>3</v>
      </c>
      <c r="D944" s="6">
        <f t="shared" si="16"/>
        <v>50</v>
      </c>
      <c r="E944" s="4">
        <v>35335</v>
      </c>
      <c r="F944" s="4">
        <v>1990</v>
      </c>
    </row>
    <row r="945" spans="1:6" x14ac:dyDescent="0.35">
      <c r="A945" s="4" t="s">
        <v>1934</v>
      </c>
      <c r="B945" s="4" t="s">
        <v>762</v>
      </c>
      <c r="C945" s="4">
        <v>5.0999999999999996</v>
      </c>
      <c r="D945" s="6">
        <f t="shared" si="16"/>
        <v>3</v>
      </c>
      <c r="E945" s="4">
        <v>27917</v>
      </c>
      <c r="F945" s="4">
        <v>1990</v>
      </c>
    </row>
    <row r="946" spans="1:6" x14ac:dyDescent="0.35">
      <c r="A946" s="4" t="s">
        <v>1520</v>
      </c>
      <c r="B946" s="4" t="s">
        <v>270</v>
      </c>
      <c r="C946" s="4">
        <v>4.8</v>
      </c>
      <c r="D946" s="6">
        <f t="shared" si="16"/>
        <v>19</v>
      </c>
      <c r="E946" s="4">
        <v>10133</v>
      </c>
      <c r="F946" s="4">
        <v>1990</v>
      </c>
    </row>
    <row r="947" spans="1:6" x14ac:dyDescent="0.35">
      <c r="A947" s="4" t="s">
        <v>1190</v>
      </c>
      <c r="B947" s="4" t="s">
        <v>455</v>
      </c>
      <c r="C947" s="4">
        <v>4.7</v>
      </c>
      <c r="D947" s="6">
        <f t="shared" si="16"/>
        <v>24</v>
      </c>
      <c r="E947" s="4">
        <v>49375</v>
      </c>
      <c r="F947" s="4">
        <v>1990</v>
      </c>
    </row>
    <row r="948" spans="1:6" x14ac:dyDescent="0.35">
      <c r="A948" s="4" t="s">
        <v>1768</v>
      </c>
      <c r="B948" s="4" t="s">
        <v>82</v>
      </c>
      <c r="C948" s="4">
        <v>5</v>
      </c>
      <c r="D948" s="6">
        <f t="shared" si="16"/>
        <v>10</v>
      </c>
      <c r="E948" s="4">
        <v>20034</v>
      </c>
      <c r="F948" s="4">
        <v>1990</v>
      </c>
    </row>
    <row r="949" spans="1:6" x14ac:dyDescent="0.35">
      <c r="A949" s="4" t="s">
        <v>1802</v>
      </c>
      <c r="B949" s="4" t="s">
        <v>76</v>
      </c>
      <c r="C949" s="4">
        <v>5</v>
      </c>
      <c r="D949" s="6">
        <f t="shared" si="16"/>
        <v>10</v>
      </c>
      <c r="E949" s="4">
        <v>13053</v>
      </c>
      <c r="F949" s="4">
        <v>1990</v>
      </c>
    </row>
    <row r="950" spans="1:6" x14ac:dyDescent="0.35">
      <c r="A950" s="4" t="s">
        <v>303</v>
      </c>
      <c r="B950" s="4" t="s">
        <v>163</v>
      </c>
      <c r="C950" s="4">
        <v>3.2</v>
      </c>
      <c r="D950" s="6">
        <f t="shared" si="16"/>
        <v>44</v>
      </c>
      <c r="E950" s="4">
        <v>15389</v>
      </c>
      <c r="F950" s="4">
        <v>1990</v>
      </c>
    </row>
    <row r="951" spans="1:6" x14ac:dyDescent="0.35">
      <c r="A951" s="4" t="s">
        <v>999</v>
      </c>
      <c r="B951" s="4" t="s">
        <v>208</v>
      </c>
      <c r="C951" s="4">
        <v>4.5</v>
      </c>
      <c r="D951" s="6">
        <f t="shared" si="16"/>
        <v>30</v>
      </c>
      <c r="E951" s="4">
        <v>13136</v>
      </c>
      <c r="F951" s="4">
        <v>1989</v>
      </c>
    </row>
    <row r="952" spans="1:6" x14ac:dyDescent="0.35">
      <c r="A952" s="4" t="s">
        <v>1942</v>
      </c>
      <c r="B952" s="4" t="s">
        <v>1075</v>
      </c>
      <c r="C952" s="4">
        <v>5.0999999999999996</v>
      </c>
      <c r="D952" s="6">
        <f t="shared" ref="D952:D1001" si="17">_xlfn.RANK.EQ(C952, C952:C1951)</f>
        <v>3</v>
      </c>
      <c r="E952" s="4">
        <v>25219</v>
      </c>
      <c r="F952" s="4">
        <v>1989</v>
      </c>
    </row>
    <row r="953" spans="1:6" x14ac:dyDescent="0.35">
      <c r="A953" s="4" t="s">
        <v>852</v>
      </c>
      <c r="B953" s="4" t="s">
        <v>214</v>
      </c>
      <c r="C953" s="4">
        <v>4.4000000000000004</v>
      </c>
      <c r="D953" s="6">
        <f t="shared" si="17"/>
        <v>30</v>
      </c>
      <c r="E953" s="4">
        <v>33689</v>
      </c>
      <c r="F953" s="4">
        <v>1989</v>
      </c>
    </row>
    <row r="954" spans="1:6" x14ac:dyDescent="0.35">
      <c r="A954" s="4" t="s">
        <v>1558</v>
      </c>
      <c r="B954" s="4" t="s">
        <v>82</v>
      </c>
      <c r="C954" s="4">
        <v>4.9000000000000004</v>
      </c>
      <c r="D954" s="6">
        <f t="shared" si="17"/>
        <v>15</v>
      </c>
      <c r="E954" s="4">
        <v>48639</v>
      </c>
      <c r="F954" s="4">
        <v>1989</v>
      </c>
    </row>
    <row r="955" spans="1:6" x14ac:dyDescent="0.35">
      <c r="A955" s="4" t="s">
        <v>95</v>
      </c>
      <c r="B955" s="4" t="s">
        <v>11</v>
      </c>
      <c r="C955" s="4">
        <v>1.8</v>
      </c>
      <c r="D955" s="6">
        <f t="shared" si="17"/>
        <v>45</v>
      </c>
      <c r="E955" s="4">
        <v>14728</v>
      </c>
      <c r="F955" s="4">
        <v>1989</v>
      </c>
    </row>
    <row r="956" spans="1:6" x14ac:dyDescent="0.35">
      <c r="A956" s="4" t="s">
        <v>946</v>
      </c>
      <c r="B956" s="4" t="s">
        <v>264</v>
      </c>
      <c r="C956" s="4">
        <v>4.5</v>
      </c>
      <c r="D956" s="6">
        <f t="shared" si="17"/>
        <v>28</v>
      </c>
      <c r="E956" s="4">
        <v>44694</v>
      </c>
      <c r="F956" s="4">
        <v>1989</v>
      </c>
    </row>
    <row r="957" spans="1:6" x14ac:dyDescent="0.35">
      <c r="A957" s="4" t="s">
        <v>1718</v>
      </c>
      <c r="B957" s="4" t="s">
        <v>143</v>
      </c>
      <c r="C957" s="4">
        <v>5</v>
      </c>
      <c r="D957" s="6">
        <f t="shared" si="17"/>
        <v>9</v>
      </c>
      <c r="E957" s="4">
        <v>35093</v>
      </c>
      <c r="F957" s="4">
        <v>1989</v>
      </c>
    </row>
    <row r="958" spans="1:6" x14ac:dyDescent="0.35">
      <c r="A958" s="4" t="s">
        <v>1695</v>
      </c>
      <c r="B958" s="4" t="s">
        <v>859</v>
      </c>
      <c r="C958" s="4">
        <v>5</v>
      </c>
      <c r="D958" s="6">
        <f t="shared" si="17"/>
        <v>9</v>
      </c>
      <c r="E958" s="4">
        <v>52274</v>
      </c>
      <c r="F958" s="4">
        <v>1989</v>
      </c>
    </row>
    <row r="959" spans="1:6" x14ac:dyDescent="0.35">
      <c r="A959" s="4" t="s">
        <v>1247</v>
      </c>
      <c r="B959" s="4" t="s">
        <v>82</v>
      </c>
      <c r="C959" s="4">
        <v>4.7</v>
      </c>
      <c r="D959" s="6">
        <f t="shared" si="17"/>
        <v>18</v>
      </c>
      <c r="E959" s="4">
        <v>21211</v>
      </c>
      <c r="F959" s="4">
        <v>1988</v>
      </c>
    </row>
    <row r="960" spans="1:6" x14ac:dyDescent="0.35">
      <c r="A960" s="4" t="s">
        <v>1052</v>
      </c>
      <c r="B960" s="4" t="s">
        <v>214</v>
      </c>
      <c r="C960" s="4">
        <v>4.5999999999999996</v>
      </c>
      <c r="D960" s="6">
        <f t="shared" si="17"/>
        <v>20</v>
      </c>
      <c r="E960" s="4">
        <v>39029</v>
      </c>
      <c r="F960" s="4">
        <v>1988</v>
      </c>
    </row>
    <row r="961" spans="1:6" x14ac:dyDescent="0.35">
      <c r="A961" s="4" t="s">
        <v>1498</v>
      </c>
      <c r="B961" s="4" t="s">
        <v>76</v>
      </c>
      <c r="C961" s="4">
        <v>4.8</v>
      </c>
      <c r="D961" s="6">
        <f t="shared" si="17"/>
        <v>13</v>
      </c>
      <c r="E961" s="4">
        <v>11365</v>
      </c>
      <c r="F961" s="4">
        <v>1988</v>
      </c>
    </row>
    <row r="962" spans="1:6" x14ac:dyDescent="0.35">
      <c r="A962" s="4" t="s">
        <v>361</v>
      </c>
      <c r="B962" s="4" t="s">
        <v>217</v>
      </c>
      <c r="C962" s="4">
        <v>3.4</v>
      </c>
      <c r="D962" s="6">
        <f t="shared" si="17"/>
        <v>32</v>
      </c>
      <c r="E962" s="4">
        <v>14836</v>
      </c>
      <c r="F962" s="4">
        <v>1988</v>
      </c>
    </row>
    <row r="963" spans="1:6" x14ac:dyDescent="0.35">
      <c r="A963" s="4" t="s">
        <v>136</v>
      </c>
      <c r="B963" s="4" t="s">
        <v>137</v>
      </c>
      <c r="C963" s="4">
        <v>2.2000000000000002</v>
      </c>
      <c r="D963" s="6">
        <f t="shared" si="17"/>
        <v>35</v>
      </c>
      <c r="E963" s="4">
        <v>12606</v>
      </c>
      <c r="F963" s="4">
        <v>1988</v>
      </c>
    </row>
    <row r="964" spans="1:6" x14ac:dyDescent="0.35">
      <c r="A964" s="4" t="s">
        <v>2175</v>
      </c>
      <c r="B964" s="4" t="s">
        <v>82</v>
      </c>
      <c r="C964" s="4">
        <v>5.2</v>
      </c>
      <c r="D964" s="6">
        <f t="shared" si="17"/>
        <v>1</v>
      </c>
      <c r="E964" s="4">
        <v>43943</v>
      </c>
      <c r="F964" s="4">
        <v>1988</v>
      </c>
    </row>
    <row r="965" spans="1:6" x14ac:dyDescent="0.35">
      <c r="A965" s="4" t="s">
        <v>501</v>
      </c>
      <c r="B965" s="4" t="s">
        <v>149</v>
      </c>
      <c r="C965" s="4">
        <v>3.8</v>
      </c>
      <c r="D965" s="6">
        <f t="shared" si="17"/>
        <v>25</v>
      </c>
      <c r="E965" s="4">
        <v>16700</v>
      </c>
      <c r="F965" s="4">
        <v>1988</v>
      </c>
    </row>
    <row r="966" spans="1:6" x14ac:dyDescent="0.35">
      <c r="A966" s="4" t="s">
        <v>2085</v>
      </c>
      <c r="B966" s="4" t="s">
        <v>1446</v>
      </c>
      <c r="C966" s="4">
        <v>5.0999999999999996</v>
      </c>
      <c r="D966" s="6">
        <f t="shared" si="17"/>
        <v>2</v>
      </c>
      <c r="E966" s="4">
        <v>10321</v>
      </c>
      <c r="F966" s="4">
        <v>1988</v>
      </c>
    </row>
    <row r="967" spans="1:6" x14ac:dyDescent="0.35">
      <c r="A967" s="4" t="s">
        <v>1500</v>
      </c>
      <c r="B967" s="4" t="s">
        <v>1501</v>
      </c>
      <c r="C967" s="4">
        <v>4.8</v>
      </c>
      <c r="D967" s="6">
        <f t="shared" si="17"/>
        <v>11</v>
      </c>
      <c r="E967" s="4">
        <v>11300</v>
      </c>
      <c r="F967" s="4">
        <v>1987</v>
      </c>
    </row>
    <row r="968" spans="1:6" x14ac:dyDescent="0.35">
      <c r="A968" s="4" t="s">
        <v>392</v>
      </c>
      <c r="B968" s="4" t="s">
        <v>227</v>
      </c>
      <c r="C968" s="4">
        <v>3.5</v>
      </c>
      <c r="D968" s="6">
        <f t="shared" si="17"/>
        <v>27</v>
      </c>
      <c r="E968" s="4">
        <v>12688</v>
      </c>
      <c r="F968" s="4">
        <v>1987</v>
      </c>
    </row>
    <row r="969" spans="1:6" x14ac:dyDescent="0.35">
      <c r="A969" s="4" t="s">
        <v>443</v>
      </c>
      <c r="B969" s="4" t="s">
        <v>163</v>
      </c>
      <c r="C969" s="4">
        <v>3.7</v>
      </c>
      <c r="D969" s="6">
        <f t="shared" si="17"/>
        <v>25</v>
      </c>
      <c r="E969" s="4">
        <v>53834</v>
      </c>
      <c r="F969" s="4">
        <v>1987</v>
      </c>
    </row>
    <row r="970" spans="1:6" x14ac:dyDescent="0.35">
      <c r="A970" s="4" t="s">
        <v>2009</v>
      </c>
      <c r="B970" s="4" t="s">
        <v>11</v>
      </c>
      <c r="C970" s="4">
        <v>5.0999999999999996</v>
      </c>
      <c r="D970" s="6">
        <f t="shared" si="17"/>
        <v>2</v>
      </c>
      <c r="E970" s="4">
        <v>15680</v>
      </c>
      <c r="F970" s="4">
        <v>1987</v>
      </c>
    </row>
    <row r="971" spans="1:6" x14ac:dyDescent="0.35">
      <c r="A971" s="4" t="s">
        <v>1705</v>
      </c>
      <c r="B971" s="4" t="s">
        <v>214</v>
      </c>
      <c r="C971" s="4">
        <v>5</v>
      </c>
      <c r="D971" s="6">
        <f t="shared" si="17"/>
        <v>6</v>
      </c>
      <c r="E971" s="4">
        <v>46568</v>
      </c>
      <c r="F971" s="4">
        <v>1987</v>
      </c>
    </row>
    <row r="972" spans="1:6" x14ac:dyDescent="0.35">
      <c r="A972" s="4" t="s">
        <v>263</v>
      </c>
      <c r="B972" s="4" t="s">
        <v>264</v>
      </c>
      <c r="C972" s="4">
        <v>3</v>
      </c>
      <c r="D972" s="6">
        <f t="shared" si="17"/>
        <v>25</v>
      </c>
      <c r="E972" s="4">
        <v>50698</v>
      </c>
      <c r="F972" s="4">
        <v>1987</v>
      </c>
    </row>
    <row r="973" spans="1:6" x14ac:dyDescent="0.35">
      <c r="A973" s="4" t="s">
        <v>1295</v>
      </c>
      <c r="B973" s="4" t="s">
        <v>178</v>
      </c>
      <c r="C973" s="4">
        <v>4.7</v>
      </c>
      <c r="D973" s="6">
        <f t="shared" si="17"/>
        <v>12</v>
      </c>
      <c r="E973" s="4">
        <v>12298</v>
      </c>
      <c r="F973" s="4">
        <v>1987</v>
      </c>
    </row>
    <row r="974" spans="1:6" x14ac:dyDescent="0.35">
      <c r="A974" s="4" t="s">
        <v>1135</v>
      </c>
      <c r="B974" s="4" t="s">
        <v>270</v>
      </c>
      <c r="C974" s="4">
        <v>4.5999999999999996</v>
      </c>
      <c r="D974" s="6">
        <f t="shared" si="17"/>
        <v>13</v>
      </c>
      <c r="E974" s="4">
        <v>12050</v>
      </c>
      <c r="F974" s="4">
        <v>1986</v>
      </c>
    </row>
    <row r="975" spans="1:6" x14ac:dyDescent="0.35">
      <c r="A975" s="4" t="s">
        <v>1186</v>
      </c>
      <c r="B975" s="4" t="s">
        <v>178</v>
      </c>
      <c r="C975" s="4">
        <v>4.7</v>
      </c>
      <c r="D975" s="6">
        <f t="shared" si="17"/>
        <v>12</v>
      </c>
      <c r="E975" s="4">
        <v>51954</v>
      </c>
      <c r="F975" s="4">
        <v>1986</v>
      </c>
    </row>
    <row r="976" spans="1:6" x14ac:dyDescent="0.35">
      <c r="A976" s="4" t="s">
        <v>1147</v>
      </c>
      <c r="B976" s="4" t="s">
        <v>178</v>
      </c>
      <c r="C976" s="4">
        <v>4.5999999999999996</v>
      </c>
      <c r="D976" s="6">
        <f t="shared" si="17"/>
        <v>12</v>
      </c>
      <c r="E976" s="4">
        <v>10686</v>
      </c>
      <c r="F976" s="4">
        <v>1986</v>
      </c>
    </row>
    <row r="977" spans="1:6" x14ac:dyDescent="0.35">
      <c r="A977" s="4" t="s">
        <v>1893</v>
      </c>
      <c r="B977" s="4" t="s">
        <v>166</v>
      </c>
      <c r="C977" s="4">
        <v>5.0999999999999996</v>
      </c>
      <c r="D977" s="6">
        <f t="shared" si="17"/>
        <v>2</v>
      </c>
      <c r="E977" s="4">
        <v>45645</v>
      </c>
      <c r="F977" s="4">
        <v>1985</v>
      </c>
    </row>
    <row r="978" spans="1:6" x14ac:dyDescent="0.35">
      <c r="A978" s="4" t="s">
        <v>1348</v>
      </c>
      <c r="B978" s="4" t="s">
        <v>175</v>
      </c>
      <c r="C978" s="4">
        <v>4.8</v>
      </c>
      <c r="D978" s="6">
        <f t="shared" si="17"/>
        <v>8</v>
      </c>
      <c r="E978" s="4">
        <v>45693</v>
      </c>
      <c r="F978" s="4">
        <v>1985</v>
      </c>
    </row>
    <row r="979" spans="1:6" x14ac:dyDescent="0.35">
      <c r="A979" s="4" t="s">
        <v>869</v>
      </c>
      <c r="B979" s="4" t="s">
        <v>166</v>
      </c>
      <c r="C979" s="4">
        <v>4.4000000000000004</v>
      </c>
      <c r="D979" s="6">
        <f t="shared" si="17"/>
        <v>12</v>
      </c>
      <c r="E979" s="4">
        <v>24457</v>
      </c>
      <c r="F979" s="4">
        <v>1984</v>
      </c>
    </row>
    <row r="980" spans="1:6" x14ac:dyDescent="0.35">
      <c r="A980" s="4" t="s">
        <v>744</v>
      </c>
      <c r="B980" s="4" t="s">
        <v>270</v>
      </c>
      <c r="C980" s="4">
        <v>4.2</v>
      </c>
      <c r="D980" s="6">
        <f t="shared" si="17"/>
        <v>12</v>
      </c>
      <c r="E980" s="4">
        <v>10673</v>
      </c>
      <c r="F980" s="4">
        <v>1984</v>
      </c>
    </row>
    <row r="981" spans="1:6" x14ac:dyDescent="0.35">
      <c r="A981" s="4" t="s">
        <v>1991</v>
      </c>
      <c r="B981" s="4" t="s">
        <v>843</v>
      </c>
      <c r="C981" s="4">
        <v>5.0999999999999996</v>
      </c>
      <c r="D981" s="6">
        <f t="shared" si="17"/>
        <v>2</v>
      </c>
      <c r="E981" s="4">
        <v>17772</v>
      </c>
      <c r="F981" s="4">
        <v>1984</v>
      </c>
    </row>
    <row r="982" spans="1:6" x14ac:dyDescent="0.35">
      <c r="A982" s="4" t="s">
        <v>1687</v>
      </c>
      <c r="B982" s="4" t="s">
        <v>178</v>
      </c>
      <c r="C982" s="4">
        <v>5</v>
      </c>
      <c r="D982" s="6">
        <f t="shared" si="17"/>
        <v>4</v>
      </c>
      <c r="E982" s="4">
        <v>76095</v>
      </c>
      <c r="F982" s="4">
        <v>1983</v>
      </c>
    </row>
    <row r="983" spans="1:6" x14ac:dyDescent="0.35">
      <c r="A983" s="4" t="s">
        <v>1426</v>
      </c>
      <c r="B983" s="4" t="s">
        <v>158</v>
      </c>
      <c r="C983" s="4">
        <v>4.8</v>
      </c>
      <c r="D983" s="6">
        <f t="shared" si="17"/>
        <v>6</v>
      </c>
      <c r="E983" s="4">
        <v>17890</v>
      </c>
      <c r="F983" s="4">
        <v>1983</v>
      </c>
    </row>
    <row r="984" spans="1:6" x14ac:dyDescent="0.35">
      <c r="A984" s="4" t="s">
        <v>1804</v>
      </c>
      <c r="B984" s="4" t="s">
        <v>11</v>
      </c>
      <c r="C984" s="4">
        <v>5</v>
      </c>
      <c r="D984" s="6">
        <f t="shared" si="17"/>
        <v>4</v>
      </c>
      <c r="E984" s="4">
        <v>12959</v>
      </c>
      <c r="F984" s="4">
        <v>1983</v>
      </c>
    </row>
    <row r="985" spans="1:6" x14ac:dyDescent="0.35">
      <c r="A985" s="4" t="s">
        <v>445</v>
      </c>
      <c r="B985" s="4" t="s">
        <v>264</v>
      </c>
      <c r="C985" s="4">
        <v>3.7</v>
      </c>
      <c r="D985" s="6">
        <f t="shared" si="17"/>
        <v>11</v>
      </c>
      <c r="E985" s="4">
        <v>49519</v>
      </c>
      <c r="F985" s="4">
        <v>1983</v>
      </c>
    </row>
    <row r="986" spans="1:6" x14ac:dyDescent="0.35">
      <c r="A986" s="4" t="s">
        <v>1494</v>
      </c>
      <c r="B986" s="4" t="s">
        <v>535</v>
      </c>
      <c r="C986" s="4">
        <v>4.8</v>
      </c>
      <c r="D986" s="6">
        <f t="shared" si="17"/>
        <v>5</v>
      </c>
      <c r="E986" s="4">
        <v>11454</v>
      </c>
      <c r="F986" s="4">
        <v>1982</v>
      </c>
    </row>
    <row r="987" spans="1:6" x14ac:dyDescent="0.35">
      <c r="A987" s="4" t="s">
        <v>526</v>
      </c>
      <c r="B987" s="4" t="s">
        <v>474</v>
      </c>
      <c r="C987" s="4">
        <v>3.8</v>
      </c>
      <c r="D987" s="6">
        <f t="shared" si="17"/>
        <v>8</v>
      </c>
      <c r="E987" s="4">
        <v>10164</v>
      </c>
      <c r="F987" s="4">
        <v>1982</v>
      </c>
    </row>
    <row r="988" spans="1:6" x14ac:dyDescent="0.35">
      <c r="A988" s="4" t="s">
        <v>2155</v>
      </c>
      <c r="B988" s="4" t="s">
        <v>804</v>
      </c>
      <c r="C988" s="4">
        <v>5.2</v>
      </c>
      <c r="D988" s="6">
        <f t="shared" si="17"/>
        <v>1</v>
      </c>
      <c r="E988" s="4">
        <v>63302</v>
      </c>
      <c r="F988" s="4">
        <v>1982</v>
      </c>
    </row>
    <row r="989" spans="1:6" x14ac:dyDescent="0.35">
      <c r="A989" s="4" t="s">
        <v>1050</v>
      </c>
      <c r="B989" s="4" t="s">
        <v>109</v>
      </c>
      <c r="C989" s="4">
        <v>4.5999999999999996</v>
      </c>
      <c r="D989" s="6">
        <f t="shared" si="17"/>
        <v>4</v>
      </c>
      <c r="E989" s="4">
        <v>39219</v>
      </c>
      <c r="F989" s="4">
        <v>1982</v>
      </c>
    </row>
    <row r="990" spans="1:6" x14ac:dyDescent="0.35">
      <c r="A990" s="4" t="s">
        <v>2061</v>
      </c>
      <c r="B990" s="4" t="s">
        <v>649</v>
      </c>
      <c r="C990" s="4">
        <v>5.0999999999999996</v>
      </c>
      <c r="D990" s="6">
        <f t="shared" si="17"/>
        <v>1</v>
      </c>
      <c r="E990" s="4">
        <v>11052</v>
      </c>
      <c r="F990" s="4">
        <v>1981</v>
      </c>
    </row>
    <row r="991" spans="1:6" x14ac:dyDescent="0.35">
      <c r="A991" s="4" t="s">
        <v>2075</v>
      </c>
      <c r="B991" s="4" t="s">
        <v>1900</v>
      </c>
      <c r="C991" s="4">
        <v>5.0999999999999996</v>
      </c>
      <c r="D991" s="6">
        <f t="shared" si="17"/>
        <v>1</v>
      </c>
      <c r="E991" s="4">
        <v>10769</v>
      </c>
      <c r="F991" s="4">
        <v>1980</v>
      </c>
    </row>
    <row r="992" spans="1:6" x14ac:dyDescent="0.35">
      <c r="A992" s="4" t="s">
        <v>130</v>
      </c>
      <c r="B992" s="4" t="s">
        <v>131</v>
      </c>
      <c r="C992" s="4">
        <v>2.2000000000000002</v>
      </c>
      <c r="D992" s="6">
        <f t="shared" si="17"/>
        <v>7</v>
      </c>
      <c r="E992" s="4">
        <v>17278</v>
      </c>
      <c r="F992" s="4">
        <v>1978</v>
      </c>
    </row>
    <row r="993" spans="1:6" x14ac:dyDescent="0.35">
      <c r="A993" s="4" t="s">
        <v>1114</v>
      </c>
      <c r="B993" s="4" t="s">
        <v>1115</v>
      </c>
      <c r="C993" s="4">
        <v>4.5999999999999996</v>
      </c>
      <c r="D993" s="6">
        <f t="shared" si="17"/>
        <v>2</v>
      </c>
      <c r="E993" s="4">
        <v>15311</v>
      </c>
      <c r="F993" s="4">
        <v>1978</v>
      </c>
    </row>
    <row r="994" spans="1:6" x14ac:dyDescent="0.35">
      <c r="A994" s="4" t="s">
        <v>497</v>
      </c>
      <c r="B994" s="4" t="s">
        <v>76</v>
      </c>
      <c r="C994" s="4">
        <v>3.8</v>
      </c>
      <c r="D994" s="6">
        <f t="shared" si="17"/>
        <v>3</v>
      </c>
      <c r="E994" s="4">
        <v>29122</v>
      </c>
      <c r="F994" s="4">
        <v>1977</v>
      </c>
    </row>
    <row r="995" spans="1:6" x14ac:dyDescent="0.35">
      <c r="A995" s="4" t="s">
        <v>328</v>
      </c>
      <c r="B995" s="4" t="s">
        <v>152</v>
      </c>
      <c r="C995" s="4">
        <v>3.3</v>
      </c>
      <c r="D995" s="6">
        <f t="shared" si="17"/>
        <v>3</v>
      </c>
      <c r="E995" s="4">
        <v>19892</v>
      </c>
      <c r="F995" s="4">
        <v>1970</v>
      </c>
    </row>
    <row r="996" spans="1:6" x14ac:dyDescent="0.35">
      <c r="A996" s="4" t="s">
        <v>1726</v>
      </c>
      <c r="B996" s="4" t="s">
        <v>11</v>
      </c>
      <c r="C996" s="4">
        <v>5</v>
      </c>
      <c r="D996" s="6">
        <f t="shared" si="17"/>
        <v>1</v>
      </c>
      <c r="E996" s="4">
        <v>33071</v>
      </c>
      <c r="F996" s="4">
        <v>1967</v>
      </c>
    </row>
    <row r="997" spans="1:6" x14ac:dyDescent="0.35">
      <c r="A997" s="4" t="s">
        <v>75</v>
      </c>
      <c r="B997" s="4" t="s">
        <v>76</v>
      </c>
      <c r="C997" s="4">
        <v>1.7</v>
      </c>
      <c r="D997" s="6">
        <f t="shared" si="17"/>
        <v>5</v>
      </c>
      <c r="E997" s="4">
        <v>37830</v>
      </c>
      <c r="F997" s="4">
        <v>1966</v>
      </c>
    </row>
    <row r="998" spans="1:6" x14ac:dyDescent="0.35">
      <c r="A998" s="4" t="s">
        <v>97</v>
      </c>
      <c r="B998" s="4" t="s">
        <v>98</v>
      </c>
      <c r="C998" s="4">
        <v>1.8</v>
      </c>
      <c r="D998" s="6">
        <f t="shared" si="17"/>
        <v>4</v>
      </c>
      <c r="E998" s="4">
        <v>10108</v>
      </c>
      <c r="F998" s="4">
        <v>1965</v>
      </c>
    </row>
    <row r="999" spans="1:6" x14ac:dyDescent="0.35">
      <c r="A999" s="4" t="s">
        <v>216</v>
      </c>
      <c r="B999" s="4" t="s">
        <v>217</v>
      </c>
      <c r="C999" s="4">
        <v>2.7</v>
      </c>
      <c r="D999" s="6">
        <f t="shared" si="17"/>
        <v>2</v>
      </c>
      <c r="E999" s="4">
        <v>12767</v>
      </c>
      <c r="F999" s="4">
        <v>1964</v>
      </c>
    </row>
    <row r="1000" spans="1:6" x14ac:dyDescent="0.35">
      <c r="A1000" s="4" t="s">
        <v>111</v>
      </c>
      <c r="B1000" s="4" t="s">
        <v>98</v>
      </c>
      <c r="C1000" s="4">
        <v>1.9</v>
      </c>
      <c r="D1000" s="6">
        <f t="shared" si="17"/>
        <v>2</v>
      </c>
      <c r="E1000" s="4">
        <v>10499</v>
      </c>
      <c r="F1000" s="4">
        <v>1961</v>
      </c>
    </row>
    <row r="1001" spans="1:6" x14ac:dyDescent="0.35">
      <c r="A1001" s="4" t="s">
        <v>532</v>
      </c>
      <c r="B1001" s="4" t="s">
        <v>98</v>
      </c>
      <c r="C1001" s="4">
        <v>3.9</v>
      </c>
      <c r="D1001" s="6">
        <f t="shared" si="17"/>
        <v>1</v>
      </c>
      <c r="E1001" s="4">
        <v>41105</v>
      </c>
      <c r="F1001" s="4">
        <v>1957</v>
      </c>
    </row>
  </sheetData>
  <autoFilter ref="A1:F1001" xr:uid="{22379771-A3FF-4484-97E9-9A3EEA0C004C}">
    <sortState xmlns:xlrd2="http://schemas.microsoft.com/office/spreadsheetml/2017/richdata2" ref="A2:F1001">
      <sortCondition descending="1" ref="F1:F1001"/>
    </sortState>
  </autoFilter>
  <mergeCells count="2">
    <mergeCell ref="H3:J3"/>
    <mergeCell ref="H16:J1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19954-E4F3-41D3-8123-49A039982EA2}">
  <sheetPr codeName="Sheet4"/>
  <dimension ref="A1:R55"/>
  <sheetViews>
    <sheetView workbookViewId="0">
      <selection activeCell="F11" sqref="F11"/>
    </sheetView>
  </sheetViews>
  <sheetFormatPr defaultRowHeight="14.5" x14ac:dyDescent="0.35"/>
  <cols>
    <col min="1" max="1" width="12.7265625" style="6" customWidth="1"/>
    <col min="2" max="2" width="26.453125" style="6" customWidth="1"/>
    <col min="3" max="3" width="21" style="6" customWidth="1"/>
    <col min="4" max="4" width="22.26953125" style="6" customWidth="1"/>
    <col min="5" max="5" width="14.54296875" customWidth="1"/>
    <col min="15" max="15" width="23.1796875" customWidth="1"/>
  </cols>
  <sheetData>
    <row r="1" spans="1:18" x14ac:dyDescent="0.35">
      <c r="A1" s="7" t="s">
        <v>2234</v>
      </c>
      <c r="B1" s="3" t="s">
        <v>2235</v>
      </c>
      <c r="C1" s="3" t="s">
        <v>2358</v>
      </c>
      <c r="D1" s="3" t="s">
        <v>2359</v>
      </c>
      <c r="E1" s="3" t="s">
        <v>2233</v>
      </c>
    </row>
    <row r="2" spans="1:18" x14ac:dyDescent="0.35">
      <c r="A2" s="6" cm="1">
        <f t="array" ref="A2:A55">_xlfn.UNIQUE('Chapter - 2'!F2:F1001)</f>
        <v>2024</v>
      </c>
      <c r="B2" s="6">
        <f>COUNTIF('Chapter - 1'!F:F, A2)</f>
        <v>29</v>
      </c>
      <c r="C2" s="6">
        <f>SUMIF('Chapter - 1'!F:F, A2,'Chapter - 1'!E:E)</f>
        <v>847025</v>
      </c>
      <c r="D2" s="6">
        <f>ROUND(AVERAGEIF('Chapter - 1'!F:F, A2,'Chapter - 1'!D:D), 1)</f>
        <v>4.5</v>
      </c>
      <c r="E2" s="16"/>
    </row>
    <row r="3" spans="1:18" x14ac:dyDescent="0.35">
      <c r="A3" s="6">
        <v>2023</v>
      </c>
      <c r="B3" s="6">
        <f>COUNTIF('Chapter - 1'!F:F, A3)</f>
        <v>33</v>
      </c>
      <c r="C3" s="6">
        <f>SUMIF('Chapter - 1'!F:F, A3,'Chapter - 1'!E:E)</f>
        <v>1065820</v>
      </c>
      <c r="D3" s="6">
        <f>ROUND(AVERAGEIF('Chapter - 1'!F:F, A3,'Chapter - 1'!D:D), 1)</f>
        <v>4</v>
      </c>
    </row>
    <row r="4" spans="1:18" x14ac:dyDescent="0.35">
      <c r="A4" s="6">
        <v>2022</v>
      </c>
      <c r="B4" s="6">
        <f>COUNTIF('Chapter - 1'!F:F, A4)</f>
        <v>46</v>
      </c>
      <c r="C4" s="6">
        <f>SUMIF('Chapter - 1'!F:F, A4,'Chapter - 1'!E:E)</f>
        <v>1581172</v>
      </c>
      <c r="D4" s="6">
        <f>ROUND(AVERAGEIF('Chapter - 1'!F:F, A4,'Chapter - 1'!D:D), 1)</f>
        <v>4.2</v>
      </c>
    </row>
    <row r="5" spans="1:18" x14ac:dyDescent="0.35">
      <c r="A5" s="6">
        <v>2021</v>
      </c>
      <c r="B5" s="6">
        <f>COUNTIF('Chapter - 1'!F:F, A5)</f>
        <v>41</v>
      </c>
      <c r="C5" s="6">
        <f>SUMIF('Chapter - 1'!F:F, A5,'Chapter - 1'!E:E)</f>
        <v>1314706</v>
      </c>
      <c r="D5" s="6">
        <f>ROUND(AVERAGEIF('Chapter - 1'!F:F, A5,'Chapter - 1'!D:D), 1)</f>
        <v>4.0999999999999996</v>
      </c>
    </row>
    <row r="6" spans="1:18" x14ac:dyDescent="0.35">
      <c r="A6" s="6">
        <v>2020</v>
      </c>
      <c r="B6" s="6">
        <f>COUNTIF('Chapter - 1'!F:F, A6)</f>
        <v>47</v>
      </c>
      <c r="C6" s="6">
        <f>SUMIF('Chapter - 1'!F:F, A6,'Chapter - 1'!E:E)</f>
        <v>1145761</v>
      </c>
      <c r="D6" s="6">
        <f>ROUND(AVERAGEIF('Chapter - 1'!F:F, A6,'Chapter - 1'!D:D), 1)</f>
        <v>4.0999999999999996</v>
      </c>
    </row>
    <row r="7" spans="1:18" x14ac:dyDescent="0.35">
      <c r="A7" s="6">
        <v>2019</v>
      </c>
      <c r="B7" s="6">
        <f>COUNTIF('Chapter - 1'!F:F, A7)</f>
        <v>37</v>
      </c>
      <c r="C7" s="6">
        <f>SUMIF('Chapter - 1'!F:F, A7,'Chapter - 1'!E:E)</f>
        <v>1045626</v>
      </c>
      <c r="D7" s="6">
        <f>ROUND(AVERAGEIF('Chapter - 1'!F:F, A7,'Chapter - 1'!D:D), 1)</f>
        <v>4.2</v>
      </c>
    </row>
    <row r="8" spans="1:18" x14ac:dyDescent="0.35">
      <c r="A8" s="6">
        <v>2018</v>
      </c>
      <c r="B8" s="6">
        <f>COUNTIF('Chapter - 1'!F:F, A8)</f>
        <v>37</v>
      </c>
      <c r="C8" s="6">
        <f>SUMIF('Chapter - 1'!F:F, A8,'Chapter - 1'!E:E)</f>
        <v>991257</v>
      </c>
      <c r="D8" s="6">
        <f>ROUND(AVERAGEIF('Chapter - 1'!F:F, A8,'Chapter - 1'!D:D), 1)</f>
        <v>4.2</v>
      </c>
    </row>
    <row r="9" spans="1:18" x14ac:dyDescent="0.35">
      <c r="A9" s="6">
        <v>2017</v>
      </c>
      <c r="B9" s="6">
        <f>COUNTIF('Chapter - 1'!F:F, A9)</f>
        <v>39</v>
      </c>
      <c r="C9" s="6">
        <f>SUMIF('Chapter - 1'!F:F, A9,'Chapter - 1'!E:E)</f>
        <v>1400603</v>
      </c>
      <c r="D9" s="6">
        <f>ROUND(AVERAGEIF('Chapter - 1'!F:F, A9,'Chapter - 1'!D:D), 1)</f>
        <v>4.3</v>
      </c>
      <c r="P9" s="95"/>
      <c r="Q9" s="95"/>
      <c r="R9" s="95"/>
    </row>
    <row r="10" spans="1:18" x14ac:dyDescent="0.35">
      <c r="A10" s="6">
        <v>2016</v>
      </c>
      <c r="B10" s="6">
        <f>COUNTIF('Chapter - 1'!F:F, A10)</f>
        <v>29</v>
      </c>
      <c r="C10" s="6">
        <f>SUMIF('Chapter - 1'!F:F, A10,'Chapter - 1'!E:E)</f>
        <v>944673</v>
      </c>
      <c r="D10" s="6">
        <f>ROUND(AVERAGEIF('Chapter - 1'!F:F, A10,'Chapter - 1'!D:D), 1)</f>
        <v>4.5</v>
      </c>
    </row>
    <row r="11" spans="1:18" x14ac:dyDescent="0.35">
      <c r="A11" s="6">
        <v>2015</v>
      </c>
      <c r="B11" s="6">
        <f>COUNTIF('Chapter - 1'!F:F, A11)</f>
        <v>35</v>
      </c>
      <c r="C11" s="6">
        <f>SUMIF('Chapter - 1'!F:F, A11,'Chapter - 1'!E:E)</f>
        <v>1477662</v>
      </c>
      <c r="D11" s="6">
        <f>ROUND(AVERAGEIF('Chapter - 1'!F:F, A11,'Chapter - 1'!D:D), 1)</f>
        <v>4.4000000000000004</v>
      </c>
    </row>
    <row r="12" spans="1:18" x14ac:dyDescent="0.35">
      <c r="A12" s="6">
        <v>2014</v>
      </c>
      <c r="B12" s="6">
        <f>COUNTIF('Chapter - 1'!F:F, A12)</f>
        <v>38</v>
      </c>
      <c r="C12" s="6">
        <f>SUMIF('Chapter - 1'!F:F, A12,'Chapter - 1'!E:E)</f>
        <v>1130910</v>
      </c>
      <c r="D12" s="6">
        <f>ROUND(AVERAGEIF('Chapter - 1'!F:F, A12,'Chapter - 1'!D:D), 1)</f>
        <v>4.5</v>
      </c>
    </row>
    <row r="13" spans="1:18" x14ac:dyDescent="0.35">
      <c r="A13" s="6">
        <v>2013</v>
      </c>
      <c r="B13" s="6">
        <f>COUNTIF('Chapter - 1'!F:F, A13)</f>
        <v>26</v>
      </c>
      <c r="C13" s="6">
        <f>SUMIF('Chapter - 1'!F:F, A13,'Chapter - 1'!E:E)</f>
        <v>1106743</v>
      </c>
      <c r="D13" s="6">
        <f>ROUND(AVERAGEIF('Chapter - 1'!F:F, A13,'Chapter - 1'!D:D), 1)</f>
        <v>4.4000000000000004</v>
      </c>
    </row>
    <row r="14" spans="1:18" x14ac:dyDescent="0.35">
      <c r="A14" s="6">
        <v>2012</v>
      </c>
      <c r="B14" s="6">
        <f>COUNTIF('Chapter - 1'!F:F, A14)</f>
        <v>30</v>
      </c>
      <c r="C14" s="6">
        <f>SUMIF('Chapter - 1'!F:F, A14,'Chapter - 1'!E:E)</f>
        <v>886017</v>
      </c>
      <c r="D14" s="6">
        <f>ROUND(AVERAGEIF('Chapter - 1'!F:F, A14,'Chapter - 1'!D:D), 1)</f>
        <v>4.5</v>
      </c>
    </row>
    <row r="15" spans="1:18" x14ac:dyDescent="0.35">
      <c r="A15" s="6">
        <v>2011</v>
      </c>
      <c r="B15" s="6">
        <f>COUNTIF('Chapter - 1'!F:F, A15)</f>
        <v>39</v>
      </c>
      <c r="C15" s="6">
        <f>SUMIF('Chapter - 1'!F:F, A15,'Chapter - 1'!E:E)</f>
        <v>1660998</v>
      </c>
      <c r="D15" s="6">
        <f>ROUND(AVERAGEIF('Chapter - 1'!F:F, A15,'Chapter - 1'!D:D), 1)</f>
        <v>4.4000000000000004</v>
      </c>
    </row>
    <row r="16" spans="1:18" x14ac:dyDescent="0.35">
      <c r="A16" s="6">
        <v>2010</v>
      </c>
      <c r="B16" s="6">
        <f>COUNTIF('Chapter - 1'!F:F, A16)</f>
        <v>37</v>
      </c>
      <c r="C16" s="6">
        <f>SUMIF('Chapter - 1'!F:F, A16,'Chapter - 1'!E:E)</f>
        <v>1522836</v>
      </c>
      <c r="D16" s="6">
        <f>ROUND(AVERAGEIF('Chapter - 1'!F:F, A16,'Chapter - 1'!D:D), 1)</f>
        <v>4.4000000000000004</v>
      </c>
    </row>
    <row r="17" spans="1:4" x14ac:dyDescent="0.35">
      <c r="A17" s="6">
        <v>2009</v>
      </c>
      <c r="B17" s="6">
        <f>COUNTIF('Chapter - 1'!F:F, A17)</f>
        <v>39</v>
      </c>
      <c r="C17" s="6">
        <f>SUMIF('Chapter - 1'!F:F, A17,'Chapter - 1'!E:E)</f>
        <v>1582981</v>
      </c>
      <c r="D17" s="6">
        <f>ROUND(AVERAGEIF('Chapter - 1'!F:F, A17,'Chapter - 1'!D:D), 1)</f>
        <v>4.3</v>
      </c>
    </row>
    <row r="18" spans="1:4" x14ac:dyDescent="0.35">
      <c r="A18" s="6">
        <v>2008</v>
      </c>
      <c r="B18" s="6">
        <f>COUNTIF('Chapter - 1'!F:F, A18)</f>
        <v>40</v>
      </c>
      <c r="C18" s="6">
        <f>SUMIF('Chapter - 1'!F:F, A18,'Chapter - 1'!E:E)</f>
        <v>1655037</v>
      </c>
      <c r="D18" s="6">
        <f>ROUND(AVERAGEIF('Chapter - 1'!F:F, A18,'Chapter - 1'!D:D), 1)</f>
        <v>4.3</v>
      </c>
    </row>
    <row r="19" spans="1:4" x14ac:dyDescent="0.35">
      <c r="A19" s="6">
        <v>2007</v>
      </c>
      <c r="B19" s="6">
        <f>COUNTIF('Chapter - 1'!F:F, A19)</f>
        <v>32</v>
      </c>
      <c r="C19" s="6">
        <f>SUMIF('Chapter - 1'!F:F, A19,'Chapter - 1'!E:E)</f>
        <v>1077106</v>
      </c>
      <c r="D19" s="6">
        <f>ROUND(AVERAGEIF('Chapter - 1'!F:F, A19,'Chapter - 1'!D:D), 1)</f>
        <v>4.2</v>
      </c>
    </row>
    <row r="20" spans="1:4" x14ac:dyDescent="0.35">
      <c r="A20" s="6">
        <v>2006</v>
      </c>
      <c r="B20" s="6">
        <f>COUNTIF('Chapter - 1'!F:F, A20)</f>
        <v>38</v>
      </c>
      <c r="C20" s="6">
        <f>SUMIF('Chapter - 1'!F:F, A20,'Chapter - 1'!E:E)</f>
        <v>1554933</v>
      </c>
      <c r="D20" s="6">
        <f>ROUND(AVERAGEIF('Chapter - 1'!F:F, A20,'Chapter - 1'!D:D), 1)</f>
        <v>4.4000000000000004</v>
      </c>
    </row>
    <row r="21" spans="1:4" x14ac:dyDescent="0.35">
      <c r="A21" s="6">
        <v>2005</v>
      </c>
      <c r="B21" s="6">
        <f>COUNTIF('Chapter - 1'!F:F, A21)</f>
        <v>32</v>
      </c>
      <c r="C21" s="6">
        <f>SUMIF('Chapter - 1'!F:F, A21,'Chapter - 1'!E:E)</f>
        <v>1328705</v>
      </c>
      <c r="D21" s="6">
        <f>ROUND(AVERAGEIF('Chapter - 1'!F:F, A21,'Chapter - 1'!D:D), 1)</f>
        <v>4.5</v>
      </c>
    </row>
    <row r="22" spans="1:4" x14ac:dyDescent="0.35">
      <c r="A22" s="6">
        <v>2004</v>
      </c>
      <c r="B22" s="6">
        <f>COUNTIF('Chapter - 1'!F:F, A22)</f>
        <v>25</v>
      </c>
      <c r="C22" s="6">
        <f>SUMIF('Chapter - 1'!F:F, A22,'Chapter - 1'!E:E)</f>
        <v>819220</v>
      </c>
      <c r="D22" s="6">
        <f>ROUND(AVERAGEIF('Chapter - 1'!F:F, A22,'Chapter - 1'!D:D), 1)</f>
        <v>4.3</v>
      </c>
    </row>
    <row r="23" spans="1:4" x14ac:dyDescent="0.35">
      <c r="A23" s="6">
        <v>2003</v>
      </c>
      <c r="B23" s="6">
        <f>COUNTIF('Chapter - 1'!F:F, A23)</f>
        <v>22</v>
      </c>
      <c r="C23" s="6">
        <f>SUMIF('Chapter - 1'!F:F, A23,'Chapter - 1'!E:E)</f>
        <v>982503</v>
      </c>
      <c r="D23" s="6">
        <f>ROUND(AVERAGEIF('Chapter - 1'!F:F, A23,'Chapter - 1'!D:D), 1)</f>
        <v>4.4000000000000004</v>
      </c>
    </row>
    <row r="24" spans="1:4" x14ac:dyDescent="0.35">
      <c r="A24" s="6">
        <v>2002</v>
      </c>
      <c r="B24" s="6">
        <f>COUNTIF('Chapter - 1'!F:F, A24)</f>
        <v>23</v>
      </c>
      <c r="C24" s="6">
        <f>SUMIF('Chapter - 1'!F:F, A24,'Chapter - 1'!E:E)</f>
        <v>558963</v>
      </c>
      <c r="D24" s="6">
        <f>ROUND(AVERAGEIF('Chapter - 1'!F:F, A24,'Chapter - 1'!D:D), 1)</f>
        <v>4.3</v>
      </c>
    </row>
    <row r="25" spans="1:4" x14ac:dyDescent="0.35">
      <c r="A25" s="6">
        <v>2001</v>
      </c>
      <c r="B25" s="6">
        <f>COUNTIF('Chapter - 1'!F:F, A25)</f>
        <v>16</v>
      </c>
      <c r="C25" s="6">
        <f>SUMIF('Chapter - 1'!F:F, A25,'Chapter - 1'!E:E)</f>
        <v>598503</v>
      </c>
      <c r="D25" s="6">
        <f>ROUND(AVERAGEIF('Chapter - 1'!F:F, A25,'Chapter - 1'!D:D), 1)</f>
        <v>4.7</v>
      </c>
    </row>
    <row r="26" spans="1:4" x14ac:dyDescent="0.35">
      <c r="A26" s="6">
        <v>2000</v>
      </c>
      <c r="B26" s="6">
        <f>COUNTIF('Chapter - 1'!F:F, A26)</f>
        <v>26</v>
      </c>
      <c r="C26" s="6">
        <f>SUMIF('Chapter - 1'!F:F, A26,'Chapter - 1'!E:E)</f>
        <v>713220</v>
      </c>
      <c r="D26" s="6">
        <f>ROUND(AVERAGEIF('Chapter - 1'!F:F, A26,'Chapter - 1'!D:D), 1)</f>
        <v>4.5</v>
      </c>
    </row>
    <row r="27" spans="1:4" x14ac:dyDescent="0.35">
      <c r="A27" s="6">
        <v>1999</v>
      </c>
      <c r="B27" s="6">
        <f>COUNTIF('Chapter - 1'!F:F, A27)</f>
        <v>16</v>
      </c>
      <c r="C27" s="6">
        <f>SUMIF('Chapter - 1'!F:F, A27,'Chapter - 1'!E:E)</f>
        <v>544231</v>
      </c>
      <c r="D27" s="6">
        <f>ROUND(AVERAGEIF('Chapter - 1'!F:F, A27,'Chapter - 1'!D:D), 1)</f>
        <v>4.5</v>
      </c>
    </row>
    <row r="28" spans="1:4" x14ac:dyDescent="0.35">
      <c r="A28" s="6">
        <v>1998</v>
      </c>
      <c r="B28" s="6">
        <f>COUNTIF('Chapter - 1'!F:F, A28)</f>
        <v>11</v>
      </c>
      <c r="C28" s="6">
        <f>SUMIF('Chapter - 1'!F:F, A28,'Chapter - 1'!E:E)</f>
        <v>402197</v>
      </c>
      <c r="D28" s="6">
        <f>ROUND(AVERAGEIF('Chapter - 1'!F:F, A28,'Chapter - 1'!D:D), 1)</f>
        <v>4.5</v>
      </c>
    </row>
    <row r="29" spans="1:4" x14ac:dyDescent="0.35">
      <c r="A29" s="6">
        <v>1997</v>
      </c>
      <c r="B29" s="6">
        <f>COUNTIF('Chapter - 1'!F:F, A29)</f>
        <v>19</v>
      </c>
      <c r="C29" s="6">
        <f>SUMIF('Chapter - 1'!F:F, A29,'Chapter - 1'!E:E)</f>
        <v>972305</v>
      </c>
      <c r="D29" s="6">
        <f>ROUND(AVERAGEIF('Chapter - 1'!F:F, A29,'Chapter - 1'!D:D), 1)</f>
        <v>4.3</v>
      </c>
    </row>
    <row r="30" spans="1:4" x14ac:dyDescent="0.35">
      <c r="A30" s="6">
        <v>1996</v>
      </c>
      <c r="B30" s="6">
        <f>COUNTIF('Chapter - 1'!F:F, A30)</f>
        <v>9</v>
      </c>
      <c r="C30" s="6">
        <f>SUMIF('Chapter - 1'!F:F, A30,'Chapter - 1'!E:E)</f>
        <v>268690</v>
      </c>
      <c r="D30" s="6">
        <f>ROUND(AVERAGEIF('Chapter - 1'!F:F, A30,'Chapter - 1'!D:D), 1)</f>
        <v>4.4000000000000004</v>
      </c>
    </row>
    <row r="31" spans="1:4" x14ac:dyDescent="0.35">
      <c r="A31" s="6">
        <v>1995</v>
      </c>
      <c r="B31" s="6">
        <f>COUNTIF('Chapter - 1'!F:F, A31)</f>
        <v>7</v>
      </c>
      <c r="C31" s="6">
        <f>SUMIF('Chapter - 1'!F:F, A31,'Chapter - 1'!E:E)</f>
        <v>200176</v>
      </c>
      <c r="D31" s="6">
        <f>ROUND(AVERAGEIF('Chapter - 1'!F:F, A31,'Chapter - 1'!D:D), 1)</f>
        <v>4.4000000000000004</v>
      </c>
    </row>
    <row r="32" spans="1:4" x14ac:dyDescent="0.35">
      <c r="A32" s="6">
        <v>1994</v>
      </c>
      <c r="B32" s="6">
        <f>COUNTIF('Chapter - 1'!F:F, A32)</f>
        <v>16</v>
      </c>
      <c r="C32" s="6">
        <f>SUMIF('Chapter - 1'!F:F, A32,'Chapter - 1'!E:E)</f>
        <v>485354</v>
      </c>
      <c r="D32" s="6">
        <f>ROUND(AVERAGEIF('Chapter - 1'!F:F, A32,'Chapter - 1'!D:D), 1)</f>
        <v>4.3</v>
      </c>
    </row>
    <row r="33" spans="1:4" x14ac:dyDescent="0.35">
      <c r="A33" s="6">
        <v>1993</v>
      </c>
      <c r="B33" s="6">
        <f>COUNTIF('Chapter - 1'!F:F, A33)</f>
        <v>14</v>
      </c>
      <c r="C33" s="6">
        <f>SUMIF('Chapter - 1'!F:F, A33,'Chapter - 1'!E:E)</f>
        <v>415472</v>
      </c>
      <c r="D33" s="6">
        <f>ROUND(AVERAGEIF('Chapter - 1'!F:F, A33,'Chapter - 1'!D:D), 1)</f>
        <v>4.5999999999999996</v>
      </c>
    </row>
    <row r="34" spans="1:4" x14ac:dyDescent="0.35">
      <c r="A34" s="6">
        <v>1992</v>
      </c>
      <c r="B34" s="6">
        <f>COUNTIF('Chapter - 1'!F:F, A34)</f>
        <v>5</v>
      </c>
      <c r="C34" s="6">
        <f>SUMIF('Chapter - 1'!F:F, A34,'Chapter - 1'!E:E)</f>
        <v>176405</v>
      </c>
      <c r="D34" s="6">
        <f>ROUND(AVERAGEIF('Chapter - 1'!F:F, A34,'Chapter - 1'!D:D), 1)</f>
        <v>4.8</v>
      </c>
    </row>
    <row r="35" spans="1:4" x14ac:dyDescent="0.35">
      <c r="A35" s="6">
        <v>1991</v>
      </c>
      <c r="B35" s="6">
        <f>COUNTIF('Chapter - 1'!F:F, A35)</f>
        <v>9</v>
      </c>
      <c r="C35" s="6">
        <f>SUMIF('Chapter - 1'!F:F, A35,'Chapter - 1'!E:E)</f>
        <v>247133</v>
      </c>
      <c r="D35" s="6">
        <f>ROUND(AVERAGEIF('Chapter - 1'!F:F, A35,'Chapter - 1'!D:D), 1)</f>
        <v>4.5</v>
      </c>
    </row>
    <row r="36" spans="1:4" x14ac:dyDescent="0.35">
      <c r="A36" s="6">
        <v>1990</v>
      </c>
      <c r="B36" s="6">
        <f>COUNTIF('Chapter - 1'!F:F, A36)</f>
        <v>7</v>
      </c>
      <c r="C36" s="6">
        <f>SUMIF('Chapter - 1'!F:F, A36,'Chapter - 1'!E:E)</f>
        <v>171236</v>
      </c>
      <c r="D36" s="6">
        <f>ROUND(AVERAGEIF('Chapter - 1'!F:F, A36,'Chapter - 1'!D:D), 1)</f>
        <v>4.4000000000000004</v>
      </c>
    </row>
    <row r="37" spans="1:4" x14ac:dyDescent="0.35">
      <c r="A37" s="6">
        <v>1989</v>
      </c>
      <c r="B37" s="6">
        <f>COUNTIF('Chapter - 1'!F:F, A37)</f>
        <v>8</v>
      </c>
      <c r="C37" s="6">
        <f>SUMIF('Chapter - 1'!F:F, A37,'Chapter - 1'!E:E)</f>
        <v>267472</v>
      </c>
      <c r="D37" s="6">
        <f>ROUND(AVERAGEIF('Chapter - 1'!F:F, A37,'Chapter - 1'!D:D), 1)</f>
        <v>4.4000000000000004</v>
      </c>
    </row>
    <row r="38" spans="1:4" x14ac:dyDescent="0.35">
      <c r="A38" s="6">
        <v>1988</v>
      </c>
      <c r="B38" s="6">
        <f>COUNTIF('Chapter - 1'!F:F, A38)</f>
        <v>8</v>
      </c>
      <c r="C38" s="6">
        <f>SUMIF('Chapter - 1'!F:F, A38,'Chapter - 1'!E:E)</f>
        <v>170011</v>
      </c>
      <c r="D38" s="6">
        <f>ROUND(AVERAGEIF('Chapter - 1'!F:F, A38,'Chapter - 1'!D:D), 1)</f>
        <v>4.2</v>
      </c>
    </row>
    <row r="39" spans="1:4" x14ac:dyDescent="0.35">
      <c r="A39" s="6">
        <v>1987</v>
      </c>
      <c r="B39" s="6">
        <f>COUNTIF('Chapter - 1'!F:F, A39)</f>
        <v>7</v>
      </c>
      <c r="C39" s="6">
        <f>SUMIF('Chapter - 1'!F:F, A39,'Chapter - 1'!E:E)</f>
        <v>203066</v>
      </c>
      <c r="D39" s="6">
        <f>ROUND(AVERAGEIF('Chapter - 1'!F:F, A39,'Chapter - 1'!D:D), 1)</f>
        <v>4.3</v>
      </c>
    </row>
    <row r="40" spans="1:4" x14ac:dyDescent="0.35">
      <c r="A40" s="6">
        <v>1986</v>
      </c>
      <c r="B40" s="6">
        <f>COUNTIF('Chapter - 1'!F:F, A40)</f>
        <v>3</v>
      </c>
      <c r="C40" s="6">
        <f>SUMIF('Chapter - 1'!F:F, A40,'Chapter - 1'!E:E)</f>
        <v>74690</v>
      </c>
      <c r="D40" s="6">
        <f>ROUND(AVERAGEIF('Chapter - 1'!F:F, A40,'Chapter - 1'!D:D), 1)</f>
        <v>4.5999999999999996</v>
      </c>
    </row>
    <row r="41" spans="1:4" x14ac:dyDescent="0.35">
      <c r="A41" s="6">
        <v>1985</v>
      </c>
      <c r="B41" s="6">
        <f>COUNTIF('Chapter - 1'!F:F, A41)</f>
        <v>2</v>
      </c>
      <c r="C41" s="6">
        <f>SUMIF('Chapter - 1'!F:F, A41,'Chapter - 1'!E:E)</f>
        <v>91338</v>
      </c>
      <c r="D41" s="6">
        <f>ROUND(AVERAGEIF('Chapter - 1'!F:F, A41,'Chapter - 1'!D:D), 1)</f>
        <v>5</v>
      </c>
    </row>
    <row r="42" spans="1:4" x14ac:dyDescent="0.35">
      <c r="A42" s="6">
        <v>1984</v>
      </c>
      <c r="B42" s="6">
        <f>COUNTIF('Chapter - 1'!F:F, A42)</f>
        <v>3</v>
      </c>
      <c r="C42" s="6">
        <f>SUMIF('Chapter - 1'!F:F, A42,'Chapter - 1'!E:E)</f>
        <v>52902</v>
      </c>
      <c r="D42" s="6">
        <f>ROUND(AVERAGEIF('Chapter - 1'!F:F, A42,'Chapter - 1'!D:D), 1)</f>
        <v>4.5999999999999996</v>
      </c>
    </row>
    <row r="43" spans="1:4" x14ac:dyDescent="0.35">
      <c r="A43" s="6">
        <v>1983</v>
      </c>
      <c r="B43" s="6">
        <f>COUNTIF('Chapter - 1'!F:F, A43)</f>
        <v>4</v>
      </c>
      <c r="C43" s="6">
        <f>SUMIF('Chapter - 1'!F:F, A43,'Chapter - 1'!E:E)</f>
        <v>156463</v>
      </c>
      <c r="D43" s="6">
        <f>ROUND(AVERAGEIF('Chapter - 1'!F:F, A43,'Chapter - 1'!D:D), 1)</f>
        <v>4.5999999999999996</v>
      </c>
    </row>
    <row r="44" spans="1:4" x14ac:dyDescent="0.35">
      <c r="A44" s="6">
        <v>1982</v>
      </c>
      <c r="B44" s="6">
        <f>COUNTIF('Chapter - 1'!F:F, A44)</f>
        <v>4</v>
      </c>
      <c r="C44" s="6">
        <f>SUMIF('Chapter - 1'!F:F, A44,'Chapter - 1'!E:E)</f>
        <v>124139</v>
      </c>
      <c r="D44" s="6">
        <f>ROUND(AVERAGEIF('Chapter - 1'!F:F, A44,'Chapter - 1'!D:D), 1)</f>
        <v>4.5999999999999996</v>
      </c>
    </row>
    <row r="45" spans="1:4" x14ac:dyDescent="0.35">
      <c r="A45" s="6">
        <v>1981</v>
      </c>
      <c r="B45" s="6">
        <f>COUNTIF('Chapter - 1'!F:F, A45)</f>
        <v>1</v>
      </c>
      <c r="C45" s="6">
        <f>SUMIF('Chapter - 1'!F:F, A45,'Chapter - 1'!E:E)</f>
        <v>11052</v>
      </c>
      <c r="D45" s="6">
        <f>ROUND(AVERAGEIF('Chapter - 1'!F:F, A45,'Chapter - 1'!D:D), 1)</f>
        <v>5.0999999999999996</v>
      </c>
    </row>
    <row r="46" spans="1:4" x14ac:dyDescent="0.35">
      <c r="A46" s="6">
        <v>1980</v>
      </c>
      <c r="B46" s="6">
        <f>COUNTIF('Chapter - 1'!F:F, A46)</f>
        <v>1</v>
      </c>
      <c r="C46" s="6">
        <f>SUMIF('Chapter - 1'!F:F, A46,'Chapter - 1'!E:E)</f>
        <v>10769</v>
      </c>
      <c r="D46" s="6">
        <f>ROUND(AVERAGEIF('Chapter - 1'!F:F, A46,'Chapter - 1'!D:D), 1)</f>
        <v>5.0999999999999996</v>
      </c>
    </row>
    <row r="47" spans="1:4" x14ac:dyDescent="0.35">
      <c r="A47" s="6">
        <v>1978</v>
      </c>
      <c r="B47" s="6">
        <f>COUNTIF('Chapter - 1'!F:F, A47)</f>
        <v>2</v>
      </c>
      <c r="C47" s="6">
        <f>SUMIF('Chapter - 1'!F:F, A47,'Chapter - 1'!E:E)</f>
        <v>32589</v>
      </c>
      <c r="D47" s="6">
        <f>ROUND(AVERAGEIF('Chapter - 1'!F:F, A47,'Chapter - 1'!D:D), 1)</f>
        <v>3.4</v>
      </c>
    </row>
    <row r="48" spans="1:4" x14ac:dyDescent="0.35">
      <c r="A48" s="6">
        <v>1977</v>
      </c>
      <c r="B48" s="6">
        <f>COUNTIF('Chapter - 1'!F:F, A48)</f>
        <v>1</v>
      </c>
      <c r="C48" s="6">
        <f>SUMIF('Chapter - 1'!F:F, A48,'Chapter - 1'!E:E)</f>
        <v>29122</v>
      </c>
      <c r="D48" s="6">
        <f>ROUND(AVERAGEIF('Chapter - 1'!F:F, A48,'Chapter - 1'!D:D), 1)</f>
        <v>3.8</v>
      </c>
    </row>
    <row r="49" spans="1:4" x14ac:dyDescent="0.35">
      <c r="A49" s="6">
        <v>1970</v>
      </c>
      <c r="B49" s="6">
        <f>COUNTIF('Chapter - 1'!F:F, A49)</f>
        <v>1</v>
      </c>
      <c r="C49" s="6">
        <f>SUMIF('Chapter - 1'!F:F, A49,'Chapter - 1'!E:E)</f>
        <v>19892</v>
      </c>
      <c r="D49" s="6">
        <f>ROUND(AVERAGEIF('Chapter - 1'!F:F, A49,'Chapter - 1'!D:D), 1)</f>
        <v>3.3</v>
      </c>
    </row>
    <row r="50" spans="1:4" x14ac:dyDescent="0.35">
      <c r="A50" s="6">
        <v>1967</v>
      </c>
      <c r="B50" s="6">
        <f>COUNTIF('Chapter - 1'!F:F, A50)</f>
        <v>1</v>
      </c>
      <c r="C50" s="6">
        <f>SUMIF('Chapter - 1'!F:F, A50,'Chapter - 1'!E:E)</f>
        <v>33071</v>
      </c>
      <c r="D50" s="6">
        <f>ROUND(AVERAGEIF('Chapter - 1'!F:F, A50,'Chapter - 1'!D:D), 1)</f>
        <v>5</v>
      </c>
    </row>
    <row r="51" spans="1:4" x14ac:dyDescent="0.35">
      <c r="A51" s="6">
        <v>1966</v>
      </c>
      <c r="B51" s="6">
        <f>COUNTIF('Chapter - 1'!F:F, A51)</f>
        <v>1</v>
      </c>
      <c r="C51" s="6">
        <f>SUMIF('Chapter - 1'!F:F, A51,'Chapter - 1'!E:E)</f>
        <v>37830</v>
      </c>
      <c r="D51" s="6">
        <f>ROUND(AVERAGEIF('Chapter - 1'!F:F, A51,'Chapter - 1'!D:D), 1)</f>
        <v>1.7</v>
      </c>
    </row>
    <row r="52" spans="1:4" x14ac:dyDescent="0.35">
      <c r="A52" s="6">
        <v>1965</v>
      </c>
      <c r="B52" s="6">
        <f>COUNTIF('Chapter - 1'!F:F, A52)</f>
        <v>1</v>
      </c>
      <c r="C52" s="6">
        <f>SUMIF('Chapter - 1'!F:F, A52,'Chapter - 1'!E:E)</f>
        <v>10108</v>
      </c>
      <c r="D52" s="6">
        <f>ROUND(AVERAGEIF('Chapter - 1'!F:F, A52,'Chapter - 1'!D:D), 1)</f>
        <v>1.8</v>
      </c>
    </row>
    <row r="53" spans="1:4" x14ac:dyDescent="0.35">
      <c r="A53" s="6">
        <v>1964</v>
      </c>
      <c r="B53" s="6">
        <f>COUNTIF('Chapter - 1'!F:F, A53)</f>
        <v>1</v>
      </c>
      <c r="C53" s="6">
        <f>SUMIF('Chapter - 1'!F:F, A53,'Chapter - 1'!E:E)</f>
        <v>12767</v>
      </c>
      <c r="D53" s="6">
        <f>ROUND(AVERAGEIF('Chapter - 1'!F:F, A53,'Chapter - 1'!D:D), 1)</f>
        <v>2.7</v>
      </c>
    </row>
    <row r="54" spans="1:4" x14ac:dyDescent="0.35">
      <c r="A54" s="6">
        <v>1961</v>
      </c>
      <c r="B54" s="6">
        <f>COUNTIF('Chapter - 1'!F:F, A54)</f>
        <v>1</v>
      </c>
      <c r="C54" s="6">
        <f>SUMIF('Chapter - 1'!F:F, A54,'Chapter - 1'!E:E)</f>
        <v>10499</v>
      </c>
      <c r="D54" s="6">
        <f>ROUND(AVERAGEIF('Chapter - 1'!F:F, A54,'Chapter - 1'!D:D), 1)</f>
        <v>1.9</v>
      </c>
    </row>
    <row r="55" spans="1:4" x14ac:dyDescent="0.35">
      <c r="A55" s="6">
        <v>1957</v>
      </c>
      <c r="B55" s="6">
        <f>COUNTIF('Chapter - 1'!F:F, A55)</f>
        <v>1</v>
      </c>
      <c r="C55" s="6">
        <f>SUMIF('Chapter - 1'!F:F, A55,'Chapter - 1'!E:E)</f>
        <v>41105</v>
      </c>
      <c r="D55" s="6">
        <f>ROUND(AVERAGEIF('Chapter - 1'!F:F, A55,'Chapter - 1'!D:D), 1)</f>
        <v>3.9</v>
      </c>
    </row>
  </sheetData>
  <autoFilter ref="A1:E55" xr:uid="{16A19954-E4F3-41D3-8123-49A039982EA2}"/>
  <mergeCells count="1">
    <mergeCell ref="P9:R9"/>
  </mergeCells>
  <pageMargins left="0.7" right="0.7" top="0.75" bottom="0.75" header="0.3" footer="0.3"/>
  <pageSetup orientation="portrait" r:id="rId1"/>
  <drawing r:id="rId2"/>
  <legacyDrawing r:id="rId3"/>
  <extLst>
    <ext xmlns:x14="http://schemas.microsoft.com/office/spreadsheetml/2009/9/main" uri="{05C60535-1F16-4fd2-B633-F4F36F0B64E0}">
      <x14:sparklineGroups xmlns:xm="http://schemas.microsoft.com/office/excel/2006/main">
        <x14:sparklineGroup type="column" displayEmptyCellsAs="gap" high="1" low="1" negative="1" xr2:uid="{42669D06-B553-44EE-A4F0-8A0BD998480B}">
          <x14:colorSeries rgb="FF000000"/>
          <x14:colorNegative rgb="FFC00000"/>
          <x14:colorAxis rgb="FF000000"/>
          <x14:colorMarkers rgb="FF0070C0"/>
          <x14:colorFirst rgb="FF0070C0"/>
          <x14:colorLast rgb="FF0070C0"/>
          <x14:colorHigh rgb="FF00B050"/>
          <x14:colorLow rgb="FFFF0000"/>
          <x14:sparklines>
            <x14:sparkline>
              <xm:f>'Chapter - 3'!A2:D2</xm:f>
              <xm:sqref>E2</xm:sqref>
            </x14:sparkline>
            <x14:sparkline>
              <xm:f>'Chapter - 3'!A3:D3</xm:f>
              <xm:sqref>E3</xm:sqref>
            </x14:sparkline>
            <x14:sparkline>
              <xm:f>'Chapter - 3'!A4:D4</xm:f>
              <xm:sqref>E4</xm:sqref>
            </x14:sparkline>
            <x14:sparkline>
              <xm:f>'Chapter - 3'!A5:D5</xm:f>
              <xm:sqref>E5</xm:sqref>
            </x14:sparkline>
            <x14:sparkline>
              <xm:f>'Chapter - 3'!A6:D6</xm:f>
              <xm:sqref>E6</xm:sqref>
            </x14:sparkline>
            <x14:sparkline>
              <xm:f>'Chapter - 3'!A7:D7</xm:f>
              <xm:sqref>E7</xm:sqref>
            </x14:sparkline>
            <x14:sparkline>
              <xm:f>'Chapter - 3'!A8:D8</xm:f>
              <xm:sqref>E8</xm:sqref>
            </x14:sparkline>
            <x14:sparkline>
              <xm:f>'Chapter - 3'!A9:D9</xm:f>
              <xm:sqref>E9</xm:sqref>
            </x14:sparkline>
            <x14:sparkline>
              <xm:f>'Chapter - 3'!A10:D10</xm:f>
              <xm:sqref>E10</xm:sqref>
            </x14:sparkline>
            <x14:sparkline>
              <xm:f>'Chapter - 3'!A11:D11</xm:f>
              <xm:sqref>E11</xm:sqref>
            </x14:sparkline>
            <x14:sparkline>
              <xm:f>'Chapter - 3'!A12:D12</xm:f>
              <xm:sqref>E12</xm:sqref>
            </x14:sparkline>
            <x14:sparkline>
              <xm:f>'Chapter - 3'!A13:D13</xm:f>
              <xm:sqref>E13</xm:sqref>
            </x14:sparkline>
            <x14:sparkline>
              <xm:f>'Chapter - 3'!A14:D14</xm:f>
              <xm:sqref>E14</xm:sqref>
            </x14:sparkline>
            <x14:sparkline>
              <xm:f>'Chapter - 3'!A15:D15</xm:f>
              <xm:sqref>E15</xm:sqref>
            </x14:sparkline>
            <x14:sparkline>
              <xm:f>'Chapter - 3'!A16:D16</xm:f>
              <xm:sqref>E16</xm:sqref>
            </x14:sparkline>
            <x14:sparkline>
              <xm:f>'Chapter - 3'!A17:D17</xm:f>
              <xm:sqref>E17</xm:sqref>
            </x14:sparkline>
            <x14:sparkline>
              <xm:f>'Chapter - 3'!A18:D18</xm:f>
              <xm:sqref>E18</xm:sqref>
            </x14:sparkline>
            <x14:sparkline>
              <xm:f>'Chapter - 3'!A19:D19</xm:f>
              <xm:sqref>E19</xm:sqref>
            </x14:sparkline>
            <x14:sparkline>
              <xm:f>'Chapter - 3'!A20:D20</xm:f>
              <xm:sqref>E20</xm:sqref>
            </x14:sparkline>
            <x14:sparkline>
              <xm:f>'Chapter - 3'!A21:D21</xm:f>
              <xm:sqref>E21</xm:sqref>
            </x14:sparkline>
            <x14:sparkline>
              <xm:f>'Chapter - 3'!A22:D22</xm:f>
              <xm:sqref>E22</xm:sqref>
            </x14:sparkline>
            <x14:sparkline>
              <xm:f>'Chapter - 3'!A23:D23</xm:f>
              <xm:sqref>E23</xm:sqref>
            </x14:sparkline>
            <x14:sparkline>
              <xm:f>'Chapter - 3'!A24:D24</xm:f>
              <xm:sqref>E24</xm:sqref>
            </x14:sparkline>
            <x14:sparkline>
              <xm:f>'Chapter - 3'!A25:D25</xm:f>
              <xm:sqref>E25</xm:sqref>
            </x14:sparkline>
            <x14:sparkline>
              <xm:f>'Chapter - 3'!A26:D26</xm:f>
              <xm:sqref>E26</xm:sqref>
            </x14:sparkline>
            <x14:sparkline>
              <xm:f>'Chapter - 3'!A27:D27</xm:f>
              <xm:sqref>E27</xm:sqref>
            </x14:sparkline>
            <x14:sparkline>
              <xm:f>'Chapter - 3'!A28:D28</xm:f>
              <xm:sqref>E28</xm:sqref>
            </x14:sparkline>
            <x14:sparkline>
              <xm:f>'Chapter - 3'!A29:D29</xm:f>
              <xm:sqref>E29</xm:sqref>
            </x14:sparkline>
            <x14:sparkline>
              <xm:f>'Chapter - 3'!A30:D30</xm:f>
              <xm:sqref>E30</xm:sqref>
            </x14:sparkline>
            <x14:sparkline>
              <xm:f>'Chapter - 3'!A31:D31</xm:f>
              <xm:sqref>E31</xm:sqref>
            </x14:sparkline>
            <x14:sparkline>
              <xm:f>'Chapter - 3'!A32:D32</xm:f>
              <xm:sqref>E32</xm:sqref>
            </x14:sparkline>
            <x14:sparkline>
              <xm:f>'Chapter - 3'!A33:D33</xm:f>
              <xm:sqref>E33</xm:sqref>
            </x14:sparkline>
            <x14:sparkline>
              <xm:f>'Chapter - 3'!A34:D34</xm:f>
              <xm:sqref>E34</xm:sqref>
            </x14:sparkline>
            <x14:sparkline>
              <xm:f>'Chapter - 3'!A35:D35</xm:f>
              <xm:sqref>E35</xm:sqref>
            </x14:sparkline>
            <x14:sparkline>
              <xm:f>'Chapter - 3'!A36:D36</xm:f>
              <xm:sqref>E36</xm:sqref>
            </x14:sparkline>
            <x14:sparkline>
              <xm:f>'Chapter - 3'!A37:D37</xm:f>
              <xm:sqref>E37</xm:sqref>
            </x14:sparkline>
            <x14:sparkline>
              <xm:f>'Chapter - 3'!A38:D38</xm:f>
              <xm:sqref>E38</xm:sqref>
            </x14:sparkline>
            <x14:sparkline>
              <xm:f>'Chapter - 3'!A39:D39</xm:f>
              <xm:sqref>E39</xm:sqref>
            </x14:sparkline>
            <x14:sparkline>
              <xm:f>'Chapter - 3'!A40:D40</xm:f>
              <xm:sqref>E40</xm:sqref>
            </x14:sparkline>
            <x14:sparkline>
              <xm:f>'Chapter - 3'!A41:D41</xm:f>
              <xm:sqref>E41</xm:sqref>
            </x14:sparkline>
            <x14:sparkline>
              <xm:f>'Chapter - 3'!A42:D42</xm:f>
              <xm:sqref>E42</xm:sqref>
            </x14:sparkline>
            <x14:sparkline>
              <xm:f>'Chapter - 3'!A43:D43</xm:f>
              <xm:sqref>E43</xm:sqref>
            </x14:sparkline>
            <x14:sparkline>
              <xm:f>'Chapter - 3'!A44:D44</xm:f>
              <xm:sqref>E44</xm:sqref>
            </x14:sparkline>
            <x14:sparkline>
              <xm:f>'Chapter - 3'!A45:D45</xm:f>
              <xm:sqref>E45</xm:sqref>
            </x14:sparkline>
            <x14:sparkline>
              <xm:f>'Chapter - 3'!A46:D46</xm:f>
              <xm:sqref>E46</xm:sqref>
            </x14:sparkline>
            <x14:sparkline>
              <xm:f>'Chapter - 3'!A47:D47</xm:f>
              <xm:sqref>E47</xm:sqref>
            </x14:sparkline>
            <x14:sparkline>
              <xm:f>'Chapter - 3'!A48:D48</xm:f>
              <xm:sqref>E48</xm:sqref>
            </x14:sparkline>
            <x14:sparkline>
              <xm:f>'Chapter - 3'!A49:D49</xm:f>
              <xm:sqref>E49</xm:sqref>
            </x14:sparkline>
            <x14:sparkline>
              <xm:f>'Chapter - 3'!A50:D50</xm:f>
              <xm:sqref>E50</xm:sqref>
            </x14:sparkline>
            <x14:sparkline>
              <xm:f>'Chapter - 3'!A51:D51</xm:f>
              <xm:sqref>E51</xm:sqref>
            </x14:sparkline>
            <x14:sparkline>
              <xm:f>'Chapter - 3'!A52:D52</xm:f>
              <xm:sqref>E52</xm:sqref>
            </x14:sparkline>
            <x14:sparkline>
              <xm:f>'Chapter - 3'!A53:D53</xm:f>
              <xm:sqref>E53</xm:sqref>
            </x14:sparkline>
            <x14:sparkline>
              <xm:f>'Chapter - 3'!A54:D54</xm:f>
              <xm:sqref>E54</xm:sqref>
            </x14:sparkline>
            <x14:sparkline>
              <xm:f>'Chapter - 3'!A55:D55</xm:f>
              <xm:sqref>E55</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03CD0-CE33-420A-B202-93BDE5DA8281}">
  <dimension ref="A1:W10"/>
  <sheetViews>
    <sheetView workbookViewId="0">
      <selection activeCell="F5" sqref="F5"/>
    </sheetView>
  </sheetViews>
  <sheetFormatPr defaultRowHeight="14.5" x14ac:dyDescent="0.35"/>
  <cols>
    <col min="1" max="1" width="12.453125" bestFit="1" customWidth="1"/>
    <col min="2" max="2" width="12.81640625" customWidth="1"/>
    <col min="3" max="3" width="6.54296875" bestFit="1" customWidth="1"/>
    <col min="4" max="4" width="11" bestFit="1" customWidth="1"/>
    <col min="5" max="5" width="10.1796875" bestFit="1" customWidth="1"/>
    <col min="6" max="6" width="9.7265625" bestFit="1" customWidth="1"/>
    <col min="7" max="7" width="11" bestFit="1" customWidth="1"/>
    <col min="8" max="8" width="11.81640625" customWidth="1"/>
  </cols>
  <sheetData>
    <row r="1" spans="1:23" x14ac:dyDescent="0.35">
      <c r="A1" s="96" t="s">
        <v>2370</v>
      </c>
      <c r="B1" s="96"/>
      <c r="C1" s="96"/>
      <c r="D1" s="96"/>
      <c r="E1" s="96"/>
      <c r="F1" s="96"/>
      <c r="G1" s="96"/>
      <c r="H1" s="96"/>
    </row>
    <row r="2" spans="1:23" x14ac:dyDescent="0.35">
      <c r="A2" s="3" t="s">
        <v>2366</v>
      </c>
      <c r="B2" s="3" t="s">
        <v>2208</v>
      </c>
      <c r="C2" s="3" t="s">
        <v>2361</v>
      </c>
      <c r="D2" s="7" t="s">
        <v>2362</v>
      </c>
      <c r="E2" s="3" t="s">
        <v>2363</v>
      </c>
      <c r="F2" s="3" t="s">
        <v>2364</v>
      </c>
      <c r="G2" s="3" t="s">
        <v>2365</v>
      </c>
      <c r="H2" s="7" t="s">
        <v>2360</v>
      </c>
    </row>
    <row r="3" spans="1:23" x14ac:dyDescent="0.35">
      <c r="A3" s="78">
        <v>45467</v>
      </c>
      <c r="B3" s="22" t="s">
        <v>632</v>
      </c>
      <c r="C3" s="22">
        <v>8.1</v>
      </c>
      <c r="D3" s="79">
        <v>128.1</v>
      </c>
      <c r="E3" s="79">
        <v>133.5</v>
      </c>
      <c r="F3" s="79">
        <v>127.5</v>
      </c>
      <c r="G3" s="79">
        <v>130</v>
      </c>
      <c r="H3" s="80">
        <v>10000000</v>
      </c>
    </row>
    <row r="4" spans="1:23" x14ac:dyDescent="0.35">
      <c r="A4" s="78">
        <v>45468</v>
      </c>
      <c r="B4" s="22" t="s">
        <v>632</v>
      </c>
      <c r="C4" s="22">
        <v>8.1</v>
      </c>
      <c r="D4" s="79">
        <v>130</v>
      </c>
      <c r="E4" s="79">
        <v>134</v>
      </c>
      <c r="F4" s="79">
        <v>129</v>
      </c>
      <c r="G4" s="79">
        <v>133</v>
      </c>
      <c r="H4" s="80">
        <v>12000000</v>
      </c>
    </row>
    <row r="5" spans="1:23" x14ac:dyDescent="0.35">
      <c r="A5" s="78">
        <v>45469</v>
      </c>
      <c r="B5" s="22" t="s">
        <v>632</v>
      </c>
      <c r="C5" s="22">
        <v>8.1</v>
      </c>
      <c r="D5" s="79">
        <v>133</v>
      </c>
      <c r="E5" s="79">
        <v>136</v>
      </c>
      <c r="F5" s="79">
        <v>131</v>
      </c>
      <c r="G5" s="79">
        <v>134.5</v>
      </c>
      <c r="H5" s="80">
        <v>11000000</v>
      </c>
    </row>
    <row r="6" spans="1:23" x14ac:dyDescent="0.35">
      <c r="A6" s="78">
        <v>45470</v>
      </c>
      <c r="B6" s="22" t="s">
        <v>632</v>
      </c>
      <c r="C6" s="22">
        <v>8.1</v>
      </c>
      <c r="D6" s="79">
        <v>134.5</v>
      </c>
      <c r="E6" s="79">
        <v>138</v>
      </c>
      <c r="F6" s="79">
        <v>132.5</v>
      </c>
      <c r="G6" s="79">
        <v>137</v>
      </c>
      <c r="H6" s="80">
        <v>9500000</v>
      </c>
    </row>
    <row r="7" spans="1:23" x14ac:dyDescent="0.35">
      <c r="A7" s="78">
        <v>45471</v>
      </c>
      <c r="B7" s="22" t="s">
        <v>632</v>
      </c>
      <c r="C7" s="22">
        <v>8.1</v>
      </c>
      <c r="D7" s="79">
        <v>137</v>
      </c>
      <c r="E7" s="79">
        <v>140</v>
      </c>
      <c r="F7" s="79">
        <v>136.5</v>
      </c>
      <c r="G7" s="79">
        <v>139.5</v>
      </c>
      <c r="H7" s="80">
        <v>13000000</v>
      </c>
    </row>
    <row r="8" spans="1:23" x14ac:dyDescent="0.35">
      <c r="A8" s="77"/>
    </row>
    <row r="9" spans="1:23" x14ac:dyDescent="0.35">
      <c r="A9" s="77"/>
      <c r="B9" s="96" t="s">
        <v>2367</v>
      </c>
      <c r="C9" s="96"/>
      <c r="D9" s="96"/>
      <c r="E9" s="96"/>
      <c r="F9" s="26"/>
      <c r="J9" s="96" t="s">
        <v>2368</v>
      </c>
      <c r="K9" s="96"/>
      <c r="L9" s="96"/>
      <c r="M9" s="96"/>
      <c r="N9" s="26"/>
      <c r="O9" s="26"/>
      <c r="R9" s="96" t="s">
        <v>2369</v>
      </c>
      <c r="S9" s="96"/>
      <c r="T9" s="96"/>
      <c r="U9" s="96"/>
      <c r="V9" s="26"/>
      <c r="W9" s="26"/>
    </row>
    <row r="10" spans="1:23" x14ac:dyDescent="0.35">
      <c r="A10" s="77"/>
    </row>
  </sheetData>
  <mergeCells count="4">
    <mergeCell ref="A1:H1"/>
    <mergeCell ref="B9:E9"/>
    <mergeCell ref="J9:M9"/>
    <mergeCell ref="R9:U9"/>
  </mergeCell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1" id="{F9CAC8DE-8630-44EE-8A7D-D82DB2D1FE39}">
            <x14:iconSet iconSet="3Stars">
              <x14:cfvo type="percent">
                <xm:f>0</xm:f>
              </x14:cfvo>
              <x14:cfvo type="percent">
                <xm:f>33</xm:f>
              </x14:cfvo>
              <x14:cfvo type="percent">
                <xm:f>67</xm:f>
              </x14:cfvo>
            </x14:iconSet>
          </x14:cfRule>
          <xm:sqref>D2 H2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9C7B6-E028-4A9A-A49D-05A1F920105B}">
  <sheetPr codeName="Sheet5"/>
  <dimension ref="A1:M1001"/>
  <sheetViews>
    <sheetView workbookViewId="0">
      <selection activeCell="H5" sqref="H5"/>
    </sheetView>
  </sheetViews>
  <sheetFormatPr defaultRowHeight="14.5" x14ac:dyDescent="0.35"/>
  <cols>
    <col min="1" max="1" width="10.453125" bestFit="1" customWidth="1"/>
    <col min="2" max="2" width="35.453125" customWidth="1"/>
    <col min="3" max="3" width="35.54296875" bestFit="1" customWidth="1"/>
    <col min="4" max="4" width="13.7265625" style="6" bestFit="1" customWidth="1"/>
    <col min="5" max="5" width="10.1796875" bestFit="1" customWidth="1"/>
    <col min="6" max="6" width="11.54296875" bestFit="1" customWidth="1"/>
    <col min="7" max="7" width="13" customWidth="1"/>
    <col min="8" max="8" width="17.54296875" customWidth="1"/>
    <col min="9" max="9" width="16.453125" customWidth="1"/>
    <col min="12" max="12" width="11.26953125" customWidth="1"/>
    <col min="13" max="13" width="73" customWidth="1"/>
  </cols>
  <sheetData>
    <row r="1" spans="1:13" x14ac:dyDescent="0.35">
      <c r="A1" s="3" t="s">
        <v>0</v>
      </c>
      <c r="B1" s="3" t="s">
        <v>1</v>
      </c>
      <c r="C1" s="3" t="s">
        <v>2</v>
      </c>
      <c r="D1" s="7" t="s">
        <v>3</v>
      </c>
      <c r="E1" s="3" t="s">
        <v>4</v>
      </c>
      <c r="F1" s="3" t="s">
        <v>5</v>
      </c>
      <c r="G1" s="19" t="s">
        <v>2236</v>
      </c>
      <c r="H1" s="19" t="s">
        <v>2237</v>
      </c>
      <c r="I1" s="19" t="s">
        <v>2238</v>
      </c>
      <c r="J1" s="19" t="s">
        <v>2239</v>
      </c>
    </row>
    <row r="2" spans="1:13" x14ac:dyDescent="0.35">
      <c r="A2" s="4" t="s">
        <v>2194</v>
      </c>
      <c r="B2" s="4" t="s">
        <v>2195</v>
      </c>
      <c r="C2" s="4" t="s">
        <v>395</v>
      </c>
      <c r="D2" s="20">
        <v>5.2</v>
      </c>
      <c r="E2" s="4">
        <v>32479</v>
      </c>
      <c r="F2" s="4">
        <v>2024</v>
      </c>
      <c r="G2" s="21" t="str">
        <f>IF(AND(D2&gt;5, E2&gt;1000), "Popular", "Not Popular")</f>
        <v>Popular</v>
      </c>
      <c r="H2" s="21" t="str">
        <f>IF(OR(ISNUMBER(SEARCH("Action", C2)), ISNUMBER(SEARCH("Drama", C2))), "Action or Drama", IF(OR(ISNUMBER(SEARCH("Horror", C2)), ISNUMBER(SEARCH("Thriller", C2))), "Horror or Thriller", "Other"))</f>
        <v>Action or Drama</v>
      </c>
      <c r="I2" s="21" t="str">
        <f>IF(NOT(ISNUMBER(SEARCH("Comedy", C2))), "Not Comedy", "Comedy")</f>
        <v>Not Comedy</v>
      </c>
      <c r="J2" s="21" t="str">
        <f>IF(F2&gt;2020, "Recent", "Old")</f>
        <v>Recent</v>
      </c>
      <c r="L2" s="22" t="s">
        <v>2245</v>
      </c>
      <c r="M2" s="22" t="s">
        <v>2241</v>
      </c>
    </row>
    <row r="3" spans="1:13" ht="29" x14ac:dyDescent="0.35">
      <c r="A3" s="4" t="s">
        <v>1227</v>
      </c>
      <c r="B3" s="4" t="s">
        <v>1228</v>
      </c>
      <c r="C3" s="4" t="s">
        <v>93</v>
      </c>
      <c r="D3" s="20">
        <v>4.7</v>
      </c>
      <c r="E3" s="4">
        <v>25779</v>
      </c>
      <c r="F3" s="4">
        <v>2024</v>
      </c>
      <c r="G3" s="21" t="str">
        <f t="shared" ref="G3:G66" si="0">IF(AND(D3&gt;5, E3&gt;1000), "Popular", "Not Popular")</f>
        <v>Not Popular</v>
      </c>
      <c r="H3" s="21" t="str">
        <f t="shared" ref="H3:H66" si="1">IF(OR(ISNUMBER(SEARCH("Action", C3)), ISNUMBER(SEARCH("Drama", C3))), "Action or Drama", IF(OR(ISNUMBER(SEARCH("Horror", C3)), ISNUMBER(SEARCH("Thriller", C3))), "Horror or Thriller", "Other"))</f>
        <v>Action or Drama</v>
      </c>
      <c r="I3" s="21" t="str">
        <f t="shared" ref="I3:I66" si="2">IF(NOT(ISNUMBER(SEARCH("Comedy", C3))), "Not Comedy", "Comedy")</f>
        <v>Not Comedy</v>
      </c>
      <c r="J3" s="21" t="str">
        <f t="shared" ref="J3:J66" si="3">IF(F3&gt;2020, "Recent", "Old")</f>
        <v>Recent</v>
      </c>
      <c r="L3" s="23" t="s">
        <v>2236</v>
      </c>
      <c r="M3" s="24" t="s">
        <v>2242</v>
      </c>
    </row>
    <row r="4" spans="1:13" ht="29" x14ac:dyDescent="0.35">
      <c r="A4" s="4" t="s">
        <v>1099</v>
      </c>
      <c r="B4" s="4" t="s">
        <v>1100</v>
      </c>
      <c r="C4" s="4" t="s">
        <v>101</v>
      </c>
      <c r="D4" s="20">
        <v>4.5999999999999996</v>
      </c>
      <c r="E4" s="4">
        <v>17570</v>
      </c>
      <c r="F4" s="4">
        <v>2024</v>
      </c>
      <c r="G4" s="21" t="str">
        <f t="shared" si="0"/>
        <v>Not Popular</v>
      </c>
      <c r="H4" s="21" t="str">
        <f t="shared" si="1"/>
        <v>Action or Drama</v>
      </c>
      <c r="I4" s="21" t="str">
        <f t="shared" si="2"/>
        <v>Not Comedy</v>
      </c>
      <c r="J4" s="21" t="str">
        <f t="shared" si="3"/>
        <v>Recent</v>
      </c>
      <c r="L4" s="23" t="s">
        <v>2237</v>
      </c>
      <c r="M4" s="24" t="s">
        <v>2243</v>
      </c>
    </row>
    <row r="5" spans="1:13" ht="29" x14ac:dyDescent="0.35">
      <c r="A5" s="4" t="s">
        <v>2088</v>
      </c>
      <c r="B5" s="4" t="s">
        <v>2089</v>
      </c>
      <c r="C5" s="4" t="s">
        <v>2090</v>
      </c>
      <c r="D5" s="20">
        <v>5.0999999999999996</v>
      </c>
      <c r="E5" s="4">
        <v>10227</v>
      </c>
      <c r="F5" s="4">
        <v>2024</v>
      </c>
      <c r="G5" s="21" t="str">
        <f t="shared" si="0"/>
        <v>Popular</v>
      </c>
      <c r="H5" s="21" t="str">
        <f t="shared" si="1"/>
        <v>Action or Drama</v>
      </c>
      <c r="I5" s="21" t="str">
        <f t="shared" si="2"/>
        <v>Not Comedy</v>
      </c>
      <c r="J5" s="21" t="str">
        <f t="shared" si="3"/>
        <v>Recent</v>
      </c>
      <c r="L5" s="23" t="s">
        <v>2238</v>
      </c>
      <c r="M5" s="24" t="s">
        <v>2244</v>
      </c>
    </row>
    <row r="6" spans="1:13" x14ac:dyDescent="0.35">
      <c r="A6" s="4" t="s">
        <v>1092</v>
      </c>
      <c r="B6" s="4" t="s">
        <v>1093</v>
      </c>
      <c r="C6" s="4" t="s">
        <v>76</v>
      </c>
      <c r="D6" s="20">
        <v>4.5999999999999996</v>
      </c>
      <c r="E6" s="4">
        <v>19176</v>
      </c>
      <c r="F6" s="4">
        <v>2024</v>
      </c>
      <c r="G6" s="21" t="str">
        <f t="shared" si="0"/>
        <v>Not Popular</v>
      </c>
      <c r="H6" s="21" t="str">
        <f t="shared" si="1"/>
        <v>Horror or Thriller</v>
      </c>
      <c r="I6" s="21" t="str">
        <f t="shared" si="2"/>
        <v>Not Comedy</v>
      </c>
      <c r="J6" s="21" t="str">
        <f t="shared" si="3"/>
        <v>Recent</v>
      </c>
      <c r="L6" s="23" t="s">
        <v>2239</v>
      </c>
      <c r="M6" s="25" t="s">
        <v>2240</v>
      </c>
    </row>
    <row r="7" spans="1:13" x14ac:dyDescent="0.35">
      <c r="A7" s="4" t="s">
        <v>1743</v>
      </c>
      <c r="B7" s="4" t="s">
        <v>1744</v>
      </c>
      <c r="C7" s="4" t="s">
        <v>474</v>
      </c>
      <c r="D7" s="20">
        <v>5</v>
      </c>
      <c r="E7" s="4">
        <v>29234</v>
      </c>
      <c r="F7" s="4">
        <v>2024</v>
      </c>
      <c r="G7" s="21" t="str">
        <f t="shared" si="0"/>
        <v>Not Popular</v>
      </c>
      <c r="H7" s="21" t="str">
        <f t="shared" si="1"/>
        <v>Horror or Thriller</v>
      </c>
      <c r="I7" s="21" t="str">
        <f t="shared" si="2"/>
        <v>Not Comedy</v>
      </c>
      <c r="J7" s="21" t="str">
        <f t="shared" si="3"/>
        <v>Recent</v>
      </c>
    </row>
    <row r="8" spans="1:13" x14ac:dyDescent="0.35">
      <c r="A8" s="4" t="s">
        <v>1976</v>
      </c>
      <c r="B8" s="4" t="s">
        <v>1977</v>
      </c>
      <c r="C8" s="4" t="s">
        <v>82</v>
      </c>
      <c r="D8" s="20">
        <v>5.0999999999999996</v>
      </c>
      <c r="E8" s="4">
        <v>19367</v>
      </c>
      <c r="F8" s="4">
        <v>2024</v>
      </c>
      <c r="G8" s="21" t="str">
        <f t="shared" si="0"/>
        <v>Popular</v>
      </c>
      <c r="H8" s="21" t="str">
        <f t="shared" si="1"/>
        <v>Horror or Thriller</v>
      </c>
      <c r="I8" s="21" t="str">
        <f t="shared" si="2"/>
        <v>Not Comedy</v>
      </c>
      <c r="J8" s="21" t="str">
        <f t="shared" si="3"/>
        <v>Recent</v>
      </c>
    </row>
    <row r="9" spans="1:13" x14ac:dyDescent="0.35">
      <c r="A9" s="4" t="s">
        <v>1235</v>
      </c>
      <c r="B9" s="4" t="s">
        <v>1236</v>
      </c>
      <c r="C9" s="4" t="s">
        <v>338</v>
      </c>
      <c r="D9" s="20">
        <v>4.7</v>
      </c>
      <c r="E9" s="4">
        <v>24427</v>
      </c>
      <c r="F9" s="4">
        <v>2024</v>
      </c>
      <c r="G9" s="21" t="str">
        <f t="shared" si="0"/>
        <v>Not Popular</v>
      </c>
      <c r="H9" s="21" t="str">
        <f t="shared" si="1"/>
        <v>Action or Drama</v>
      </c>
      <c r="I9" s="21" t="str">
        <f t="shared" si="2"/>
        <v>Not Comedy</v>
      </c>
      <c r="J9" s="21" t="str">
        <f t="shared" si="3"/>
        <v>Recent</v>
      </c>
    </row>
    <row r="10" spans="1:13" x14ac:dyDescent="0.35">
      <c r="A10" s="4" t="s">
        <v>437</v>
      </c>
      <c r="B10" s="4" t="s">
        <v>438</v>
      </c>
      <c r="C10" s="4" t="s">
        <v>227</v>
      </c>
      <c r="D10" s="20">
        <v>3.6</v>
      </c>
      <c r="E10" s="4">
        <v>10937</v>
      </c>
      <c r="F10" s="4">
        <v>2024</v>
      </c>
      <c r="G10" s="21" t="str">
        <f t="shared" si="0"/>
        <v>Not Popular</v>
      </c>
      <c r="H10" s="21" t="str">
        <f t="shared" si="1"/>
        <v>Other</v>
      </c>
      <c r="I10" s="21" t="str">
        <f t="shared" si="2"/>
        <v>Comedy</v>
      </c>
      <c r="J10" s="21" t="str">
        <f t="shared" si="3"/>
        <v>Recent</v>
      </c>
    </row>
    <row r="11" spans="1:13" x14ac:dyDescent="0.35">
      <c r="A11" s="4" t="s">
        <v>631</v>
      </c>
      <c r="B11" s="4" t="s">
        <v>632</v>
      </c>
      <c r="C11" s="4" t="s">
        <v>93</v>
      </c>
      <c r="D11" s="20">
        <v>4.0999999999999996</v>
      </c>
      <c r="E11" s="4">
        <v>124735</v>
      </c>
      <c r="F11" s="4">
        <v>2024</v>
      </c>
      <c r="G11" s="21" t="str">
        <f t="shared" si="0"/>
        <v>Not Popular</v>
      </c>
      <c r="H11" s="21" t="str">
        <f t="shared" si="1"/>
        <v>Action or Drama</v>
      </c>
      <c r="I11" s="21" t="str">
        <f t="shared" si="2"/>
        <v>Not Comedy</v>
      </c>
      <c r="J11" s="21" t="str">
        <f t="shared" si="3"/>
        <v>Recent</v>
      </c>
    </row>
    <row r="12" spans="1:13" x14ac:dyDescent="0.35">
      <c r="A12" s="4" t="s">
        <v>2038</v>
      </c>
      <c r="B12" s="4" t="s">
        <v>2039</v>
      </c>
      <c r="C12" s="4" t="s">
        <v>93</v>
      </c>
      <c r="D12" s="20">
        <v>5.0999999999999996</v>
      </c>
      <c r="E12" s="4">
        <v>12964</v>
      </c>
      <c r="F12" s="4">
        <v>2024</v>
      </c>
      <c r="G12" s="21" t="str">
        <f t="shared" si="0"/>
        <v>Popular</v>
      </c>
      <c r="H12" s="21" t="str">
        <f t="shared" si="1"/>
        <v>Action or Drama</v>
      </c>
      <c r="I12" s="21" t="str">
        <f t="shared" si="2"/>
        <v>Not Comedy</v>
      </c>
      <c r="J12" s="21" t="str">
        <f t="shared" si="3"/>
        <v>Recent</v>
      </c>
    </row>
    <row r="13" spans="1:13" x14ac:dyDescent="0.35">
      <c r="A13" s="4" t="s">
        <v>1389</v>
      </c>
      <c r="B13" s="4" t="s">
        <v>1390</v>
      </c>
      <c r="C13" s="4" t="s">
        <v>76</v>
      </c>
      <c r="D13" s="20">
        <v>4.8</v>
      </c>
      <c r="E13" s="4">
        <v>25522</v>
      </c>
      <c r="F13" s="4">
        <v>2024</v>
      </c>
      <c r="G13" s="21" t="str">
        <f t="shared" si="0"/>
        <v>Not Popular</v>
      </c>
      <c r="H13" s="21" t="str">
        <f t="shared" si="1"/>
        <v>Horror or Thriller</v>
      </c>
      <c r="I13" s="21" t="str">
        <f t="shared" si="2"/>
        <v>Not Comedy</v>
      </c>
      <c r="J13" s="21" t="str">
        <f t="shared" si="3"/>
        <v>Recent</v>
      </c>
    </row>
    <row r="14" spans="1:13" x14ac:dyDescent="0.35">
      <c r="A14" s="4" t="s">
        <v>1951</v>
      </c>
      <c r="B14" s="4" t="s">
        <v>1952</v>
      </c>
      <c r="C14" s="4" t="s">
        <v>93</v>
      </c>
      <c r="D14" s="20">
        <v>5.0999999999999996</v>
      </c>
      <c r="E14" s="4">
        <v>23343</v>
      </c>
      <c r="F14" s="4">
        <v>2024</v>
      </c>
      <c r="G14" s="21" t="str">
        <f t="shared" si="0"/>
        <v>Popular</v>
      </c>
      <c r="H14" s="21" t="str">
        <f t="shared" si="1"/>
        <v>Action or Drama</v>
      </c>
      <c r="I14" s="21" t="str">
        <f t="shared" si="2"/>
        <v>Not Comedy</v>
      </c>
      <c r="J14" s="21" t="str">
        <f t="shared" si="3"/>
        <v>Recent</v>
      </c>
    </row>
    <row r="15" spans="1:13" x14ac:dyDescent="0.35">
      <c r="A15" s="4" t="s">
        <v>117</v>
      </c>
      <c r="B15" s="4" t="s">
        <v>118</v>
      </c>
      <c r="C15" s="4" t="s">
        <v>119</v>
      </c>
      <c r="D15" s="20">
        <v>2</v>
      </c>
      <c r="E15" s="4">
        <v>16400</v>
      </c>
      <c r="F15" s="4">
        <v>2024</v>
      </c>
      <c r="G15" s="21" t="str">
        <f t="shared" si="0"/>
        <v>Not Popular</v>
      </c>
      <c r="H15" s="21" t="str">
        <f t="shared" si="1"/>
        <v>Action or Drama</v>
      </c>
      <c r="I15" s="21" t="str">
        <f t="shared" si="2"/>
        <v>Not Comedy</v>
      </c>
      <c r="J15" s="21" t="str">
        <f t="shared" si="3"/>
        <v>Recent</v>
      </c>
    </row>
    <row r="16" spans="1:13" x14ac:dyDescent="0.35">
      <c r="A16" s="4" t="s">
        <v>1233</v>
      </c>
      <c r="B16" s="4" t="s">
        <v>1234</v>
      </c>
      <c r="C16" s="4" t="s">
        <v>82</v>
      </c>
      <c r="D16" s="20">
        <v>4.7</v>
      </c>
      <c r="E16" s="4">
        <v>25006</v>
      </c>
      <c r="F16" s="4">
        <v>2024</v>
      </c>
      <c r="G16" s="21" t="str">
        <f t="shared" si="0"/>
        <v>Not Popular</v>
      </c>
      <c r="H16" s="21" t="str">
        <f t="shared" si="1"/>
        <v>Horror or Thriller</v>
      </c>
      <c r="I16" s="21" t="str">
        <f t="shared" si="2"/>
        <v>Not Comedy</v>
      </c>
      <c r="J16" s="21" t="str">
        <f t="shared" si="3"/>
        <v>Recent</v>
      </c>
    </row>
    <row r="17" spans="1:10" x14ac:dyDescent="0.35">
      <c r="A17" s="4" t="s">
        <v>1454</v>
      </c>
      <c r="B17" s="4" t="s">
        <v>1455</v>
      </c>
      <c r="C17" s="4" t="s">
        <v>128</v>
      </c>
      <c r="D17" s="20">
        <v>4.8</v>
      </c>
      <c r="E17" s="4">
        <v>15187</v>
      </c>
      <c r="F17" s="4">
        <v>2024</v>
      </c>
      <c r="G17" s="21" t="str">
        <f t="shared" si="0"/>
        <v>Not Popular</v>
      </c>
      <c r="H17" s="21" t="str">
        <f t="shared" si="1"/>
        <v>Action or Drama</v>
      </c>
      <c r="I17" s="21" t="str">
        <f t="shared" si="2"/>
        <v>Comedy</v>
      </c>
      <c r="J17" s="21" t="str">
        <f t="shared" si="3"/>
        <v>Recent</v>
      </c>
    </row>
    <row r="18" spans="1:10" x14ac:dyDescent="0.35">
      <c r="A18" s="4" t="s">
        <v>1992</v>
      </c>
      <c r="B18" s="4" t="s">
        <v>1993</v>
      </c>
      <c r="C18" s="4" t="s">
        <v>1994</v>
      </c>
      <c r="D18" s="20">
        <v>5.0999999999999996</v>
      </c>
      <c r="E18" s="4">
        <v>17457</v>
      </c>
      <c r="F18" s="4">
        <v>2024</v>
      </c>
      <c r="G18" s="21" t="str">
        <f t="shared" si="0"/>
        <v>Popular</v>
      </c>
      <c r="H18" s="21" t="str">
        <f t="shared" si="1"/>
        <v>Action or Drama</v>
      </c>
      <c r="I18" s="21" t="str">
        <f t="shared" si="2"/>
        <v>Not Comedy</v>
      </c>
      <c r="J18" s="21" t="str">
        <f t="shared" si="3"/>
        <v>Recent</v>
      </c>
    </row>
    <row r="19" spans="1:10" x14ac:dyDescent="0.35">
      <c r="A19" s="4" t="s">
        <v>952</v>
      </c>
      <c r="B19" s="4" t="s">
        <v>953</v>
      </c>
      <c r="C19" s="4" t="s">
        <v>568</v>
      </c>
      <c r="D19" s="20">
        <v>4.5</v>
      </c>
      <c r="E19" s="4">
        <v>34529</v>
      </c>
      <c r="F19" s="4">
        <v>2024</v>
      </c>
      <c r="G19" s="21" t="str">
        <f t="shared" si="0"/>
        <v>Not Popular</v>
      </c>
      <c r="H19" s="21" t="str">
        <f t="shared" si="1"/>
        <v>Action or Drama</v>
      </c>
      <c r="I19" s="21" t="str">
        <f t="shared" si="2"/>
        <v>Not Comedy</v>
      </c>
      <c r="J19" s="21" t="str">
        <f t="shared" si="3"/>
        <v>Recent</v>
      </c>
    </row>
    <row r="20" spans="1:10" x14ac:dyDescent="0.35">
      <c r="A20" s="4" t="s">
        <v>591</v>
      </c>
      <c r="B20" s="4" t="s">
        <v>592</v>
      </c>
      <c r="C20" s="4" t="s">
        <v>163</v>
      </c>
      <c r="D20" s="20">
        <v>4</v>
      </c>
      <c r="E20" s="4">
        <v>91349</v>
      </c>
      <c r="F20" s="4">
        <v>2024</v>
      </c>
      <c r="G20" s="21" t="str">
        <f t="shared" si="0"/>
        <v>Not Popular</v>
      </c>
      <c r="H20" s="21" t="str">
        <f t="shared" si="1"/>
        <v>Action or Drama</v>
      </c>
      <c r="I20" s="21" t="str">
        <f t="shared" si="2"/>
        <v>Not Comedy</v>
      </c>
      <c r="J20" s="21" t="str">
        <f t="shared" si="3"/>
        <v>Recent</v>
      </c>
    </row>
    <row r="21" spans="1:10" x14ac:dyDescent="0.35">
      <c r="A21" s="4" t="s">
        <v>1547</v>
      </c>
      <c r="B21" s="4" t="s">
        <v>1548</v>
      </c>
      <c r="C21" s="4" t="s">
        <v>56</v>
      </c>
      <c r="D21" s="20">
        <v>4.9000000000000004</v>
      </c>
      <c r="E21" s="4">
        <v>58338</v>
      </c>
      <c r="F21" s="4">
        <v>2024</v>
      </c>
      <c r="G21" s="21" t="str">
        <f t="shared" si="0"/>
        <v>Not Popular</v>
      </c>
      <c r="H21" s="21" t="str">
        <f t="shared" si="1"/>
        <v>Action or Drama</v>
      </c>
      <c r="I21" s="21" t="str">
        <f t="shared" si="2"/>
        <v>Not Comedy</v>
      </c>
      <c r="J21" s="21" t="str">
        <f t="shared" si="3"/>
        <v>Recent</v>
      </c>
    </row>
    <row r="22" spans="1:10" x14ac:dyDescent="0.35">
      <c r="A22" s="4" t="s">
        <v>566</v>
      </c>
      <c r="B22" s="4" t="s">
        <v>567</v>
      </c>
      <c r="C22" s="4" t="s">
        <v>568</v>
      </c>
      <c r="D22" s="20">
        <v>3.9</v>
      </c>
      <c r="E22" s="4">
        <v>15666</v>
      </c>
      <c r="F22" s="4">
        <v>2024</v>
      </c>
      <c r="G22" s="21" t="str">
        <f t="shared" si="0"/>
        <v>Not Popular</v>
      </c>
      <c r="H22" s="21" t="str">
        <f t="shared" si="1"/>
        <v>Action or Drama</v>
      </c>
      <c r="I22" s="21" t="str">
        <f t="shared" si="2"/>
        <v>Not Comedy</v>
      </c>
      <c r="J22" s="21" t="str">
        <f t="shared" si="3"/>
        <v>Recent</v>
      </c>
    </row>
    <row r="23" spans="1:10" x14ac:dyDescent="0.35">
      <c r="A23" s="4" t="s">
        <v>1273</v>
      </c>
      <c r="B23" s="4" t="s">
        <v>1274</v>
      </c>
      <c r="C23" s="4" t="s">
        <v>175</v>
      </c>
      <c r="D23" s="20">
        <v>4.7</v>
      </c>
      <c r="E23" s="4">
        <v>15023</v>
      </c>
      <c r="F23" s="4">
        <v>2024</v>
      </c>
      <c r="G23" s="21" t="str">
        <f t="shared" si="0"/>
        <v>Not Popular</v>
      </c>
      <c r="H23" s="21" t="str">
        <f t="shared" si="1"/>
        <v>Horror or Thriller</v>
      </c>
      <c r="I23" s="21" t="str">
        <f t="shared" si="2"/>
        <v>Not Comedy</v>
      </c>
      <c r="J23" s="21" t="str">
        <f t="shared" si="3"/>
        <v>Recent</v>
      </c>
    </row>
    <row r="24" spans="1:10" x14ac:dyDescent="0.35">
      <c r="A24" s="4" t="s">
        <v>456</v>
      </c>
      <c r="B24" s="4" t="s">
        <v>457</v>
      </c>
      <c r="C24" s="4" t="s">
        <v>93</v>
      </c>
      <c r="D24" s="20">
        <v>3.7</v>
      </c>
      <c r="E24" s="4">
        <v>25920</v>
      </c>
      <c r="F24" s="4">
        <v>2024</v>
      </c>
      <c r="G24" s="21" t="str">
        <f t="shared" si="0"/>
        <v>Not Popular</v>
      </c>
      <c r="H24" s="21" t="str">
        <f t="shared" si="1"/>
        <v>Action or Drama</v>
      </c>
      <c r="I24" s="21" t="str">
        <f t="shared" si="2"/>
        <v>Not Comedy</v>
      </c>
      <c r="J24" s="21" t="str">
        <f t="shared" si="3"/>
        <v>Recent</v>
      </c>
    </row>
    <row r="25" spans="1:10" x14ac:dyDescent="0.35">
      <c r="A25" s="4" t="s">
        <v>1423</v>
      </c>
      <c r="B25" s="4" t="s">
        <v>1424</v>
      </c>
      <c r="C25" s="4" t="s">
        <v>93</v>
      </c>
      <c r="D25" s="20">
        <v>4.8</v>
      </c>
      <c r="E25" s="4">
        <v>17929</v>
      </c>
      <c r="F25" s="4">
        <v>2024</v>
      </c>
      <c r="G25" s="21" t="str">
        <f t="shared" si="0"/>
        <v>Not Popular</v>
      </c>
      <c r="H25" s="21" t="str">
        <f t="shared" si="1"/>
        <v>Action or Drama</v>
      </c>
      <c r="I25" s="21" t="str">
        <f t="shared" si="2"/>
        <v>Not Comedy</v>
      </c>
      <c r="J25" s="21" t="str">
        <f t="shared" si="3"/>
        <v>Recent</v>
      </c>
    </row>
    <row r="26" spans="1:10" x14ac:dyDescent="0.35">
      <c r="A26" s="4" t="s">
        <v>1124</v>
      </c>
      <c r="B26" s="4" t="s">
        <v>1125</v>
      </c>
      <c r="C26" s="4" t="s">
        <v>93</v>
      </c>
      <c r="D26" s="20">
        <v>4.5999999999999996</v>
      </c>
      <c r="E26" s="4">
        <v>12654</v>
      </c>
      <c r="F26" s="4">
        <v>2024</v>
      </c>
      <c r="G26" s="21" t="str">
        <f t="shared" si="0"/>
        <v>Not Popular</v>
      </c>
      <c r="H26" s="21" t="str">
        <f t="shared" si="1"/>
        <v>Action or Drama</v>
      </c>
      <c r="I26" s="21" t="str">
        <f t="shared" si="2"/>
        <v>Not Comedy</v>
      </c>
      <c r="J26" s="21" t="str">
        <f t="shared" si="3"/>
        <v>Recent</v>
      </c>
    </row>
    <row r="27" spans="1:10" x14ac:dyDescent="0.35">
      <c r="A27" s="4" t="s">
        <v>1062</v>
      </c>
      <c r="B27" s="4" t="s">
        <v>1063</v>
      </c>
      <c r="C27" s="4" t="s">
        <v>178</v>
      </c>
      <c r="D27" s="20">
        <v>4.5999999999999996</v>
      </c>
      <c r="E27" s="4">
        <v>31263</v>
      </c>
      <c r="F27" s="4">
        <v>2024</v>
      </c>
      <c r="G27" s="21" t="str">
        <f t="shared" si="0"/>
        <v>Not Popular</v>
      </c>
      <c r="H27" s="21" t="str">
        <f t="shared" si="1"/>
        <v>Action or Drama</v>
      </c>
      <c r="I27" s="21" t="str">
        <f t="shared" si="2"/>
        <v>Comedy</v>
      </c>
      <c r="J27" s="21" t="str">
        <f t="shared" si="3"/>
        <v>Recent</v>
      </c>
    </row>
    <row r="28" spans="1:10" x14ac:dyDescent="0.35">
      <c r="A28" s="4" t="s">
        <v>1735</v>
      </c>
      <c r="B28" s="4" t="s">
        <v>1736</v>
      </c>
      <c r="C28" s="4" t="s">
        <v>211</v>
      </c>
      <c r="D28" s="20">
        <v>5</v>
      </c>
      <c r="E28" s="4">
        <v>30918</v>
      </c>
      <c r="F28" s="4">
        <v>2024</v>
      </c>
      <c r="G28" s="21" t="str">
        <f t="shared" si="0"/>
        <v>Not Popular</v>
      </c>
      <c r="H28" s="21" t="str">
        <f t="shared" si="1"/>
        <v>Horror or Thriller</v>
      </c>
      <c r="I28" s="21" t="str">
        <f t="shared" si="2"/>
        <v>Comedy</v>
      </c>
      <c r="J28" s="21" t="str">
        <f t="shared" si="3"/>
        <v>Recent</v>
      </c>
    </row>
    <row r="29" spans="1:10" x14ac:dyDescent="0.35">
      <c r="A29" s="4" t="s">
        <v>538</v>
      </c>
      <c r="B29" s="4" t="s">
        <v>539</v>
      </c>
      <c r="C29" s="4" t="s">
        <v>163</v>
      </c>
      <c r="D29" s="20">
        <v>3.9</v>
      </c>
      <c r="E29" s="4">
        <v>38451</v>
      </c>
      <c r="F29" s="4">
        <v>2024</v>
      </c>
      <c r="G29" s="21" t="str">
        <f t="shared" si="0"/>
        <v>Not Popular</v>
      </c>
      <c r="H29" s="21" t="str">
        <f t="shared" si="1"/>
        <v>Action or Drama</v>
      </c>
      <c r="I29" s="21" t="str">
        <f t="shared" si="2"/>
        <v>Not Comedy</v>
      </c>
      <c r="J29" s="21" t="str">
        <f t="shared" si="3"/>
        <v>Recent</v>
      </c>
    </row>
    <row r="30" spans="1:10" x14ac:dyDescent="0.35">
      <c r="A30" s="4" t="s">
        <v>1592</v>
      </c>
      <c r="B30" s="4" t="s">
        <v>1593</v>
      </c>
      <c r="C30" s="4" t="s">
        <v>116</v>
      </c>
      <c r="D30" s="20">
        <v>4.9000000000000004</v>
      </c>
      <c r="E30" s="4">
        <v>25175</v>
      </c>
      <c r="F30" s="4">
        <v>2024</v>
      </c>
      <c r="G30" s="21" t="str">
        <f t="shared" si="0"/>
        <v>Not Popular</v>
      </c>
      <c r="H30" s="21" t="str">
        <f t="shared" si="1"/>
        <v>Other</v>
      </c>
      <c r="I30" s="21" t="str">
        <f t="shared" si="2"/>
        <v>Comedy</v>
      </c>
      <c r="J30" s="21" t="str">
        <f t="shared" si="3"/>
        <v>Recent</v>
      </c>
    </row>
    <row r="31" spans="1:10" x14ac:dyDescent="0.35">
      <c r="A31" s="4" t="s">
        <v>2058</v>
      </c>
      <c r="B31" s="4" t="s">
        <v>2059</v>
      </c>
      <c r="C31" s="4" t="s">
        <v>759</v>
      </c>
      <c r="D31" s="20">
        <v>5.0999999999999996</v>
      </c>
      <c r="E31" s="4">
        <v>11639</v>
      </c>
      <c r="F31" s="4">
        <v>2023</v>
      </c>
      <c r="G31" s="21" t="str">
        <f t="shared" si="0"/>
        <v>Popular</v>
      </c>
      <c r="H31" s="21" t="str">
        <f t="shared" si="1"/>
        <v>Action or Drama</v>
      </c>
      <c r="I31" s="21" t="str">
        <f t="shared" si="2"/>
        <v>Comedy</v>
      </c>
      <c r="J31" s="21" t="str">
        <f t="shared" si="3"/>
        <v>Recent</v>
      </c>
    </row>
    <row r="32" spans="1:10" x14ac:dyDescent="0.35">
      <c r="A32" s="4" t="s">
        <v>250</v>
      </c>
      <c r="B32" s="4" t="s">
        <v>251</v>
      </c>
      <c r="C32" s="4" t="s">
        <v>76</v>
      </c>
      <c r="D32" s="20">
        <v>2.9</v>
      </c>
      <c r="E32" s="4">
        <v>31766</v>
      </c>
      <c r="F32" s="4">
        <v>2023</v>
      </c>
      <c r="G32" s="21" t="str">
        <f t="shared" si="0"/>
        <v>Not Popular</v>
      </c>
      <c r="H32" s="21" t="str">
        <f t="shared" si="1"/>
        <v>Horror or Thriller</v>
      </c>
      <c r="I32" s="21" t="str">
        <f t="shared" si="2"/>
        <v>Not Comedy</v>
      </c>
      <c r="J32" s="21" t="str">
        <f t="shared" si="3"/>
        <v>Recent</v>
      </c>
    </row>
    <row r="33" spans="1:10" x14ac:dyDescent="0.35">
      <c r="A33" s="4" t="s">
        <v>63</v>
      </c>
      <c r="B33" s="4" t="s">
        <v>64</v>
      </c>
      <c r="C33" s="4" t="s">
        <v>65</v>
      </c>
      <c r="D33" s="20">
        <v>1.6</v>
      </c>
      <c r="E33" s="4">
        <v>79558</v>
      </c>
      <c r="F33" s="4">
        <v>2023</v>
      </c>
      <c r="G33" s="21" t="str">
        <f t="shared" si="0"/>
        <v>Not Popular</v>
      </c>
      <c r="H33" s="21" t="str">
        <f t="shared" si="1"/>
        <v>Other</v>
      </c>
      <c r="I33" s="21" t="str">
        <f t="shared" si="2"/>
        <v>Comedy</v>
      </c>
      <c r="J33" s="21" t="str">
        <f t="shared" si="3"/>
        <v>Recent</v>
      </c>
    </row>
    <row r="34" spans="1:10" x14ac:dyDescent="0.35">
      <c r="A34" s="4" t="s">
        <v>1647</v>
      </c>
      <c r="B34" s="4" t="s">
        <v>1648</v>
      </c>
      <c r="C34" s="4" t="s">
        <v>846</v>
      </c>
      <c r="D34" s="20">
        <v>4.9000000000000004</v>
      </c>
      <c r="E34" s="4">
        <v>12479</v>
      </c>
      <c r="F34" s="4">
        <v>2023</v>
      </c>
      <c r="G34" s="21" t="str">
        <f t="shared" si="0"/>
        <v>Not Popular</v>
      </c>
      <c r="H34" s="21" t="str">
        <f t="shared" si="1"/>
        <v>Action or Drama</v>
      </c>
      <c r="I34" s="21" t="str">
        <f t="shared" si="2"/>
        <v>Not Comedy</v>
      </c>
      <c r="J34" s="21" t="str">
        <f t="shared" si="3"/>
        <v>Recent</v>
      </c>
    </row>
    <row r="35" spans="1:10" x14ac:dyDescent="0.35">
      <c r="A35" s="4" t="s">
        <v>18</v>
      </c>
      <c r="B35" s="4" t="s">
        <v>19</v>
      </c>
      <c r="C35" s="4" t="s">
        <v>20</v>
      </c>
      <c r="D35" s="20">
        <v>1.1000000000000001</v>
      </c>
      <c r="E35" s="4">
        <v>12019</v>
      </c>
      <c r="F35" s="4">
        <v>2023</v>
      </c>
      <c r="G35" s="21" t="str">
        <f t="shared" si="0"/>
        <v>Not Popular</v>
      </c>
      <c r="H35" s="21" t="str">
        <f t="shared" si="1"/>
        <v>Action or Drama</v>
      </c>
      <c r="I35" s="21" t="str">
        <f t="shared" si="2"/>
        <v>Not Comedy</v>
      </c>
      <c r="J35" s="21" t="str">
        <f t="shared" si="3"/>
        <v>Recent</v>
      </c>
    </row>
    <row r="36" spans="1:10" x14ac:dyDescent="0.35">
      <c r="A36" s="4" t="s">
        <v>829</v>
      </c>
      <c r="B36" s="4" t="s">
        <v>830</v>
      </c>
      <c r="C36" s="4" t="s">
        <v>544</v>
      </c>
      <c r="D36" s="20">
        <v>4.4000000000000004</v>
      </c>
      <c r="E36" s="4">
        <v>112636</v>
      </c>
      <c r="F36" s="4">
        <v>2023</v>
      </c>
      <c r="G36" s="21" t="str">
        <f t="shared" si="0"/>
        <v>Not Popular</v>
      </c>
      <c r="H36" s="21" t="str">
        <f t="shared" si="1"/>
        <v>Action or Drama</v>
      </c>
      <c r="I36" s="21" t="str">
        <f t="shared" si="2"/>
        <v>Not Comedy</v>
      </c>
      <c r="J36" s="21" t="str">
        <f t="shared" si="3"/>
        <v>Recent</v>
      </c>
    </row>
    <row r="37" spans="1:10" x14ac:dyDescent="0.35">
      <c r="A37" s="4" t="s">
        <v>311</v>
      </c>
      <c r="B37" s="4" t="s">
        <v>312</v>
      </c>
      <c r="C37" s="4" t="s">
        <v>76</v>
      </c>
      <c r="D37" s="20">
        <v>3.2</v>
      </c>
      <c r="E37" s="4">
        <v>12288</v>
      </c>
      <c r="F37" s="4">
        <v>2023</v>
      </c>
      <c r="G37" s="21" t="str">
        <f t="shared" si="0"/>
        <v>Not Popular</v>
      </c>
      <c r="H37" s="21" t="str">
        <f t="shared" si="1"/>
        <v>Horror or Thriller</v>
      </c>
      <c r="I37" s="21" t="str">
        <f t="shared" si="2"/>
        <v>Not Comedy</v>
      </c>
      <c r="J37" s="21" t="str">
        <f t="shared" si="3"/>
        <v>Recent</v>
      </c>
    </row>
    <row r="38" spans="1:10" x14ac:dyDescent="0.35">
      <c r="A38" s="4" t="s">
        <v>1345</v>
      </c>
      <c r="B38" s="4" t="s">
        <v>1346</v>
      </c>
      <c r="C38" s="4" t="s">
        <v>134</v>
      </c>
      <c r="D38" s="20">
        <v>4.8</v>
      </c>
      <c r="E38" s="4">
        <v>45770</v>
      </c>
      <c r="F38" s="4">
        <v>2023</v>
      </c>
      <c r="G38" s="21" t="str">
        <f t="shared" si="0"/>
        <v>Not Popular</v>
      </c>
      <c r="H38" s="21" t="str">
        <f t="shared" si="1"/>
        <v>Action or Drama</v>
      </c>
      <c r="I38" s="21" t="str">
        <f t="shared" si="2"/>
        <v>Not Comedy</v>
      </c>
      <c r="J38" s="21" t="str">
        <f t="shared" si="3"/>
        <v>Recent</v>
      </c>
    </row>
    <row r="39" spans="1:10" x14ac:dyDescent="0.35">
      <c r="A39" s="4" t="s">
        <v>1351</v>
      </c>
      <c r="B39" s="4" t="s">
        <v>1352</v>
      </c>
      <c r="C39" s="4" t="s">
        <v>76</v>
      </c>
      <c r="D39" s="20">
        <v>4.8</v>
      </c>
      <c r="E39" s="4">
        <v>44700</v>
      </c>
      <c r="F39" s="4">
        <v>2023</v>
      </c>
      <c r="G39" s="21" t="str">
        <f t="shared" si="0"/>
        <v>Not Popular</v>
      </c>
      <c r="H39" s="21" t="str">
        <f t="shared" si="1"/>
        <v>Horror or Thriller</v>
      </c>
      <c r="I39" s="21" t="str">
        <f t="shared" si="2"/>
        <v>Not Comedy</v>
      </c>
      <c r="J39" s="21" t="str">
        <f t="shared" si="3"/>
        <v>Recent</v>
      </c>
    </row>
    <row r="40" spans="1:10" x14ac:dyDescent="0.35">
      <c r="A40" s="4" t="s">
        <v>757</v>
      </c>
      <c r="B40" s="4" t="s">
        <v>758</v>
      </c>
      <c r="C40" s="4" t="s">
        <v>759</v>
      </c>
      <c r="D40" s="20">
        <v>4.3</v>
      </c>
      <c r="E40" s="4">
        <v>52995</v>
      </c>
      <c r="F40" s="4">
        <v>2023</v>
      </c>
      <c r="G40" s="21" t="str">
        <f t="shared" si="0"/>
        <v>Not Popular</v>
      </c>
      <c r="H40" s="21" t="str">
        <f t="shared" si="1"/>
        <v>Action or Drama</v>
      </c>
      <c r="I40" s="21" t="str">
        <f t="shared" si="2"/>
        <v>Comedy</v>
      </c>
      <c r="J40" s="21" t="str">
        <f t="shared" si="3"/>
        <v>Recent</v>
      </c>
    </row>
    <row r="41" spans="1:10" x14ac:dyDescent="0.35">
      <c r="A41" s="4" t="s">
        <v>872</v>
      </c>
      <c r="B41" s="4" t="s">
        <v>873</v>
      </c>
      <c r="C41" s="4" t="s">
        <v>568</v>
      </c>
      <c r="D41" s="20">
        <v>4.4000000000000004</v>
      </c>
      <c r="E41" s="4">
        <v>23267</v>
      </c>
      <c r="F41" s="4">
        <v>2023</v>
      </c>
      <c r="G41" s="21" t="str">
        <f t="shared" si="0"/>
        <v>Not Popular</v>
      </c>
      <c r="H41" s="21" t="str">
        <f t="shared" si="1"/>
        <v>Action or Drama</v>
      </c>
      <c r="I41" s="21" t="str">
        <f t="shared" si="2"/>
        <v>Not Comedy</v>
      </c>
      <c r="J41" s="21" t="str">
        <f t="shared" si="3"/>
        <v>Recent</v>
      </c>
    </row>
    <row r="42" spans="1:10" x14ac:dyDescent="0.35">
      <c r="A42" s="4" t="s">
        <v>979</v>
      </c>
      <c r="B42" s="4" t="s">
        <v>980</v>
      </c>
      <c r="C42" s="4" t="s">
        <v>682</v>
      </c>
      <c r="D42" s="20">
        <v>4.5</v>
      </c>
      <c r="E42" s="4">
        <v>19385</v>
      </c>
      <c r="F42" s="4">
        <v>2023</v>
      </c>
      <c r="G42" s="21" t="str">
        <f t="shared" si="0"/>
        <v>Not Popular</v>
      </c>
      <c r="H42" s="21" t="str">
        <f t="shared" si="1"/>
        <v>Action or Drama</v>
      </c>
      <c r="I42" s="21" t="str">
        <f t="shared" si="2"/>
        <v>Not Comedy</v>
      </c>
      <c r="J42" s="21" t="str">
        <f t="shared" si="3"/>
        <v>Recent</v>
      </c>
    </row>
    <row r="43" spans="1:10" x14ac:dyDescent="0.35">
      <c r="A43" s="4" t="s">
        <v>958</v>
      </c>
      <c r="B43" s="4" t="s">
        <v>959</v>
      </c>
      <c r="C43" s="4" t="s">
        <v>125</v>
      </c>
      <c r="D43" s="20">
        <v>4.5</v>
      </c>
      <c r="E43" s="4">
        <v>31620</v>
      </c>
      <c r="F43" s="4">
        <v>2023</v>
      </c>
      <c r="G43" s="21" t="str">
        <f t="shared" si="0"/>
        <v>Not Popular</v>
      </c>
      <c r="H43" s="21" t="str">
        <f t="shared" si="1"/>
        <v>Action or Drama</v>
      </c>
      <c r="I43" s="21" t="str">
        <f t="shared" si="2"/>
        <v>Comedy</v>
      </c>
      <c r="J43" s="21" t="str">
        <f t="shared" si="3"/>
        <v>Recent</v>
      </c>
    </row>
    <row r="44" spans="1:10" x14ac:dyDescent="0.35">
      <c r="A44" s="4" t="s">
        <v>1813</v>
      </c>
      <c r="B44" s="4" t="s">
        <v>1814</v>
      </c>
      <c r="C44" s="4" t="s">
        <v>565</v>
      </c>
      <c r="D44" s="20">
        <v>5</v>
      </c>
      <c r="E44" s="4">
        <v>12235</v>
      </c>
      <c r="F44" s="4">
        <v>2023</v>
      </c>
      <c r="G44" s="21" t="str">
        <f t="shared" si="0"/>
        <v>Not Popular</v>
      </c>
      <c r="H44" s="21" t="str">
        <f t="shared" si="1"/>
        <v>Action or Drama</v>
      </c>
      <c r="I44" s="21" t="str">
        <f t="shared" si="2"/>
        <v>Not Comedy</v>
      </c>
      <c r="J44" s="21" t="str">
        <f t="shared" si="3"/>
        <v>Recent</v>
      </c>
    </row>
    <row r="45" spans="1:10" x14ac:dyDescent="0.35">
      <c r="A45" s="4" t="s">
        <v>38</v>
      </c>
      <c r="B45" s="4" t="s">
        <v>39</v>
      </c>
      <c r="C45" s="4" t="s">
        <v>20</v>
      </c>
      <c r="D45" s="20">
        <v>1.2</v>
      </c>
      <c r="E45" s="4">
        <v>10674</v>
      </c>
      <c r="F45" s="4">
        <v>2023</v>
      </c>
      <c r="G45" s="21" t="str">
        <f t="shared" si="0"/>
        <v>Not Popular</v>
      </c>
      <c r="H45" s="21" t="str">
        <f t="shared" si="1"/>
        <v>Action or Drama</v>
      </c>
      <c r="I45" s="21" t="str">
        <f t="shared" si="2"/>
        <v>Not Comedy</v>
      </c>
      <c r="J45" s="21" t="str">
        <f t="shared" si="3"/>
        <v>Recent</v>
      </c>
    </row>
    <row r="46" spans="1:10" x14ac:dyDescent="0.35">
      <c r="A46" s="4" t="s">
        <v>27</v>
      </c>
      <c r="B46" s="4" t="s">
        <v>28</v>
      </c>
      <c r="C46" s="4" t="s">
        <v>20</v>
      </c>
      <c r="D46" s="20">
        <v>1.2</v>
      </c>
      <c r="E46" s="4">
        <v>86315</v>
      </c>
      <c r="F46" s="4">
        <v>2023</v>
      </c>
      <c r="G46" s="21" t="str">
        <f t="shared" si="0"/>
        <v>Not Popular</v>
      </c>
      <c r="H46" s="21" t="str">
        <f t="shared" si="1"/>
        <v>Action or Drama</v>
      </c>
      <c r="I46" s="21" t="str">
        <f t="shared" si="2"/>
        <v>Not Comedy</v>
      </c>
      <c r="J46" s="21" t="str">
        <f t="shared" si="3"/>
        <v>Recent</v>
      </c>
    </row>
    <row r="47" spans="1:10" x14ac:dyDescent="0.35">
      <c r="A47" s="4" t="s">
        <v>864</v>
      </c>
      <c r="B47" s="4" t="s">
        <v>865</v>
      </c>
      <c r="C47" s="4" t="s">
        <v>90</v>
      </c>
      <c r="D47" s="20">
        <v>4.4000000000000004</v>
      </c>
      <c r="E47" s="4">
        <v>28639</v>
      </c>
      <c r="F47" s="4">
        <v>2023</v>
      </c>
      <c r="G47" s="21" t="str">
        <f t="shared" si="0"/>
        <v>Not Popular</v>
      </c>
      <c r="H47" s="21" t="str">
        <f t="shared" si="1"/>
        <v>Other</v>
      </c>
      <c r="I47" s="21" t="str">
        <f t="shared" si="2"/>
        <v>Not Comedy</v>
      </c>
      <c r="J47" s="21" t="str">
        <f t="shared" si="3"/>
        <v>Recent</v>
      </c>
    </row>
    <row r="48" spans="1:10" x14ac:dyDescent="0.35">
      <c r="A48" s="4" t="s">
        <v>1128</v>
      </c>
      <c r="B48" s="4" t="s">
        <v>1129</v>
      </c>
      <c r="C48" s="4" t="s">
        <v>859</v>
      </c>
      <c r="D48" s="20">
        <v>4.5999999999999996</v>
      </c>
      <c r="E48" s="4">
        <v>12471</v>
      </c>
      <c r="F48" s="4">
        <v>2023</v>
      </c>
      <c r="G48" s="21" t="str">
        <f t="shared" si="0"/>
        <v>Not Popular</v>
      </c>
      <c r="H48" s="21" t="str">
        <f t="shared" si="1"/>
        <v>Horror or Thriller</v>
      </c>
      <c r="I48" s="21" t="str">
        <f t="shared" si="2"/>
        <v>Not Comedy</v>
      </c>
      <c r="J48" s="21" t="str">
        <f t="shared" si="3"/>
        <v>Recent</v>
      </c>
    </row>
    <row r="49" spans="1:10" x14ac:dyDescent="0.35">
      <c r="A49" s="4" t="s">
        <v>1678</v>
      </c>
      <c r="B49" s="4" t="s">
        <v>1679</v>
      </c>
      <c r="C49" s="4" t="s">
        <v>122</v>
      </c>
      <c r="D49" s="20">
        <v>5</v>
      </c>
      <c r="E49" s="4">
        <v>87341</v>
      </c>
      <c r="F49" s="4">
        <v>2023</v>
      </c>
      <c r="G49" s="21" t="str">
        <f t="shared" si="0"/>
        <v>Not Popular</v>
      </c>
      <c r="H49" s="21" t="str">
        <f t="shared" si="1"/>
        <v>Action or Drama</v>
      </c>
      <c r="I49" s="21" t="str">
        <f t="shared" si="2"/>
        <v>Not Comedy</v>
      </c>
      <c r="J49" s="21" t="str">
        <f t="shared" si="3"/>
        <v>Recent</v>
      </c>
    </row>
    <row r="50" spans="1:10" x14ac:dyDescent="0.35">
      <c r="A50" s="4" t="s">
        <v>1845</v>
      </c>
      <c r="B50" s="4" t="s">
        <v>1846</v>
      </c>
      <c r="C50" s="4" t="s">
        <v>116</v>
      </c>
      <c r="D50" s="20">
        <v>5</v>
      </c>
      <c r="E50" s="4">
        <v>10175</v>
      </c>
      <c r="F50" s="4">
        <v>2023</v>
      </c>
      <c r="G50" s="21" t="str">
        <f t="shared" si="0"/>
        <v>Not Popular</v>
      </c>
      <c r="H50" s="21" t="str">
        <f t="shared" si="1"/>
        <v>Other</v>
      </c>
      <c r="I50" s="21" t="str">
        <f t="shared" si="2"/>
        <v>Comedy</v>
      </c>
      <c r="J50" s="21" t="str">
        <f t="shared" si="3"/>
        <v>Recent</v>
      </c>
    </row>
    <row r="51" spans="1:10" x14ac:dyDescent="0.35">
      <c r="A51" s="4" t="s">
        <v>2094</v>
      </c>
      <c r="B51" s="4" t="s">
        <v>2095</v>
      </c>
      <c r="C51" s="4" t="s">
        <v>846</v>
      </c>
      <c r="D51" s="20">
        <v>5.0999999999999996</v>
      </c>
      <c r="E51" s="4">
        <v>10168</v>
      </c>
      <c r="F51" s="4">
        <v>2023</v>
      </c>
      <c r="G51" s="21" t="str">
        <f t="shared" si="0"/>
        <v>Popular</v>
      </c>
      <c r="H51" s="21" t="str">
        <f t="shared" si="1"/>
        <v>Action or Drama</v>
      </c>
      <c r="I51" s="21" t="str">
        <f t="shared" si="2"/>
        <v>Not Comedy</v>
      </c>
      <c r="J51" s="21" t="str">
        <f t="shared" si="3"/>
        <v>Recent</v>
      </c>
    </row>
    <row r="52" spans="1:10" x14ac:dyDescent="0.35">
      <c r="A52" s="4" t="s">
        <v>2078</v>
      </c>
      <c r="B52" s="4" t="s">
        <v>2079</v>
      </c>
      <c r="C52" s="4" t="s">
        <v>26</v>
      </c>
      <c r="D52" s="20">
        <v>5.0999999999999996</v>
      </c>
      <c r="E52" s="4">
        <v>10639</v>
      </c>
      <c r="F52" s="4">
        <v>2023</v>
      </c>
      <c r="G52" s="21" t="str">
        <f t="shared" si="0"/>
        <v>Popular</v>
      </c>
      <c r="H52" s="21" t="str">
        <f t="shared" si="1"/>
        <v>Action or Drama</v>
      </c>
      <c r="I52" s="21" t="str">
        <f t="shared" si="2"/>
        <v>Not Comedy</v>
      </c>
      <c r="J52" s="21" t="str">
        <f t="shared" si="3"/>
        <v>Recent</v>
      </c>
    </row>
    <row r="53" spans="1:10" x14ac:dyDescent="0.35">
      <c r="A53" s="4" t="s">
        <v>897</v>
      </c>
      <c r="B53" s="4" t="s">
        <v>898</v>
      </c>
      <c r="C53" s="4" t="s">
        <v>93</v>
      </c>
      <c r="D53" s="20">
        <v>4.4000000000000004</v>
      </c>
      <c r="E53" s="4">
        <v>14645</v>
      </c>
      <c r="F53" s="4">
        <v>2023</v>
      </c>
      <c r="G53" s="21" t="str">
        <f t="shared" si="0"/>
        <v>Not Popular</v>
      </c>
      <c r="H53" s="21" t="str">
        <f t="shared" si="1"/>
        <v>Action or Drama</v>
      </c>
      <c r="I53" s="21" t="str">
        <f t="shared" si="2"/>
        <v>Not Comedy</v>
      </c>
      <c r="J53" s="21" t="str">
        <f t="shared" si="3"/>
        <v>Recent</v>
      </c>
    </row>
    <row r="54" spans="1:10" x14ac:dyDescent="0.35">
      <c r="A54" s="4" t="s">
        <v>593</v>
      </c>
      <c r="B54" s="4" t="s">
        <v>594</v>
      </c>
      <c r="C54" s="4" t="s">
        <v>125</v>
      </c>
      <c r="D54" s="20">
        <v>4</v>
      </c>
      <c r="E54" s="4">
        <v>41243</v>
      </c>
      <c r="F54" s="4">
        <v>2023</v>
      </c>
      <c r="G54" s="21" t="str">
        <f t="shared" si="0"/>
        <v>Not Popular</v>
      </c>
      <c r="H54" s="21" t="str">
        <f t="shared" si="1"/>
        <v>Action or Drama</v>
      </c>
      <c r="I54" s="21" t="str">
        <f t="shared" si="2"/>
        <v>Comedy</v>
      </c>
      <c r="J54" s="21" t="str">
        <f t="shared" si="3"/>
        <v>Recent</v>
      </c>
    </row>
    <row r="55" spans="1:10" x14ac:dyDescent="0.35">
      <c r="A55" s="4" t="s">
        <v>1268</v>
      </c>
      <c r="B55" s="4" t="s">
        <v>1269</v>
      </c>
      <c r="C55" s="4" t="s">
        <v>101</v>
      </c>
      <c r="D55" s="20">
        <v>4.7</v>
      </c>
      <c r="E55" s="4">
        <v>15442</v>
      </c>
      <c r="F55" s="4">
        <v>2023</v>
      </c>
      <c r="G55" s="21" t="str">
        <f t="shared" si="0"/>
        <v>Not Popular</v>
      </c>
      <c r="H55" s="21" t="str">
        <f t="shared" si="1"/>
        <v>Action or Drama</v>
      </c>
      <c r="I55" s="21" t="str">
        <f t="shared" si="2"/>
        <v>Not Comedy</v>
      </c>
      <c r="J55" s="21" t="str">
        <f t="shared" si="3"/>
        <v>Recent</v>
      </c>
    </row>
    <row r="56" spans="1:10" x14ac:dyDescent="0.35">
      <c r="A56" s="4" t="s">
        <v>241</v>
      </c>
      <c r="B56" s="4" t="s">
        <v>242</v>
      </c>
      <c r="C56" s="4" t="s">
        <v>243</v>
      </c>
      <c r="D56" s="20">
        <v>2.8</v>
      </c>
      <c r="E56" s="4">
        <v>10389</v>
      </c>
      <c r="F56" s="4">
        <v>2023</v>
      </c>
      <c r="G56" s="21" t="str">
        <f t="shared" si="0"/>
        <v>Not Popular</v>
      </c>
      <c r="H56" s="21" t="str">
        <f t="shared" si="1"/>
        <v>Action or Drama</v>
      </c>
      <c r="I56" s="21" t="str">
        <f t="shared" si="2"/>
        <v>Not Comedy</v>
      </c>
      <c r="J56" s="21" t="str">
        <f t="shared" si="3"/>
        <v>Recent</v>
      </c>
    </row>
    <row r="57" spans="1:10" x14ac:dyDescent="0.35">
      <c r="A57" s="4" t="s">
        <v>1955</v>
      </c>
      <c r="B57" s="4" t="s">
        <v>1956</v>
      </c>
      <c r="C57" s="4" t="s">
        <v>93</v>
      </c>
      <c r="D57" s="20">
        <v>5.0999999999999996</v>
      </c>
      <c r="E57" s="4">
        <v>22895</v>
      </c>
      <c r="F57" s="4">
        <v>2023</v>
      </c>
      <c r="G57" s="21" t="str">
        <f t="shared" si="0"/>
        <v>Popular</v>
      </c>
      <c r="H57" s="21" t="str">
        <f t="shared" si="1"/>
        <v>Action or Drama</v>
      </c>
      <c r="I57" s="21" t="str">
        <f t="shared" si="2"/>
        <v>Not Comedy</v>
      </c>
      <c r="J57" s="21" t="str">
        <f t="shared" si="3"/>
        <v>Recent</v>
      </c>
    </row>
    <row r="58" spans="1:10" x14ac:dyDescent="0.35">
      <c r="A58" s="4" t="s">
        <v>665</v>
      </c>
      <c r="B58" s="4" t="s">
        <v>666</v>
      </c>
      <c r="C58" s="4" t="s">
        <v>128</v>
      </c>
      <c r="D58" s="20">
        <v>4.0999999999999996</v>
      </c>
      <c r="E58" s="4">
        <v>15170</v>
      </c>
      <c r="F58" s="4">
        <v>2023</v>
      </c>
      <c r="G58" s="21" t="str">
        <f t="shared" si="0"/>
        <v>Not Popular</v>
      </c>
      <c r="H58" s="21" t="str">
        <f t="shared" si="1"/>
        <v>Action or Drama</v>
      </c>
      <c r="I58" s="21" t="str">
        <f t="shared" si="2"/>
        <v>Comedy</v>
      </c>
      <c r="J58" s="21" t="str">
        <f t="shared" si="3"/>
        <v>Recent</v>
      </c>
    </row>
    <row r="59" spans="1:10" x14ac:dyDescent="0.35">
      <c r="A59" s="4" t="s">
        <v>383</v>
      </c>
      <c r="B59" s="4" t="s">
        <v>384</v>
      </c>
      <c r="C59" s="4" t="s">
        <v>128</v>
      </c>
      <c r="D59" s="20">
        <v>3.5</v>
      </c>
      <c r="E59" s="4">
        <v>14462</v>
      </c>
      <c r="F59" s="4">
        <v>2023</v>
      </c>
      <c r="G59" s="21" t="str">
        <f t="shared" si="0"/>
        <v>Not Popular</v>
      </c>
      <c r="H59" s="21" t="str">
        <f t="shared" si="1"/>
        <v>Action or Drama</v>
      </c>
      <c r="I59" s="21" t="str">
        <f t="shared" si="2"/>
        <v>Comedy</v>
      </c>
      <c r="J59" s="21" t="str">
        <f t="shared" si="3"/>
        <v>Recent</v>
      </c>
    </row>
    <row r="60" spans="1:10" x14ac:dyDescent="0.35">
      <c r="A60" s="4" t="s">
        <v>1296</v>
      </c>
      <c r="B60" s="4" t="s">
        <v>1297</v>
      </c>
      <c r="C60" s="4" t="s">
        <v>128</v>
      </c>
      <c r="D60" s="20">
        <v>4.7</v>
      </c>
      <c r="E60" s="4">
        <v>11841</v>
      </c>
      <c r="F60" s="4">
        <v>2023</v>
      </c>
      <c r="G60" s="21" t="str">
        <f t="shared" si="0"/>
        <v>Not Popular</v>
      </c>
      <c r="H60" s="21" t="str">
        <f t="shared" si="1"/>
        <v>Action or Drama</v>
      </c>
      <c r="I60" s="21" t="str">
        <f t="shared" si="2"/>
        <v>Comedy</v>
      </c>
      <c r="J60" s="21" t="str">
        <f t="shared" si="3"/>
        <v>Recent</v>
      </c>
    </row>
    <row r="61" spans="1:10" x14ac:dyDescent="0.35">
      <c r="A61" s="4" t="s">
        <v>569</v>
      </c>
      <c r="B61" s="4" t="s">
        <v>570</v>
      </c>
      <c r="C61" s="4" t="s">
        <v>571</v>
      </c>
      <c r="D61" s="20">
        <v>3.9</v>
      </c>
      <c r="E61" s="4">
        <v>15551</v>
      </c>
      <c r="F61" s="4">
        <v>2023</v>
      </c>
      <c r="G61" s="21" t="str">
        <f t="shared" si="0"/>
        <v>Not Popular</v>
      </c>
      <c r="H61" s="21" t="str">
        <f t="shared" si="1"/>
        <v>Action or Drama</v>
      </c>
      <c r="I61" s="21" t="str">
        <f t="shared" si="2"/>
        <v>Not Comedy</v>
      </c>
      <c r="J61" s="21" t="str">
        <f t="shared" si="3"/>
        <v>Recent</v>
      </c>
    </row>
    <row r="62" spans="1:10" x14ac:dyDescent="0.35">
      <c r="A62" s="4" t="s">
        <v>2068</v>
      </c>
      <c r="B62" s="4" t="s">
        <v>2069</v>
      </c>
      <c r="C62" s="4" t="s">
        <v>217</v>
      </c>
      <c r="D62" s="20">
        <v>5.0999999999999996</v>
      </c>
      <c r="E62" s="4">
        <v>10876</v>
      </c>
      <c r="F62" s="4">
        <v>2023</v>
      </c>
      <c r="G62" s="21" t="str">
        <f t="shared" si="0"/>
        <v>Popular</v>
      </c>
      <c r="H62" s="21" t="str">
        <f t="shared" si="1"/>
        <v>Other</v>
      </c>
      <c r="I62" s="21" t="str">
        <f t="shared" si="2"/>
        <v>Comedy</v>
      </c>
      <c r="J62" s="21" t="str">
        <f t="shared" si="3"/>
        <v>Recent</v>
      </c>
    </row>
    <row r="63" spans="1:10" x14ac:dyDescent="0.35">
      <c r="A63" s="4" t="s">
        <v>201</v>
      </c>
      <c r="B63" s="4" t="s">
        <v>202</v>
      </c>
      <c r="C63" s="4" t="s">
        <v>93</v>
      </c>
      <c r="D63" s="20">
        <v>2.7</v>
      </c>
      <c r="E63" s="4">
        <v>134527</v>
      </c>
      <c r="F63" s="4">
        <v>2023</v>
      </c>
      <c r="G63" s="21" t="str">
        <f t="shared" si="0"/>
        <v>Not Popular</v>
      </c>
      <c r="H63" s="21" t="str">
        <f t="shared" si="1"/>
        <v>Action or Drama</v>
      </c>
      <c r="I63" s="21" t="str">
        <f t="shared" si="2"/>
        <v>Not Comedy</v>
      </c>
      <c r="J63" s="21" t="str">
        <f t="shared" si="3"/>
        <v>Recent</v>
      </c>
    </row>
    <row r="64" spans="1:10" x14ac:dyDescent="0.35">
      <c r="A64" s="4" t="s">
        <v>1306</v>
      </c>
      <c r="B64" s="4" t="s">
        <v>1307</v>
      </c>
      <c r="C64" s="4" t="s">
        <v>565</v>
      </c>
      <c r="D64" s="20">
        <v>4.7</v>
      </c>
      <c r="E64" s="4">
        <v>10960</v>
      </c>
      <c r="F64" s="4">
        <v>2022</v>
      </c>
      <c r="G64" s="21" t="str">
        <f t="shared" si="0"/>
        <v>Not Popular</v>
      </c>
      <c r="H64" s="21" t="str">
        <f t="shared" si="1"/>
        <v>Action or Drama</v>
      </c>
      <c r="I64" s="21" t="str">
        <f t="shared" si="2"/>
        <v>Not Comedy</v>
      </c>
      <c r="J64" s="21" t="str">
        <f t="shared" si="3"/>
        <v>Recent</v>
      </c>
    </row>
    <row r="65" spans="1:10" x14ac:dyDescent="0.35">
      <c r="A65" s="4" t="s">
        <v>615</v>
      </c>
      <c r="B65" s="4" t="s">
        <v>616</v>
      </c>
      <c r="C65" s="4" t="s">
        <v>565</v>
      </c>
      <c r="D65" s="20">
        <v>4</v>
      </c>
      <c r="E65" s="4">
        <v>12380</v>
      </c>
      <c r="F65" s="4">
        <v>2022</v>
      </c>
      <c r="G65" s="21" t="str">
        <f t="shared" si="0"/>
        <v>Not Popular</v>
      </c>
      <c r="H65" s="21" t="str">
        <f t="shared" si="1"/>
        <v>Action or Drama</v>
      </c>
      <c r="I65" s="21" t="str">
        <f t="shared" si="2"/>
        <v>Not Comedy</v>
      </c>
      <c r="J65" s="21" t="str">
        <f t="shared" si="3"/>
        <v>Recent</v>
      </c>
    </row>
    <row r="66" spans="1:10" x14ac:dyDescent="0.35">
      <c r="A66" s="4" t="s">
        <v>1563</v>
      </c>
      <c r="B66" s="4" t="s">
        <v>1564</v>
      </c>
      <c r="C66" s="4" t="s">
        <v>93</v>
      </c>
      <c r="D66" s="20">
        <v>4.9000000000000004</v>
      </c>
      <c r="E66" s="4">
        <v>45846</v>
      </c>
      <c r="F66" s="4">
        <v>2022</v>
      </c>
      <c r="G66" s="21" t="str">
        <f t="shared" si="0"/>
        <v>Not Popular</v>
      </c>
      <c r="H66" s="21" t="str">
        <f t="shared" si="1"/>
        <v>Action or Drama</v>
      </c>
      <c r="I66" s="21" t="str">
        <f t="shared" si="2"/>
        <v>Not Comedy</v>
      </c>
      <c r="J66" s="21" t="str">
        <f t="shared" si="3"/>
        <v>Recent</v>
      </c>
    </row>
    <row r="67" spans="1:10" x14ac:dyDescent="0.35">
      <c r="A67" s="4" t="s">
        <v>141</v>
      </c>
      <c r="B67" s="4" t="s">
        <v>142</v>
      </c>
      <c r="C67" s="4" t="s">
        <v>143</v>
      </c>
      <c r="D67" s="20">
        <v>2.2999999999999998</v>
      </c>
      <c r="E67" s="4">
        <v>43439</v>
      </c>
      <c r="F67" s="4">
        <v>2022</v>
      </c>
      <c r="G67" s="21" t="str">
        <f t="shared" ref="G67:G130" si="4">IF(AND(D67&gt;5, E67&gt;1000), "Popular", "Not Popular")</f>
        <v>Not Popular</v>
      </c>
      <c r="H67" s="21" t="str">
        <f t="shared" ref="H67:H130" si="5">IF(OR(ISNUMBER(SEARCH("Action", C67)), ISNUMBER(SEARCH("Drama", C67))), "Action or Drama", IF(OR(ISNUMBER(SEARCH("Horror", C67)), ISNUMBER(SEARCH("Thriller", C67))), "Horror or Thriller", "Other"))</f>
        <v>Action or Drama</v>
      </c>
      <c r="I67" s="21" t="str">
        <f t="shared" ref="I67:I130" si="6">IF(NOT(ISNUMBER(SEARCH("Comedy", C67))), "Not Comedy", "Comedy")</f>
        <v>Not Comedy</v>
      </c>
      <c r="J67" s="21" t="str">
        <f t="shared" ref="J67:J130" si="7">IF(F67&gt;2020, "Recent", "Old")</f>
        <v>Recent</v>
      </c>
    </row>
    <row r="68" spans="1:10" x14ac:dyDescent="0.35">
      <c r="A68" s="4" t="s">
        <v>15</v>
      </c>
      <c r="B68" s="4" t="s">
        <v>16</v>
      </c>
      <c r="C68" s="4" t="s">
        <v>17</v>
      </c>
      <c r="D68" s="20">
        <v>1.1000000000000001</v>
      </c>
      <c r="E68" s="4">
        <v>13805</v>
      </c>
      <c r="F68" s="4">
        <v>2022</v>
      </c>
      <c r="G68" s="21" t="str">
        <f t="shared" si="4"/>
        <v>Not Popular</v>
      </c>
      <c r="H68" s="21" t="str">
        <f t="shared" si="5"/>
        <v>Other</v>
      </c>
      <c r="I68" s="21" t="str">
        <f t="shared" si="6"/>
        <v>Not Comedy</v>
      </c>
      <c r="J68" s="21" t="str">
        <f t="shared" si="7"/>
        <v>Recent</v>
      </c>
    </row>
    <row r="69" spans="1:10" x14ac:dyDescent="0.35">
      <c r="A69" s="4" t="s">
        <v>237</v>
      </c>
      <c r="B69" s="4" t="s">
        <v>238</v>
      </c>
      <c r="C69" s="4" t="s">
        <v>208</v>
      </c>
      <c r="D69" s="20">
        <v>2.8</v>
      </c>
      <c r="E69" s="4">
        <v>10728</v>
      </c>
      <c r="F69" s="4">
        <v>2022</v>
      </c>
      <c r="G69" s="21" t="str">
        <f t="shared" si="4"/>
        <v>Not Popular</v>
      </c>
      <c r="H69" s="21" t="str">
        <f t="shared" si="5"/>
        <v>Action or Drama</v>
      </c>
      <c r="I69" s="21" t="str">
        <f t="shared" si="6"/>
        <v>Not Comedy</v>
      </c>
      <c r="J69" s="21" t="str">
        <f t="shared" si="7"/>
        <v>Recent</v>
      </c>
    </row>
    <row r="70" spans="1:10" x14ac:dyDescent="0.35">
      <c r="A70" s="4" t="s">
        <v>1005</v>
      </c>
      <c r="B70" s="4" t="s">
        <v>1006</v>
      </c>
      <c r="C70" s="4" t="s">
        <v>140</v>
      </c>
      <c r="D70" s="20">
        <v>4.5</v>
      </c>
      <c r="E70" s="4">
        <v>12066</v>
      </c>
      <c r="F70" s="4">
        <v>2022</v>
      </c>
      <c r="G70" s="21" t="str">
        <f t="shared" si="4"/>
        <v>Not Popular</v>
      </c>
      <c r="H70" s="21" t="str">
        <f t="shared" si="5"/>
        <v>Other</v>
      </c>
      <c r="I70" s="21" t="str">
        <f t="shared" si="6"/>
        <v>Comedy</v>
      </c>
      <c r="J70" s="21" t="str">
        <f t="shared" si="7"/>
        <v>Recent</v>
      </c>
    </row>
    <row r="71" spans="1:10" x14ac:dyDescent="0.35">
      <c r="A71" s="4" t="s">
        <v>1581</v>
      </c>
      <c r="B71" s="4" t="s">
        <v>1582</v>
      </c>
      <c r="C71" s="4" t="s">
        <v>190</v>
      </c>
      <c r="D71" s="20">
        <v>4.9000000000000004</v>
      </c>
      <c r="E71" s="4">
        <v>29411</v>
      </c>
      <c r="F71" s="4">
        <v>2022</v>
      </c>
      <c r="G71" s="21" t="str">
        <f t="shared" si="4"/>
        <v>Not Popular</v>
      </c>
      <c r="H71" s="21" t="str">
        <f t="shared" si="5"/>
        <v>Action or Drama</v>
      </c>
      <c r="I71" s="21" t="str">
        <f t="shared" si="6"/>
        <v>Not Comedy</v>
      </c>
      <c r="J71" s="21" t="str">
        <f t="shared" si="7"/>
        <v>Recent</v>
      </c>
    </row>
    <row r="72" spans="1:10" x14ac:dyDescent="0.35">
      <c r="A72" s="4" t="s">
        <v>792</v>
      </c>
      <c r="B72" s="4" t="s">
        <v>793</v>
      </c>
      <c r="C72" s="4" t="s">
        <v>65</v>
      </c>
      <c r="D72" s="20">
        <v>4.3</v>
      </c>
      <c r="E72" s="4">
        <v>17381</v>
      </c>
      <c r="F72" s="4">
        <v>2022</v>
      </c>
      <c r="G72" s="21" t="str">
        <f t="shared" si="4"/>
        <v>Not Popular</v>
      </c>
      <c r="H72" s="21" t="str">
        <f t="shared" si="5"/>
        <v>Other</v>
      </c>
      <c r="I72" s="21" t="str">
        <f t="shared" si="6"/>
        <v>Comedy</v>
      </c>
      <c r="J72" s="21" t="str">
        <f t="shared" si="7"/>
        <v>Recent</v>
      </c>
    </row>
    <row r="73" spans="1:10" x14ac:dyDescent="0.35">
      <c r="A73" s="4" t="s">
        <v>1216</v>
      </c>
      <c r="B73" s="4" t="s">
        <v>1217</v>
      </c>
      <c r="C73" s="4" t="s">
        <v>11</v>
      </c>
      <c r="D73" s="20">
        <v>4.7</v>
      </c>
      <c r="E73" s="4">
        <v>29113</v>
      </c>
      <c r="F73" s="4">
        <v>2022</v>
      </c>
      <c r="G73" s="21" t="str">
        <f t="shared" si="4"/>
        <v>Not Popular</v>
      </c>
      <c r="H73" s="21" t="str">
        <f t="shared" si="5"/>
        <v>Other</v>
      </c>
      <c r="I73" s="21" t="str">
        <f t="shared" si="6"/>
        <v>Comedy</v>
      </c>
      <c r="J73" s="21" t="str">
        <f t="shared" si="7"/>
        <v>Recent</v>
      </c>
    </row>
    <row r="74" spans="1:10" x14ac:dyDescent="0.35">
      <c r="A74" s="4" t="s">
        <v>1169</v>
      </c>
      <c r="B74" s="4" t="s">
        <v>1170</v>
      </c>
      <c r="C74" s="4" t="s">
        <v>352</v>
      </c>
      <c r="D74" s="20">
        <v>4.7</v>
      </c>
      <c r="E74" s="4">
        <v>64356</v>
      </c>
      <c r="F74" s="4">
        <v>2022</v>
      </c>
      <c r="G74" s="21" t="str">
        <f t="shared" si="4"/>
        <v>Not Popular</v>
      </c>
      <c r="H74" s="21" t="str">
        <f t="shared" si="5"/>
        <v>Horror or Thriller</v>
      </c>
      <c r="I74" s="21" t="str">
        <f t="shared" si="6"/>
        <v>Not Comedy</v>
      </c>
      <c r="J74" s="21" t="str">
        <f t="shared" si="7"/>
        <v>Recent</v>
      </c>
    </row>
    <row r="75" spans="1:10" x14ac:dyDescent="0.35">
      <c r="A75" s="4" t="s">
        <v>1434</v>
      </c>
      <c r="B75" s="4" t="s">
        <v>1435</v>
      </c>
      <c r="C75" s="4" t="s">
        <v>448</v>
      </c>
      <c r="D75" s="20">
        <v>4.8</v>
      </c>
      <c r="E75" s="4">
        <v>17348</v>
      </c>
      <c r="F75" s="4">
        <v>2022</v>
      </c>
      <c r="G75" s="21" t="str">
        <f t="shared" si="4"/>
        <v>Not Popular</v>
      </c>
      <c r="H75" s="21" t="str">
        <f t="shared" si="5"/>
        <v>Horror or Thriller</v>
      </c>
      <c r="I75" s="21" t="str">
        <f t="shared" si="6"/>
        <v>Not Comedy</v>
      </c>
      <c r="J75" s="21" t="str">
        <f t="shared" si="7"/>
        <v>Recent</v>
      </c>
    </row>
    <row r="76" spans="1:10" x14ac:dyDescent="0.35">
      <c r="A76" s="4" t="s">
        <v>1225</v>
      </c>
      <c r="B76" s="4" t="s">
        <v>1226</v>
      </c>
      <c r="C76" s="4" t="s">
        <v>508</v>
      </c>
      <c r="D76" s="20">
        <v>4.7</v>
      </c>
      <c r="E76" s="4">
        <v>26511</v>
      </c>
      <c r="F76" s="4">
        <v>2022</v>
      </c>
      <c r="G76" s="21" t="str">
        <f t="shared" si="4"/>
        <v>Not Popular</v>
      </c>
      <c r="H76" s="21" t="str">
        <f t="shared" si="5"/>
        <v>Action or Drama</v>
      </c>
      <c r="I76" s="21" t="str">
        <f t="shared" si="6"/>
        <v>Not Comedy</v>
      </c>
      <c r="J76" s="21" t="str">
        <f t="shared" si="7"/>
        <v>Recent</v>
      </c>
    </row>
    <row r="77" spans="1:10" x14ac:dyDescent="0.35">
      <c r="A77" s="4" t="s">
        <v>2102</v>
      </c>
      <c r="B77" s="4" t="s">
        <v>2103</v>
      </c>
      <c r="C77" s="4" t="s">
        <v>178</v>
      </c>
      <c r="D77" s="20">
        <v>5.2</v>
      </c>
      <c r="E77" s="4">
        <v>195388</v>
      </c>
      <c r="F77" s="4">
        <v>2022</v>
      </c>
      <c r="G77" s="21" t="str">
        <f t="shared" si="4"/>
        <v>Popular</v>
      </c>
      <c r="H77" s="21" t="str">
        <f t="shared" si="5"/>
        <v>Action or Drama</v>
      </c>
      <c r="I77" s="21" t="str">
        <f t="shared" si="6"/>
        <v>Comedy</v>
      </c>
      <c r="J77" s="21" t="str">
        <f t="shared" si="7"/>
        <v>Recent</v>
      </c>
    </row>
    <row r="78" spans="1:10" x14ac:dyDescent="0.35">
      <c r="A78" s="4" t="s">
        <v>1175</v>
      </c>
      <c r="B78" s="4" t="s">
        <v>1176</v>
      </c>
      <c r="C78" s="4" t="s">
        <v>93</v>
      </c>
      <c r="D78" s="20">
        <v>4.7</v>
      </c>
      <c r="E78" s="4">
        <v>57367</v>
      </c>
      <c r="F78" s="4">
        <v>2022</v>
      </c>
      <c r="G78" s="21" t="str">
        <f t="shared" si="4"/>
        <v>Not Popular</v>
      </c>
      <c r="H78" s="21" t="str">
        <f t="shared" si="5"/>
        <v>Action or Drama</v>
      </c>
      <c r="I78" s="21" t="str">
        <f t="shared" si="6"/>
        <v>Not Comedy</v>
      </c>
      <c r="J78" s="21" t="str">
        <f t="shared" si="7"/>
        <v>Recent</v>
      </c>
    </row>
    <row r="79" spans="1:10" x14ac:dyDescent="0.35">
      <c r="A79" s="4" t="s">
        <v>696</v>
      </c>
      <c r="B79" s="4" t="s">
        <v>697</v>
      </c>
      <c r="C79" s="4" t="s">
        <v>155</v>
      </c>
      <c r="D79" s="20">
        <v>4.2</v>
      </c>
      <c r="E79" s="4">
        <v>46900</v>
      </c>
      <c r="F79" s="4">
        <v>2022</v>
      </c>
      <c r="G79" s="21" t="str">
        <f t="shared" si="4"/>
        <v>Not Popular</v>
      </c>
      <c r="H79" s="21" t="str">
        <f t="shared" si="5"/>
        <v>Action or Drama</v>
      </c>
      <c r="I79" s="21" t="str">
        <f t="shared" si="6"/>
        <v>Not Comedy</v>
      </c>
      <c r="J79" s="21" t="str">
        <f t="shared" si="7"/>
        <v>Recent</v>
      </c>
    </row>
    <row r="80" spans="1:10" x14ac:dyDescent="0.35">
      <c r="A80" s="4" t="s">
        <v>1896</v>
      </c>
      <c r="B80" s="4" t="s">
        <v>1897</v>
      </c>
      <c r="C80" s="4" t="s">
        <v>549</v>
      </c>
      <c r="D80" s="20">
        <v>5.0999999999999996</v>
      </c>
      <c r="E80" s="4">
        <v>43252</v>
      </c>
      <c r="F80" s="4">
        <v>2022</v>
      </c>
      <c r="G80" s="21" t="str">
        <f t="shared" si="4"/>
        <v>Popular</v>
      </c>
      <c r="H80" s="21" t="str">
        <f t="shared" si="5"/>
        <v>Action or Drama</v>
      </c>
      <c r="I80" s="21" t="str">
        <f t="shared" si="6"/>
        <v>Comedy</v>
      </c>
      <c r="J80" s="21" t="str">
        <f t="shared" si="7"/>
        <v>Recent</v>
      </c>
    </row>
    <row r="81" spans="1:10" x14ac:dyDescent="0.35">
      <c r="A81" s="4" t="s">
        <v>2001</v>
      </c>
      <c r="B81" s="4" t="s">
        <v>2002</v>
      </c>
      <c r="C81" s="4" t="s">
        <v>2003</v>
      </c>
      <c r="D81" s="20">
        <v>5.0999999999999996</v>
      </c>
      <c r="E81" s="4">
        <v>16206</v>
      </c>
      <c r="F81" s="4">
        <v>2022</v>
      </c>
      <c r="G81" s="21" t="str">
        <f t="shared" si="4"/>
        <v>Popular</v>
      </c>
      <c r="H81" s="21" t="str">
        <f t="shared" si="5"/>
        <v>Action or Drama</v>
      </c>
      <c r="I81" s="21" t="str">
        <f t="shared" si="6"/>
        <v>Not Comedy</v>
      </c>
      <c r="J81" s="21" t="str">
        <f t="shared" si="7"/>
        <v>Recent</v>
      </c>
    </row>
    <row r="82" spans="1:10" x14ac:dyDescent="0.35">
      <c r="A82" s="4" t="s">
        <v>1849</v>
      </c>
      <c r="B82" s="4" t="s">
        <v>1850</v>
      </c>
      <c r="C82" s="4" t="s">
        <v>122</v>
      </c>
      <c r="D82" s="20">
        <v>5.0999999999999996</v>
      </c>
      <c r="E82" s="4">
        <v>158856</v>
      </c>
      <c r="F82" s="4">
        <v>2022</v>
      </c>
      <c r="G82" s="21" t="str">
        <f t="shared" si="4"/>
        <v>Popular</v>
      </c>
      <c r="H82" s="21" t="str">
        <f t="shared" si="5"/>
        <v>Action or Drama</v>
      </c>
      <c r="I82" s="21" t="str">
        <f t="shared" si="6"/>
        <v>Not Comedy</v>
      </c>
      <c r="J82" s="21" t="str">
        <f t="shared" si="7"/>
        <v>Recent</v>
      </c>
    </row>
    <row r="83" spans="1:10" x14ac:dyDescent="0.35">
      <c r="A83" s="4" t="s">
        <v>1861</v>
      </c>
      <c r="B83" s="4" t="s">
        <v>1862</v>
      </c>
      <c r="C83" s="4" t="s">
        <v>163</v>
      </c>
      <c r="D83" s="20">
        <v>5.0999999999999996</v>
      </c>
      <c r="E83" s="4">
        <v>103225</v>
      </c>
      <c r="F83" s="4">
        <v>2022</v>
      </c>
      <c r="G83" s="21" t="str">
        <f t="shared" si="4"/>
        <v>Popular</v>
      </c>
      <c r="H83" s="21" t="str">
        <f t="shared" si="5"/>
        <v>Action or Drama</v>
      </c>
      <c r="I83" s="21" t="str">
        <f t="shared" si="6"/>
        <v>Not Comedy</v>
      </c>
      <c r="J83" s="21" t="str">
        <f t="shared" si="7"/>
        <v>Recent</v>
      </c>
    </row>
    <row r="84" spans="1:10" x14ac:dyDescent="0.35">
      <c r="A84" s="4" t="s">
        <v>1901</v>
      </c>
      <c r="B84" s="4" t="s">
        <v>1902</v>
      </c>
      <c r="C84" s="4" t="s">
        <v>11</v>
      </c>
      <c r="D84" s="20">
        <v>5.0999999999999996</v>
      </c>
      <c r="E84" s="4">
        <v>41961</v>
      </c>
      <c r="F84" s="4">
        <v>2022</v>
      </c>
      <c r="G84" s="21" t="str">
        <f t="shared" si="4"/>
        <v>Popular</v>
      </c>
      <c r="H84" s="21" t="str">
        <f t="shared" si="5"/>
        <v>Other</v>
      </c>
      <c r="I84" s="21" t="str">
        <f t="shared" si="6"/>
        <v>Comedy</v>
      </c>
      <c r="J84" s="21" t="str">
        <f t="shared" si="7"/>
        <v>Recent</v>
      </c>
    </row>
    <row r="85" spans="1:10" x14ac:dyDescent="0.35">
      <c r="A85" s="4" t="s">
        <v>502</v>
      </c>
      <c r="B85" s="4" t="s">
        <v>503</v>
      </c>
      <c r="C85" s="4" t="s">
        <v>8</v>
      </c>
      <c r="D85" s="20">
        <v>3.8</v>
      </c>
      <c r="E85" s="4">
        <v>15745</v>
      </c>
      <c r="F85" s="4">
        <v>2022</v>
      </c>
      <c r="G85" s="21" t="str">
        <f t="shared" si="4"/>
        <v>Not Popular</v>
      </c>
      <c r="H85" s="21" t="str">
        <f t="shared" si="5"/>
        <v>Action or Drama</v>
      </c>
      <c r="I85" s="21" t="str">
        <f t="shared" si="6"/>
        <v>Not Comedy</v>
      </c>
      <c r="J85" s="21" t="str">
        <f t="shared" si="7"/>
        <v>Recent</v>
      </c>
    </row>
    <row r="86" spans="1:10" x14ac:dyDescent="0.35">
      <c r="A86" s="4" t="s">
        <v>188</v>
      </c>
      <c r="B86" s="4" t="s">
        <v>189</v>
      </c>
      <c r="C86" s="4" t="s">
        <v>190</v>
      </c>
      <c r="D86" s="20">
        <v>2.6</v>
      </c>
      <c r="E86" s="4">
        <v>47934</v>
      </c>
      <c r="F86" s="4">
        <v>2022</v>
      </c>
      <c r="G86" s="21" t="str">
        <f t="shared" si="4"/>
        <v>Not Popular</v>
      </c>
      <c r="H86" s="21" t="str">
        <f t="shared" si="5"/>
        <v>Action or Drama</v>
      </c>
      <c r="I86" s="21" t="str">
        <f t="shared" si="6"/>
        <v>Not Comedy</v>
      </c>
      <c r="J86" s="21" t="str">
        <f t="shared" si="7"/>
        <v>Recent</v>
      </c>
    </row>
    <row r="87" spans="1:10" x14ac:dyDescent="0.35">
      <c r="A87" s="4" t="s">
        <v>1144</v>
      </c>
      <c r="B87" s="4" t="s">
        <v>1145</v>
      </c>
      <c r="C87" s="4" t="s">
        <v>82</v>
      </c>
      <c r="D87" s="20">
        <v>4.5999999999999996</v>
      </c>
      <c r="E87" s="4">
        <v>10942</v>
      </c>
      <c r="F87" s="4">
        <v>2022</v>
      </c>
      <c r="G87" s="21" t="str">
        <f t="shared" si="4"/>
        <v>Not Popular</v>
      </c>
      <c r="H87" s="21" t="str">
        <f t="shared" si="5"/>
        <v>Horror or Thriller</v>
      </c>
      <c r="I87" s="21" t="str">
        <f t="shared" si="6"/>
        <v>Not Comedy</v>
      </c>
      <c r="J87" s="21" t="str">
        <f t="shared" si="7"/>
        <v>Recent</v>
      </c>
    </row>
    <row r="88" spans="1:10" x14ac:dyDescent="0.35">
      <c r="A88" s="4" t="s">
        <v>1464</v>
      </c>
      <c r="B88" s="4" t="s">
        <v>1465</v>
      </c>
      <c r="C88" s="4" t="s">
        <v>178</v>
      </c>
      <c r="D88" s="20">
        <v>4.8</v>
      </c>
      <c r="E88" s="4">
        <v>13382</v>
      </c>
      <c r="F88" s="4">
        <v>2022</v>
      </c>
      <c r="G88" s="21" t="str">
        <f t="shared" si="4"/>
        <v>Not Popular</v>
      </c>
      <c r="H88" s="21" t="str">
        <f t="shared" si="5"/>
        <v>Action or Drama</v>
      </c>
      <c r="I88" s="21" t="str">
        <f t="shared" si="6"/>
        <v>Comedy</v>
      </c>
      <c r="J88" s="21" t="str">
        <f t="shared" si="7"/>
        <v>Recent</v>
      </c>
    </row>
    <row r="89" spans="1:10" x14ac:dyDescent="0.35">
      <c r="A89" s="4" t="s">
        <v>173</v>
      </c>
      <c r="B89" s="4" t="s">
        <v>174</v>
      </c>
      <c r="C89" s="4" t="s">
        <v>175</v>
      </c>
      <c r="D89" s="20">
        <v>2.5</v>
      </c>
      <c r="E89" s="4">
        <v>15339</v>
      </c>
      <c r="F89" s="4">
        <v>2022</v>
      </c>
      <c r="G89" s="21" t="str">
        <f t="shared" si="4"/>
        <v>Not Popular</v>
      </c>
      <c r="H89" s="21" t="str">
        <f t="shared" si="5"/>
        <v>Horror or Thriller</v>
      </c>
      <c r="I89" s="21" t="str">
        <f t="shared" si="6"/>
        <v>Not Comedy</v>
      </c>
      <c r="J89" s="21" t="str">
        <f t="shared" si="7"/>
        <v>Recent</v>
      </c>
    </row>
    <row r="90" spans="1:10" x14ac:dyDescent="0.35">
      <c r="A90" s="4" t="s">
        <v>1223</v>
      </c>
      <c r="B90" s="4" t="s">
        <v>1224</v>
      </c>
      <c r="C90" s="4" t="s">
        <v>93</v>
      </c>
      <c r="D90" s="20">
        <v>4.7</v>
      </c>
      <c r="E90" s="4">
        <v>27979</v>
      </c>
      <c r="F90" s="4">
        <v>2022</v>
      </c>
      <c r="G90" s="21" t="str">
        <f t="shared" si="4"/>
        <v>Not Popular</v>
      </c>
      <c r="H90" s="21" t="str">
        <f t="shared" si="5"/>
        <v>Action or Drama</v>
      </c>
      <c r="I90" s="21" t="str">
        <f t="shared" si="6"/>
        <v>Not Comedy</v>
      </c>
      <c r="J90" s="21" t="str">
        <f t="shared" si="7"/>
        <v>Recent</v>
      </c>
    </row>
    <row r="91" spans="1:10" x14ac:dyDescent="0.35">
      <c r="A91" s="4" t="s">
        <v>144</v>
      </c>
      <c r="B91" s="4" t="s">
        <v>145</v>
      </c>
      <c r="C91" s="4" t="s">
        <v>146</v>
      </c>
      <c r="D91" s="20">
        <v>2.2999999999999998</v>
      </c>
      <c r="E91" s="4">
        <v>27734</v>
      </c>
      <c r="F91" s="4">
        <v>2022</v>
      </c>
      <c r="G91" s="21" t="str">
        <f t="shared" si="4"/>
        <v>Not Popular</v>
      </c>
      <c r="H91" s="21" t="str">
        <f t="shared" si="5"/>
        <v>Action or Drama</v>
      </c>
      <c r="I91" s="21" t="str">
        <f t="shared" si="6"/>
        <v>Comedy</v>
      </c>
      <c r="J91" s="21" t="str">
        <f t="shared" si="7"/>
        <v>Recent</v>
      </c>
    </row>
    <row r="92" spans="1:10" x14ac:dyDescent="0.35">
      <c r="A92" s="4" t="s">
        <v>1945</v>
      </c>
      <c r="B92" s="4" t="s">
        <v>1946</v>
      </c>
      <c r="C92" s="4" t="s">
        <v>1947</v>
      </c>
      <c r="D92" s="20">
        <v>5.0999999999999996</v>
      </c>
      <c r="E92" s="4">
        <v>23649</v>
      </c>
      <c r="F92" s="4">
        <v>2022</v>
      </c>
      <c r="G92" s="21" t="str">
        <f t="shared" si="4"/>
        <v>Popular</v>
      </c>
      <c r="H92" s="21" t="str">
        <f t="shared" si="5"/>
        <v>Other</v>
      </c>
      <c r="I92" s="21" t="str">
        <f t="shared" si="6"/>
        <v>Not Comedy</v>
      </c>
      <c r="J92" s="21" t="str">
        <f t="shared" si="7"/>
        <v>Recent</v>
      </c>
    </row>
    <row r="93" spans="1:10" x14ac:dyDescent="0.35">
      <c r="A93" s="4" t="s">
        <v>1688</v>
      </c>
      <c r="B93" s="4" t="s">
        <v>1689</v>
      </c>
      <c r="C93" s="4" t="s">
        <v>565</v>
      </c>
      <c r="D93" s="20">
        <v>5</v>
      </c>
      <c r="E93" s="4">
        <v>75937</v>
      </c>
      <c r="F93" s="4">
        <v>2022</v>
      </c>
      <c r="G93" s="21" t="str">
        <f t="shared" si="4"/>
        <v>Not Popular</v>
      </c>
      <c r="H93" s="21" t="str">
        <f t="shared" si="5"/>
        <v>Action or Drama</v>
      </c>
      <c r="I93" s="21" t="str">
        <f t="shared" si="6"/>
        <v>Not Comedy</v>
      </c>
      <c r="J93" s="21" t="str">
        <f t="shared" si="7"/>
        <v>Recent</v>
      </c>
    </row>
    <row r="94" spans="1:10" x14ac:dyDescent="0.35">
      <c r="A94" s="4" t="s">
        <v>21</v>
      </c>
      <c r="B94" s="4" t="s">
        <v>22</v>
      </c>
      <c r="C94" s="4" t="s">
        <v>23</v>
      </c>
      <c r="D94" s="20">
        <v>1.1000000000000001</v>
      </c>
      <c r="E94" s="4">
        <v>11177</v>
      </c>
      <c r="F94" s="4">
        <v>2022</v>
      </c>
      <c r="G94" s="21" t="str">
        <f t="shared" si="4"/>
        <v>Not Popular</v>
      </c>
      <c r="H94" s="21" t="str">
        <f t="shared" si="5"/>
        <v>Action or Drama</v>
      </c>
      <c r="I94" s="21" t="str">
        <f t="shared" si="6"/>
        <v>Not Comedy</v>
      </c>
      <c r="J94" s="21" t="str">
        <f t="shared" si="7"/>
        <v>Recent</v>
      </c>
    </row>
    <row r="95" spans="1:10" x14ac:dyDescent="0.35">
      <c r="A95" s="4" t="s">
        <v>1073</v>
      </c>
      <c r="B95" s="4" t="s">
        <v>1074</v>
      </c>
      <c r="C95" s="4" t="s">
        <v>1075</v>
      </c>
      <c r="D95" s="20">
        <v>4.5999999999999996</v>
      </c>
      <c r="E95" s="4">
        <v>23801</v>
      </c>
      <c r="F95" s="4">
        <v>2022</v>
      </c>
      <c r="G95" s="21" t="str">
        <f t="shared" si="4"/>
        <v>Not Popular</v>
      </c>
      <c r="H95" s="21" t="str">
        <f t="shared" si="5"/>
        <v>Action or Drama</v>
      </c>
      <c r="I95" s="21" t="str">
        <f t="shared" si="6"/>
        <v>Not Comedy</v>
      </c>
      <c r="J95" s="21" t="str">
        <f t="shared" si="7"/>
        <v>Recent</v>
      </c>
    </row>
    <row r="96" spans="1:10" x14ac:dyDescent="0.35">
      <c r="A96" s="4" t="s">
        <v>126</v>
      </c>
      <c r="B96" s="4" t="s">
        <v>127</v>
      </c>
      <c r="C96" s="4" t="s">
        <v>128</v>
      </c>
      <c r="D96" s="20">
        <v>2.2000000000000002</v>
      </c>
      <c r="E96" s="4">
        <v>18999</v>
      </c>
      <c r="F96" s="4">
        <v>2022</v>
      </c>
      <c r="G96" s="21" t="str">
        <f t="shared" si="4"/>
        <v>Not Popular</v>
      </c>
      <c r="H96" s="21" t="str">
        <f t="shared" si="5"/>
        <v>Action or Drama</v>
      </c>
      <c r="I96" s="21" t="str">
        <f t="shared" si="6"/>
        <v>Comedy</v>
      </c>
      <c r="J96" s="21" t="str">
        <f t="shared" si="7"/>
        <v>Recent</v>
      </c>
    </row>
    <row r="97" spans="1:10" x14ac:dyDescent="0.35">
      <c r="A97" s="4" t="s">
        <v>894</v>
      </c>
      <c r="B97" s="4" t="s">
        <v>895</v>
      </c>
      <c r="C97" s="4" t="s">
        <v>896</v>
      </c>
      <c r="D97" s="20">
        <v>4.4000000000000004</v>
      </c>
      <c r="E97" s="4">
        <v>15885</v>
      </c>
      <c r="F97" s="4">
        <v>2022</v>
      </c>
      <c r="G97" s="21" t="str">
        <f t="shared" si="4"/>
        <v>Not Popular</v>
      </c>
      <c r="H97" s="21" t="str">
        <f t="shared" si="5"/>
        <v>Action or Drama</v>
      </c>
      <c r="I97" s="21" t="str">
        <f t="shared" si="6"/>
        <v>Not Comedy</v>
      </c>
      <c r="J97" s="21" t="str">
        <f t="shared" si="7"/>
        <v>Recent</v>
      </c>
    </row>
    <row r="98" spans="1:10" x14ac:dyDescent="0.35">
      <c r="A98" s="4" t="s">
        <v>1602</v>
      </c>
      <c r="B98" s="4" t="s">
        <v>1603</v>
      </c>
      <c r="C98" s="4" t="s">
        <v>1422</v>
      </c>
      <c r="D98" s="20">
        <v>4.9000000000000004</v>
      </c>
      <c r="E98" s="4">
        <v>21157</v>
      </c>
      <c r="F98" s="4">
        <v>2022</v>
      </c>
      <c r="G98" s="21" t="str">
        <f t="shared" si="4"/>
        <v>Not Popular</v>
      </c>
      <c r="H98" s="21" t="str">
        <f t="shared" si="5"/>
        <v>Action or Drama</v>
      </c>
      <c r="I98" s="21" t="str">
        <f t="shared" si="6"/>
        <v>Not Comedy</v>
      </c>
      <c r="J98" s="21" t="str">
        <f t="shared" si="7"/>
        <v>Recent</v>
      </c>
    </row>
    <row r="99" spans="1:10" x14ac:dyDescent="0.35">
      <c r="A99" s="4" t="s">
        <v>513</v>
      </c>
      <c r="B99" s="4" t="s">
        <v>514</v>
      </c>
      <c r="C99" s="4" t="s">
        <v>294</v>
      </c>
      <c r="D99" s="20">
        <v>3.8</v>
      </c>
      <c r="E99" s="4">
        <v>12159</v>
      </c>
      <c r="F99" s="4">
        <v>2022</v>
      </c>
      <c r="G99" s="21" t="str">
        <f t="shared" si="4"/>
        <v>Not Popular</v>
      </c>
      <c r="H99" s="21" t="str">
        <f t="shared" si="5"/>
        <v>Action or Drama</v>
      </c>
      <c r="I99" s="21" t="str">
        <f t="shared" si="6"/>
        <v>Not Comedy</v>
      </c>
      <c r="J99" s="21" t="str">
        <f t="shared" si="7"/>
        <v>Recent</v>
      </c>
    </row>
    <row r="100" spans="1:10" x14ac:dyDescent="0.35">
      <c r="A100" s="4" t="s">
        <v>771</v>
      </c>
      <c r="B100" s="4" t="s">
        <v>772</v>
      </c>
      <c r="C100" s="4" t="s">
        <v>646</v>
      </c>
      <c r="D100" s="20">
        <v>4.3</v>
      </c>
      <c r="E100" s="4">
        <v>23940</v>
      </c>
      <c r="F100" s="4">
        <v>2022</v>
      </c>
      <c r="G100" s="21" t="str">
        <f t="shared" si="4"/>
        <v>Not Popular</v>
      </c>
      <c r="H100" s="21" t="str">
        <f t="shared" si="5"/>
        <v>Action or Drama</v>
      </c>
      <c r="I100" s="21" t="str">
        <f t="shared" si="6"/>
        <v>Comedy</v>
      </c>
      <c r="J100" s="21" t="str">
        <f t="shared" si="7"/>
        <v>Recent</v>
      </c>
    </row>
    <row r="101" spans="1:10" x14ac:dyDescent="0.35">
      <c r="A101" s="4" t="s">
        <v>1381</v>
      </c>
      <c r="B101" s="4" t="s">
        <v>1382</v>
      </c>
      <c r="C101" s="4" t="s">
        <v>584</v>
      </c>
      <c r="D101" s="20">
        <v>4.8</v>
      </c>
      <c r="E101" s="4">
        <v>26839</v>
      </c>
      <c r="F101" s="4">
        <v>2022</v>
      </c>
      <c r="G101" s="21" t="str">
        <f t="shared" si="4"/>
        <v>Not Popular</v>
      </c>
      <c r="H101" s="21" t="str">
        <f t="shared" si="5"/>
        <v>Action or Drama</v>
      </c>
      <c r="I101" s="21" t="str">
        <f t="shared" si="6"/>
        <v>Not Comedy</v>
      </c>
      <c r="J101" s="21" t="str">
        <f t="shared" si="7"/>
        <v>Recent</v>
      </c>
    </row>
    <row r="102" spans="1:10" x14ac:dyDescent="0.35">
      <c r="A102" s="4" t="s">
        <v>2096</v>
      </c>
      <c r="B102" s="4" t="s">
        <v>2097</v>
      </c>
      <c r="C102" s="4" t="s">
        <v>294</v>
      </c>
      <c r="D102" s="20">
        <v>5.0999999999999996</v>
      </c>
      <c r="E102" s="4">
        <v>10165</v>
      </c>
      <c r="F102" s="4">
        <v>2022</v>
      </c>
      <c r="G102" s="21" t="str">
        <f t="shared" si="4"/>
        <v>Popular</v>
      </c>
      <c r="H102" s="21" t="str">
        <f t="shared" si="5"/>
        <v>Action or Drama</v>
      </c>
      <c r="I102" s="21" t="str">
        <f t="shared" si="6"/>
        <v>Not Comedy</v>
      </c>
      <c r="J102" s="21" t="str">
        <f t="shared" si="7"/>
        <v>Recent</v>
      </c>
    </row>
    <row r="103" spans="1:10" x14ac:dyDescent="0.35">
      <c r="A103" s="4" t="s">
        <v>728</v>
      </c>
      <c r="B103" s="4" t="s">
        <v>729</v>
      </c>
      <c r="C103" s="4" t="s">
        <v>508</v>
      </c>
      <c r="D103" s="20">
        <v>4.2</v>
      </c>
      <c r="E103" s="4">
        <v>14029</v>
      </c>
      <c r="F103" s="4">
        <v>2022</v>
      </c>
      <c r="G103" s="21" t="str">
        <f t="shared" si="4"/>
        <v>Not Popular</v>
      </c>
      <c r="H103" s="21" t="str">
        <f t="shared" si="5"/>
        <v>Action or Drama</v>
      </c>
      <c r="I103" s="21" t="str">
        <f t="shared" si="6"/>
        <v>Not Comedy</v>
      </c>
      <c r="J103" s="21" t="str">
        <f t="shared" si="7"/>
        <v>Recent</v>
      </c>
    </row>
    <row r="104" spans="1:10" x14ac:dyDescent="0.35">
      <c r="A104" s="4" t="s">
        <v>1387</v>
      </c>
      <c r="B104" s="4" t="s">
        <v>1388</v>
      </c>
      <c r="C104" s="4" t="s">
        <v>568</v>
      </c>
      <c r="D104" s="20">
        <v>4.8</v>
      </c>
      <c r="E104" s="4">
        <v>25593</v>
      </c>
      <c r="F104" s="4">
        <v>2022</v>
      </c>
      <c r="G104" s="21" t="str">
        <f t="shared" si="4"/>
        <v>Not Popular</v>
      </c>
      <c r="H104" s="21" t="str">
        <f t="shared" si="5"/>
        <v>Action or Drama</v>
      </c>
      <c r="I104" s="21" t="str">
        <f t="shared" si="6"/>
        <v>Not Comedy</v>
      </c>
      <c r="J104" s="21" t="str">
        <f t="shared" si="7"/>
        <v>Recent</v>
      </c>
    </row>
    <row r="105" spans="1:10" x14ac:dyDescent="0.35">
      <c r="A105" s="4" t="s">
        <v>2182</v>
      </c>
      <c r="B105" s="4" t="s">
        <v>2183</v>
      </c>
      <c r="C105" s="4" t="s">
        <v>146</v>
      </c>
      <c r="D105" s="20">
        <v>5.2</v>
      </c>
      <c r="E105" s="4">
        <v>37368</v>
      </c>
      <c r="F105" s="4">
        <v>2022</v>
      </c>
      <c r="G105" s="21" t="str">
        <f t="shared" si="4"/>
        <v>Popular</v>
      </c>
      <c r="H105" s="21" t="str">
        <f t="shared" si="5"/>
        <v>Action or Drama</v>
      </c>
      <c r="I105" s="21" t="str">
        <f t="shared" si="6"/>
        <v>Comedy</v>
      </c>
      <c r="J105" s="21" t="str">
        <f t="shared" si="7"/>
        <v>Recent</v>
      </c>
    </row>
    <row r="106" spans="1:10" x14ac:dyDescent="0.35">
      <c r="A106" s="4" t="s">
        <v>1715</v>
      </c>
      <c r="B106" s="4" t="s">
        <v>1716</v>
      </c>
      <c r="C106" s="4" t="s">
        <v>146</v>
      </c>
      <c r="D106" s="20">
        <v>5</v>
      </c>
      <c r="E106" s="4">
        <v>36822</v>
      </c>
      <c r="F106" s="4">
        <v>2022</v>
      </c>
      <c r="G106" s="21" t="str">
        <f t="shared" si="4"/>
        <v>Not Popular</v>
      </c>
      <c r="H106" s="21" t="str">
        <f t="shared" si="5"/>
        <v>Action or Drama</v>
      </c>
      <c r="I106" s="21" t="str">
        <f t="shared" si="6"/>
        <v>Comedy</v>
      </c>
      <c r="J106" s="21" t="str">
        <f t="shared" si="7"/>
        <v>Recent</v>
      </c>
    </row>
    <row r="107" spans="1:10" x14ac:dyDescent="0.35">
      <c r="A107" s="4" t="s">
        <v>1290</v>
      </c>
      <c r="B107" s="4" t="s">
        <v>1291</v>
      </c>
      <c r="C107" s="4" t="s">
        <v>208</v>
      </c>
      <c r="D107" s="20">
        <v>4.7</v>
      </c>
      <c r="E107" s="4">
        <v>12438</v>
      </c>
      <c r="F107" s="4">
        <v>2022</v>
      </c>
      <c r="G107" s="21" t="str">
        <f t="shared" si="4"/>
        <v>Not Popular</v>
      </c>
      <c r="H107" s="21" t="str">
        <f t="shared" si="5"/>
        <v>Action or Drama</v>
      </c>
      <c r="I107" s="21" t="str">
        <f t="shared" si="6"/>
        <v>Not Comedy</v>
      </c>
      <c r="J107" s="21" t="str">
        <f t="shared" si="7"/>
        <v>Recent</v>
      </c>
    </row>
    <row r="108" spans="1:10" x14ac:dyDescent="0.35">
      <c r="A108" s="4" t="s">
        <v>206</v>
      </c>
      <c r="B108" s="4" t="s">
        <v>207</v>
      </c>
      <c r="C108" s="4" t="s">
        <v>208</v>
      </c>
      <c r="D108" s="20">
        <v>2.7</v>
      </c>
      <c r="E108" s="4">
        <v>25301</v>
      </c>
      <c r="F108" s="4">
        <v>2022</v>
      </c>
      <c r="G108" s="21" t="str">
        <f t="shared" si="4"/>
        <v>Not Popular</v>
      </c>
      <c r="H108" s="21" t="str">
        <f t="shared" si="5"/>
        <v>Action or Drama</v>
      </c>
      <c r="I108" s="21" t="str">
        <f t="shared" si="6"/>
        <v>Not Comedy</v>
      </c>
      <c r="J108" s="21" t="str">
        <f t="shared" si="7"/>
        <v>Recent</v>
      </c>
    </row>
    <row r="109" spans="1:10" x14ac:dyDescent="0.35">
      <c r="A109" s="4" t="s">
        <v>2080</v>
      </c>
      <c r="B109" s="4" t="s">
        <v>2081</v>
      </c>
      <c r="C109" s="4" t="s">
        <v>467</v>
      </c>
      <c r="D109" s="20">
        <v>5.0999999999999996</v>
      </c>
      <c r="E109" s="4">
        <v>10359</v>
      </c>
      <c r="F109" s="4">
        <v>2022</v>
      </c>
      <c r="G109" s="21" t="str">
        <f t="shared" si="4"/>
        <v>Popular</v>
      </c>
      <c r="H109" s="21" t="str">
        <f t="shared" si="5"/>
        <v>Other</v>
      </c>
      <c r="I109" s="21" t="str">
        <f t="shared" si="6"/>
        <v>Not Comedy</v>
      </c>
      <c r="J109" s="21" t="str">
        <f t="shared" si="7"/>
        <v>Recent</v>
      </c>
    </row>
    <row r="110" spans="1:10" x14ac:dyDescent="0.35">
      <c r="A110" s="4" t="s">
        <v>2040</v>
      </c>
      <c r="B110" s="4" t="s">
        <v>2041</v>
      </c>
      <c r="C110" s="4" t="s">
        <v>846</v>
      </c>
      <c r="D110" s="20">
        <v>5.0999999999999996</v>
      </c>
      <c r="E110" s="4">
        <v>12808</v>
      </c>
      <c r="F110" s="4">
        <v>2021</v>
      </c>
      <c r="G110" s="21" t="str">
        <f t="shared" si="4"/>
        <v>Popular</v>
      </c>
      <c r="H110" s="21" t="str">
        <f t="shared" si="5"/>
        <v>Action or Drama</v>
      </c>
      <c r="I110" s="21" t="str">
        <f t="shared" si="6"/>
        <v>Not Comedy</v>
      </c>
      <c r="J110" s="21" t="str">
        <f t="shared" si="7"/>
        <v>Recent</v>
      </c>
    </row>
    <row r="111" spans="1:10" x14ac:dyDescent="0.35">
      <c r="A111" s="4" t="s">
        <v>1040</v>
      </c>
      <c r="B111" s="4" t="s">
        <v>1041</v>
      </c>
      <c r="C111" s="4" t="s">
        <v>178</v>
      </c>
      <c r="D111" s="20">
        <v>4.5999999999999996</v>
      </c>
      <c r="E111" s="4">
        <v>46282</v>
      </c>
      <c r="F111" s="4">
        <v>2021</v>
      </c>
      <c r="G111" s="21" t="str">
        <f t="shared" si="4"/>
        <v>Not Popular</v>
      </c>
      <c r="H111" s="21" t="str">
        <f t="shared" si="5"/>
        <v>Action or Drama</v>
      </c>
      <c r="I111" s="21" t="str">
        <f t="shared" si="6"/>
        <v>Comedy</v>
      </c>
      <c r="J111" s="21" t="str">
        <f t="shared" si="7"/>
        <v>Recent</v>
      </c>
    </row>
    <row r="112" spans="1:10" x14ac:dyDescent="0.35">
      <c r="A112" s="4" t="s">
        <v>1606</v>
      </c>
      <c r="B112" s="4" t="s">
        <v>1607</v>
      </c>
      <c r="C112" s="4" t="s">
        <v>175</v>
      </c>
      <c r="D112" s="20">
        <v>4.9000000000000004</v>
      </c>
      <c r="E112" s="4">
        <v>20483</v>
      </c>
      <c r="F112" s="4">
        <v>2021</v>
      </c>
      <c r="G112" s="21" t="str">
        <f t="shared" si="4"/>
        <v>Not Popular</v>
      </c>
      <c r="H112" s="21" t="str">
        <f t="shared" si="5"/>
        <v>Horror or Thriller</v>
      </c>
      <c r="I112" s="21" t="str">
        <f t="shared" si="6"/>
        <v>Not Comedy</v>
      </c>
      <c r="J112" s="21" t="str">
        <f t="shared" si="7"/>
        <v>Recent</v>
      </c>
    </row>
    <row r="113" spans="1:10" x14ac:dyDescent="0.35">
      <c r="A113" s="4" t="s">
        <v>1925</v>
      </c>
      <c r="B113" s="4" t="s">
        <v>1926</v>
      </c>
      <c r="C113" s="4" t="s">
        <v>565</v>
      </c>
      <c r="D113" s="20">
        <v>5.0999999999999996</v>
      </c>
      <c r="E113" s="4">
        <v>28873</v>
      </c>
      <c r="F113" s="4">
        <v>2021</v>
      </c>
      <c r="G113" s="21" t="str">
        <f t="shared" si="4"/>
        <v>Popular</v>
      </c>
      <c r="H113" s="21" t="str">
        <f t="shared" si="5"/>
        <v>Action or Drama</v>
      </c>
      <c r="I113" s="21" t="str">
        <f t="shared" si="6"/>
        <v>Not Comedy</v>
      </c>
      <c r="J113" s="21" t="str">
        <f t="shared" si="7"/>
        <v>Recent</v>
      </c>
    </row>
    <row r="114" spans="1:10" x14ac:dyDescent="0.35">
      <c r="A114" s="4" t="s">
        <v>992</v>
      </c>
      <c r="B114" s="4" t="s">
        <v>993</v>
      </c>
      <c r="C114" s="4" t="s">
        <v>178</v>
      </c>
      <c r="D114" s="20">
        <v>4.5</v>
      </c>
      <c r="E114" s="4">
        <v>14124</v>
      </c>
      <c r="F114" s="4">
        <v>2021</v>
      </c>
      <c r="G114" s="21" t="str">
        <f t="shared" si="4"/>
        <v>Not Popular</v>
      </c>
      <c r="H114" s="21" t="str">
        <f t="shared" si="5"/>
        <v>Action or Drama</v>
      </c>
      <c r="I114" s="21" t="str">
        <f t="shared" si="6"/>
        <v>Comedy</v>
      </c>
      <c r="J114" s="21" t="str">
        <f t="shared" si="7"/>
        <v>Recent</v>
      </c>
    </row>
    <row r="115" spans="1:10" x14ac:dyDescent="0.35">
      <c r="A115" s="4" t="s">
        <v>1397</v>
      </c>
      <c r="B115" s="4" t="s">
        <v>1398</v>
      </c>
      <c r="C115" s="4" t="s">
        <v>116</v>
      </c>
      <c r="D115" s="20">
        <v>4.8</v>
      </c>
      <c r="E115" s="4">
        <v>23297</v>
      </c>
      <c r="F115" s="4">
        <v>2021</v>
      </c>
      <c r="G115" s="21" t="str">
        <f t="shared" si="4"/>
        <v>Not Popular</v>
      </c>
      <c r="H115" s="21" t="str">
        <f t="shared" si="5"/>
        <v>Other</v>
      </c>
      <c r="I115" s="21" t="str">
        <f t="shared" si="6"/>
        <v>Comedy</v>
      </c>
      <c r="J115" s="21" t="str">
        <f t="shared" si="7"/>
        <v>Recent</v>
      </c>
    </row>
    <row r="116" spans="1:10" x14ac:dyDescent="0.35">
      <c r="A116" s="4" t="s">
        <v>609</v>
      </c>
      <c r="B116" s="4" t="s">
        <v>610</v>
      </c>
      <c r="C116" s="4" t="s">
        <v>508</v>
      </c>
      <c r="D116" s="20">
        <v>4</v>
      </c>
      <c r="E116" s="4">
        <v>15140</v>
      </c>
      <c r="F116" s="4">
        <v>2021</v>
      </c>
      <c r="G116" s="21" t="str">
        <f t="shared" si="4"/>
        <v>Not Popular</v>
      </c>
      <c r="H116" s="21" t="str">
        <f t="shared" si="5"/>
        <v>Action or Drama</v>
      </c>
      <c r="I116" s="21" t="str">
        <f t="shared" si="6"/>
        <v>Not Comedy</v>
      </c>
      <c r="J116" s="21" t="str">
        <f t="shared" si="7"/>
        <v>Recent</v>
      </c>
    </row>
    <row r="117" spans="1:10" x14ac:dyDescent="0.35">
      <c r="A117" s="4" t="s">
        <v>1260</v>
      </c>
      <c r="B117" s="4" t="s">
        <v>1261</v>
      </c>
      <c r="C117" s="4" t="s">
        <v>709</v>
      </c>
      <c r="D117" s="20">
        <v>4.7</v>
      </c>
      <c r="E117" s="4">
        <v>17304</v>
      </c>
      <c r="F117" s="4">
        <v>2021</v>
      </c>
      <c r="G117" s="21" t="str">
        <f t="shared" si="4"/>
        <v>Not Popular</v>
      </c>
      <c r="H117" s="21" t="str">
        <f t="shared" si="5"/>
        <v>Action or Drama</v>
      </c>
      <c r="I117" s="21" t="str">
        <f t="shared" si="6"/>
        <v>Not Comedy</v>
      </c>
      <c r="J117" s="21" t="str">
        <f t="shared" si="7"/>
        <v>Recent</v>
      </c>
    </row>
    <row r="118" spans="1:10" x14ac:dyDescent="0.35">
      <c r="A118" s="4" t="s">
        <v>54</v>
      </c>
      <c r="B118" s="4" t="s">
        <v>55</v>
      </c>
      <c r="C118" s="4" t="s">
        <v>56</v>
      </c>
      <c r="D118" s="20">
        <v>1.5</v>
      </c>
      <c r="E118" s="4">
        <v>40625</v>
      </c>
      <c r="F118" s="4">
        <v>2021</v>
      </c>
      <c r="G118" s="21" t="str">
        <f t="shared" si="4"/>
        <v>Not Popular</v>
      </c>
      <c r="H118" s="21" t="str">
        <f t="shared" si="5"/>
        <v>Action or Drama</v>
      </c>
      <c r="I118" s="21" t="str">
        <f t="shared" si="6"/>
        <v>Not Comedy</v>
      </c>
      <c r="J118" s="21" t="str">
        <f t="shared" si="7"/>
        <v>Recent</v>
      </c>
    </row>
    <row r="119" spans="1:10" x14ac:dyDescent="0.35">
      <c r="A119" s="4" t="s">
        <v>1031</v>
      </c>
      <c r="B119" s="4" t="s">
        <v>1032</v>
      </c>
      <c r="C119" s="4" t="s">
        <v>31</v>
      </c>
      <c r="D119" s="20">
        <v>4.5999999999999996</v>
      </c>
      <c r="E119" s="4">
        <v>61159</v>
      </c>
      <c r="F119" s="4">
        <v>2021</v>
      </c>
      <c r="G119" s="21" t="str">
        <f t="shared" si="4"/>
        <v>Not Popular</v>
      </c>
      <c r="H119" s="21" t="str">
        <f t="shared" si="5"/>
        <v>Action or Drama</v>
      </c>
      <c r="I119" s="21" t="str">
        <f t="shared" si="6"/>
        <v>Not Comedy</v>
      </c>
      <c r="J119" s="21" t="str">
        <f t="shared" si="7"/>
        <v>Recent</v>
      </c>
    </row>
    <row r="120" spans="1:10" x14ac:dyDescent="0.35">
      <c r="A120" s="4" t="s">
        <v>2136</v>
      </c>
      <c r="B120" s="4" t="s">
        <v>2137</v>
      </c>
      <c r="C120" s="4" t="s">
        <v>175</v>
      </c>
      <c r="D120" s="20">
        <v>5.2</v>
      </c>
      <c r="E120" s="4">
        <v>71042</v>
      </c>
      <c r="F120" s="4">
        <v>2021</v>
      </c>
      <c r="G120" s="21" t="str">
        <f t="shared" si="4"/>
        <v>Popular</v>
      </c>
      <c r="H120" s="21" t="str">
        <f t="shared" si="5"/>
        <v>Horror or Thriller</v>
      </c>
      <c r="I120" s="21" t="str">
        <f t="shared" si="6"/>
        <v>Not Comedy</v>
      </c>
      <c r="J120" s="21" t="str">
        <f t="shared" si="7"/>
        <v>Recent</v>
      </c>
    </row>
    <row r="121" spans="1:10" x14ac:dyDescent="0.35">
      <c r="A121" s="4" t="s">
        <v>929</v>
      </c>
      <c r="B121" s="4" t="s">
        <v>930</v>
      </c>
      <c r="C121" s="4" t="s">
        <v>65</v>
      </c>
      <c r="D121" s="20">
        <v>4.5</v>
      </c>
      <c r="E121" s="4">
        <v>82226</v>
      </c>
      <c r="F121" s="4">
        <v>2021</v>
      </c>
      <c r="G121" s="21" t="str">
        <f t="shared" si="4"/>
        <v>Not Popular</v>
      </c>
      <c r="H121" s="21" t="str">
        <f t="shared" si="5"/>
        <v>Other</v>
      </c>
      <c r="I121" s="21" t="str">
        <f t="shared" si="6"/>
        <v>Comedy</v>
      </c>
      <c r="J121" s="21" t="str">
        <f t="shared" si="7"/>
        <v>Recent</v>
      </c>
    </row>
    <row r="122" spans="1:10" x14ac:dyDescent="0.35">
      <c r="A122" s="4" t="s">
        <v>627</v>
      </c>
      <c r="B122" s="4" t="s">
        <v>628</v>
      </c>
      <c r="C122" s="4" t="s">
        <v>14</v>
      </c>
      <c r="D122" s="20">
        <v>4</v>
      </c>
      <c r="E122" s="4">
        <v>10323</v>
      </c>
      <c r="F122" s="4">
        <v>2021</v>
      </c>
      <c r="G122" s="21" t="str">
        <f t="shared" si="4"/>
        <v>Not Popular</v>
      </c>
      <c r="H122" s="21" t="str">
        <f t="shared" si="5"/>
        <v>Action or Drama</v>
      </c>
      <c r="I122" s="21" t="str">
        <f t="shared" si="6"/>
        <v>Not Comedy</v>
      </c>
      <c r="J122" s="21" t="str">
        <f t="shared" si="7"/>
        <v>Recent</v>
      </c>
    </row>
    <row r="123" spans="1:10" x14ac:dyDescent="0.35">
      <c r="A123" s="4" t="s">
        <v>355</v>
      </c>
      <c r="B123" s="4" t="s">
        <v>356</v>
      </c>
      <c r="C123" s="4" t="s">
        <v>56</v>
      </c>
      <c r="D123" s="20">
        <v>3.4</v>
      </c>
      <c r="E123" s="4">
        <v>16210</v>
      </c>
      <c r="F123" s="4">
        <v>2021</v>
      </c>
      <c r="G123" s="21" t="str">
        <f t="shared" si="4"/>
        <v>Not Popular</v>
      </c>
      <c r="H123" s="21" t="str">
        <f t="shared" si="5"/>
        <v>Action or Drama</v>
      </c>
      <c r="I123" s="21" t="str">
        <f t="shared" si="6"/>
        <v>Not Comedy</v>
      </c>
      <c r="J123" s="21" t="str">
        <f t="shared" si="7"/>
        <v>Recent</v>
      </c>
    </row>
    <row r="124" spans="1:10" x14ac:dyDescent="0.35">
      <c r="A124" s="4" t="s">
        <v>85</v>
      </c>
      <c r="B124" s="4" t="s">
        <v>86</v>
      </c>
      <c r="C124" s="4" t="s">
        <v>87</v>
      </c>
      <c r="D124" s="20">
        <v>1.7</v>
      </c>
      <c r="E124" s="4">
        <v>15623</v>
      </c>
      <c r="F124" s="4">
        <v>2021</v>
      </c>
      <c r="G124" s="21" t="str">
        <f t="shared" si="4"/>
        <v>Not Popular</v>
      </c>
      <c r="H124" s="21" t="str">
        <f t="shared" si="5"/>
        <v>Other</v>
      </c>
      <c r="I124" s="21" t="str">
        <f t="shared" si="6"/>
        <v>Comedy</v>
      </c>
      <c r="J124" s="21" t="str">
        <f t="shared" si="7"/>
        <v>Recent</v>
      </c>
    </row>
    <row r="125" spans="1:10" x14ac:dyDescent="0.35">
      <c r="A125" s="4" t="s">
        <v>817</v>
      </c>
      <c r="B125" s="4" t="s">
        <v>818</v>
      </c>
      <c r="C125" s="4" t="s">
        <v>211</v>
      </c>
      <c r="D125" s="20">
        <v>4.3</v>
      </c>
      <c r="E125" s="4">
        <v>11182</v>
      </c>
      <c r="F125" s="4">
        <v>2021</v>
      </c>
      <c r="G125" s="21" t="str">
        <f t="shared" si="4"/>
        <v>Not Popular</v>
      </c>
      <c r="H125" s="21" t="str">
        <f t="shared" si="5"/>
        <v>Horror or Thriller</v>
      </c>
      <c r="I125" s="21" t="str">
        <f t="shared" si="6"/>
        <v>Comedy</v>
      </c>
      <c r="J125" s="21" t="str">
        <f t="shared" si="7"/>
        <v>Recent</v>
      </c>
    </row>
    <row r="126" spans="1:10" x14ac:dyDescent="0.35">
      <c r="A126" s="4" t="s">
        <v>2146</v>
      </c>
      <c r="B126" s="4" t="s">
        <v>2147</v>
      </c>
      <c r="C126" s="4" t="s">
        <v>155</v>
      </c>
      <c r="D126" s="20">
        <v>5.2</v>
      </c>
      <c r="E126" s="4">
        <v>66376</v>
      </c>
      <c r="F126" s="4">
        <v>2021</v>
      </c>
      <c r="G126" s="21" t="str">
        <f t="shared" si="4"/>
        <v>Popular</v>
      </c>
      <c r="H126" s="21" t="str">
        <f t="shared" si="5"/>
        <v>Action or Drama</v>
      </c>
      <c r="I126" s="21" t="str">
        <f t="shared" si="6"/>
        <v>Not Comedy</v>
      </c>
      <c r="J126" s="21" t="str">
        <f t="shared" si="7"/>
        <v>Recent</v>
      </c>
    </row>
    <row r="127" spans="1:10" x14ac:dyDescent="0.35">
      <c r="A127" s="4" t="s">
        <v>970</v>
      </c>
      <c r="B127" s="4" t="s">
        <v>971</v>
      </c>
      <c r="C127" s="4" t="s">
        <v>568</v>
      </c>
      <c r="D127" s="20">
        <v>4.5</v>
      </c>
      <c r="E127" s="4">
        <v>24338</v>
      </c>
      <c r="F127" s="4">
        <v>2021</v>
      </c>
      <c r="G127" s="21" t="str">
        <f t="shared" si="4"/>
        <v>Not Popular</v>
      </c>
      <c r="H127" s="21" t="str">
        <f t="shared" si="5"/>
        <v>Action or Drama</v>
      </c>
      <c r="I127" s="21" t="str">
        <f t="shared" si="6"/>
        <v>Not Comedy</v>
      </c>
      <c r="J127" s="21" t="str">
        <f t="shared" si="7"/>
        <v>Recent</v>
      </c>
    </row>
    <row r="128" spans="1:10" x14ac:dyDescent="0.35">
      <c r="A128" s="4" t="s">
        <v>99</v>
      </c>
      <c r="B128" s="4" t="s">
        <v>100</v>
      </c>
      <c r="C128" s="4" t="s">
        <v>101</v>
      </c>
      <c r="D128" s="20">
        <v>1.9</v>
      </c>
      <c r="E128" s="4">
        <v>180273</v>
      </c>
      <c r="F128" s="4">
        <v>2021</v>
      </c>
      <c r="G128" s="21" t="str">
        <f t="shared" si="4"/>
        <v>Not Popular</v>
      </c>
      <c r="H128" s="21" t="str">
        <f t="shared" si="5"/>
        <v>Action or Drama</v>
      </c>
      <c r="I128" s="21" t="str">
        <f t="shared" si="6"/>
        <v>Not Comedy</v>
      </c>
      <c r="J128" s="21" t="str">
        <f t="shared" si="7"/>
        <v>Recent</v>
      </c>
    </row>
    <row r="129" spans="1:10" x14ac:dyDescent="0.35">
      <c r="A129" s="4" t="s">
        <v>1220</v>
      </c>
      <c r="B129" s="4" t="s">
        <v>1221</v>
      </c>
      <c r="C129" s="4" t="s">
        <v>1222</v>
      </c>
      <c r="D129" s="20">
        <v>4.7</v>
      </c>
      <c r="E129" s="4">
        <v>28236</v>
      </c>
      <c r="F129" s="4">
        <v>2021</v>
      </c>
      <c r="G129" s="21" t="str">
        <f t="shared" si="4"/>
        <v>Not Popular</v>
      </c>
      <c r="H129" s="21" t="str">
        <f t="shared" si="5"/>
        <v>Action or Drama</v>
      </c>
      <c r="I129" s="21" t="str">
        <f t="shared" si="6"/>
        <v>Comedy</v>
      </c>
      <c r="J129" s="21" t="str">
        <f t="shared" si="7"/>
        <v>Recent</v>
      </c>
    </row>
    <row r="130" spans="1:10" x14ac:dyDescent="0.35">
      <c r="A130" s="4" t="s">
        <v>724</v>
      </c>
      <c r="B130" s="4" t="s">
        <v>725</v>
      </c>
      <c r="C130" s="4" t="s">
        <v>639</v>
      </c>
      <c r="D130" s="20">
        <v>4.2</v>
      </c>
      <c r="E130" s="4">
        <v>14639</v>
      </c>
      <c r="F130" s="4">
        <v>2021</v>
      </c>
      <c r="G130" s="21" t="str">
        <f t="shared" si="4"/>
        <v>Not Popular</v>
      </c>
      <c r="H130" s="21" t="str">
        <f t="shared" si="5"/>
        <v>Horror or Thriller</v>
      </c>
      <c r="I130" s="21" t="str">
        <f t="shared" si="6"/>
        <v>Not Comedy</v>
      </c>
      <c r="J130" s="21" t="str">
        <f t="shared" si="7"/>
        <v>Recent</v>
      </c>
    </row>
    <row r="131" spans="1:10" x14ac:dyDescent="0.35">
      <c r="A131" s="4" t="s">
        <v>439</v>
      </c>
      <c r="B131" s="4" t="s">
        <v>440</v>
      </c>
      <c r="C131" s="4" t="s">
        <v>441</v>
      </c>
      <c r="D131" s="20">
        <v>3.6</v>
      </c>
      <c r="E131" s="4">
        <v>10390</v>
      </c>
      <c r="F131" s="4">
        <v>2021</v>
      </c>
      <c r="G131" s="21" t="str">
        <f t="shared" ref="G131:G194" si="8">IF(AND(D131&gt;5, E131&gt;1000), "Popular", "Not Popular")</f>
        <v>Not Popular</v>
      </c>
      <c r="H131" s="21" t="str">
        <f t="shared" ref="H131:H194" si="9">IF(OR(ISNUMBER(SEARCH("Action", C131)), ISNUMBER(SEARCH("Drama", C131))), "Action or Drama", IF(OR(ISNUMBER(SEARCH("Horror", C131)), ISNUMBER(SEARCH("Thriller", C131))), "Horror or Thriller", "Other"))</f>
        <v>Action or Drama</v>
      </c>
      <c r="I131" s="21" t="str">
        <f t="shared" ref="I131:I194" si="10">IF(NOT(ISNUMBER(SEARCH("Comedy", C131))), "Not Comedy", "Comedy")</f>
        <v>Not Comedy</v>
      </c>
      <c r="J131" s="21" t="str">
        <f t="shared" ref="J131:J194" si="11">IF(F131&gt;2020, "Recent", "Old")</f>
        <v>Recent</v>
      </c>
    </row>
    <row r="132" spans="1:10" x14ac:dyDescent="0.35">
      <c r="A132" s="4" t="s">
        <v>1829</v>
      </c>
      <c r="B132" s="4" t="s">
        <v>1830</v>
      </c>
      <c r="C132" s="4" t="s">
        <v>14</v>
      </c>
      <c r="D132" s="20">
        <v>5</v>
      </c>
      <c r="E132" s="4">
        <v>11281</v>
      </c>
      <c r="F132" s="4">
        <v>2021</v>
      </c>
      <c r="G132" s="21" t="str">
        <f t="shared" si="8"/>
        <v>Not Popular</v>
      </c>
      <c r="H132" s="21" t="str">
        <f t="shared" si="9"/>
        <v>Action or Drama</v>
      </c>
      <c r="I132" s="21" t="str">
        <f t="shared" si="10"/>
        <v>Not Comedy</v>
      </c>
      <c r="J132" s="21" t="str">
        <f t="shared" si="11"/>
        <v>Recent</v>
      </c>
    </row>
    <row r="133" spans="1:10" x14ac:dyDescent="0.35">
      <c r="A133" s="4" t="s">
        <v>1600</v>
      </c>
      <c r="B133" s="4" t="s">
        <v>1601</v>
      </c>
      <c r="C133" s="4" t="s">
        <v>951</v>
      </c>
      <c r="D133" s="20">
        <v>4.9000000000000004</v>
      </c>
      <c r="E133" s="4">
        <v>21611</v>
      </c>
      <c r="F133" s="4">
        <v>2021</v>
      </c>
      <c r="G133" s="21" t="str">
        <f t="shared" si="8"/>
        <v>Not Popular</v>
      </c>
      <c r="H133" s="21" t="str">
        <f t="shared" si="9"/>
        <v>Action or Drama</v>
      </c>
      <c r="I133" s="21" t="str">
        <f t="shared" si="10"/>
        <v>Not Comedy</v>
      </c>
      <c r="J133" s="21" t="str">
        <f t="shared" si="11"/>
        <v>Recent</v>
      </c>
    </row>
    <row r="134" spans="1:10" x14ac:dyDescent="0.35">
      <c r="A134" s="4" t="s">
        <v>1154</v>
      </c>
      <c r="B134" s="4" t="s">
        <v>1155</v>
      </c>
      <c r="C134" s="4" t="s">
        <v>577</v>
      </c>
      <c r="D134" s="20">
        <v>4.5999999999999996</v>
      </c>
      <c r="E134" s="4">
        <v>10442</v>
      </c>
      <c r="F134" s="4">
        <v>2021</v>
      </c>
      <c r="G134" s="21" t="str">
        <f t="shared" si="8"/>
        <v>Not Popular</v>
      </c>
      <c r="H134" s="21" t="str">
        <f t="shared" si="9"/>
        <v>Horror or Thriller</v>
      </c>
      <c r="I134" s="21" t="str">
        <f t="shared" si="10"/>
        <v>Not Comedy</v>
      </c>
      <c r="J134" s="21" t="str">
        <f t="shared" si="11"/>
        <v>Recent</v>
      </c>
    </row>
    <row r="135" spans="1:10" x14ac:dyDescent="0.35">
      <c r="A135" s="4" t="s">
        <v>385</v>
      </c>
      <c r="B135" s="4" t="s">
        <v>386</v>
      </c>
      <c r="C135" s="4" t="s">
        <v>172</v>
      </c>
      <c r="D135" s="20">
        <v>3.5</v>
      </c>
      <c r="E135" s="4">
        <v>14143</v>
      </c>
      <c r="F135" s="4">
        <v>2021</v>
      </c>
      <c r="G135" s="21" t="str">
        <f t="shared" si="8"/>
        <v>Not Popular</v>
      </c>
      <c r="H135" s="21" t="str">
        <f t="shared" si="9"/>
        <v>Action or Drama</v>
      </c>
      <c r="I135" s="21" t="str">
        <f t="shared" si="10"/>
        <v>Not Comedy</v>
      </c>
      <c r="J135" s="21" t="str">
        <f t="shared" si="11"/>
        <v>Recent</v>
      </c>
    </row>
    <row r="136" spans="1:10" x14ac:dyDescent="0.35">
      <c r="A136" s="4" t="s">
        <v>2050</v>
      </c>
      <c r="B136" s="4" t="s">
        <v>2051</v>
      </c>
      <c r="C136" s="4" t="s">
        <v>565</v>
      </c>
      <c r="D136" s="20">
        <v>5.0999999999999996</v>
      </c>
      <c r="E136" s="4">
        <v>12061</v>
      </c>
      <c r="F136" s="4">
        <v>2021</v>
      </c>
      <c r="G136" s="21" t="str">
        <f t="shared" si="8"/>
        <v>Popular</v>
      </c>
      <c r="H136" s="21" t="str">
        <f t="shared" si="9"/>
        <v>Action or Drama</v>
      </c>
      <c r="I136" s="21" t="str">
        <f t="shared" si="10"/>
        <v>Not Comedy</v>
      </c>
      <c r="J136" s="21" t="str">
        <f t="shared" si="11"/>
        <v>Recent</v>
      </c>
    </row>
    <row r="137" spans="1:10" x14ac:dyDescent="0.35">
      <c r="A137" s="4" t="s">
        <v>415</v>
      </c>
      <c r="B137" s="4" t="s">
        <v>416</v>
      </c>
      <c r="C137" s="4" t="s">
        <v>193</v>
      </c>
      <c r="D137" s="20">
        <v>3.6</v>
      </c>
      <c r="E137" s="4">
        <v>20763</v>
      </c>
      <c r="F137" s="4">
        <v>2021</v>
      </c>
      <c r="G137" s="21" t="str">
        <f t="shared" si="8"/>
        <v>Not Popular</v>
      </c>
      <c r="H137" s="21" t="str">
        <f t="shared" si="9"/>
        <v>Other</v>
      </c>
      <c r="I137" s="21" t="str">
        <f t="shared" si="10"/>
        <v>Comedy</v>
      </c>
      <c r="J137" s="21" t="str">
        <f t="shared" si="11"/>
        <v>Recent</v>
      </c>
    </row>
    <row r="138" spans="1:10" x14ac:dyDescent="0.35">
      <c r="A138" s="4" t="s">
        <v>862</v>
      </c>
      <c r="B138" s="4" t="s">
        <v>863</v>
      </c>
      <c r="C138" s="4" t="s">
        <v>116</v>
      </c>
      <c r="D138" s="20">
        <v>4.4000000000000004</v>
      </c>
      <c r="E138" s="4">
        <v>29652</v>
      </c>
      <c r="F138" s="4">
        <v>2021</v>
      </c>
      <c r="G138" s="21" t="str">
        <f t="shared" si="8"/>
        <v>Not Popular</v>
      </c>
      <c r="H138" s="21" t="str">
        <f t="shared" si="9"/>
        <v>Other</v>
      </c>
      <c r="I138" s="21" t="str">
        <f t="shared" si="10"/>
        <v>Comedy</v>
      </c>
      <c r="J138" s="21" t="str">
        <f t="shared" si="11"/>
        <v>Recent</v>
      </c>
    </row>
    <row r="139" spans="1:10" x14ac:dyDescent="0.35">
      <c r="A139" s="4" t="s">
        <v>333</v>
      </c>
      <c r="B139" s="4" t="s">
        <v>334</v>
      </c>
      <c r="C139" s="4" t="s">
        <v>335</v>
      </c>
      <c r="D139" s="20">
        <v>3.3</v>
      </c>
      <c r="E139" s="4">
        <v>12139</v>
      </c>
      <c r="F139" s="4">
        <v>2021</v>
      </c>
      <c r="G139" s="21" t="str">
        <f t="shared" si="8"/>
        <v>Not Popular</v>
      </c>
      <c r="H139" s="21" t="str">
        <f t="shared" si="9"/>
        <v>Action or Drama</v>
      </c>
      <c r="I139" s="21" t="str">
        <f t="shared" si="10"/>
        <v>Not Comedy</v>
      </c>
      <c r="J139" s="21" t="str">
        <f t="shared" si="11"/>
        <v>Recent</v>
      </c>
    </row>
    <row r="140" spans="1:10" x14ac:dyDescent="0.35">
      <c r="A140" s="4" t="s">
        <v>2110</v>
      </c>
      <c r="B140" s="4" t="s">
        <v>2111</v>
      </c>
      <c r="C140" s="4" t="s">
        <v>101</v>
      </c>
      <c r="D140" s="20">
        <v>5.2</v>
      </c>
      <c r="E140" s="4">
        <v>166852</v>
      </c>
      <c r="F140" s="4">
        <v>2021</v>
      </c>
      <c r="G140" s="21" t="str">
        <f t="shared" si="8"/>
        <v>Popular</v>
      </c>
      <c r="H140" s="21" t="str">
        <f t="shared" si="9"/>
        <v>Action or Drama</v>
      </c>
      <c r="I140" s="21" t="str">
        <f t="shared" si="10"/>
        <v>Not Comedy</v>
      </c>
      <c r="J140" s="21" t="str">
        <f t="shared" si="11"/>
        <v>Recent</v>
      </c>
    </row>
    <row r="141" spans="1:10" x14ac:dyDescent="0.35">
      <c r="A141" s="4" t="s">
        <v>678</v>
      </c>
      <c r="B141" s="4" t="s">
        <v>679</v>
      </c>
      <c r="C141" s="4" t="s">
        <v>584</v>
      </c>
      <c r="D141" s="20">
        <v>4.0999999999999996</v>
      </c>
      <c r="E141" s="4">
        <v>11634</v>
      </c>
      <c r="F141" s="4">
        <v>2021</v>
      </c>
      <c r="G141" s="21" t="str">
        <f t="shared" si="8"/>
        <v>Not Popular</v>
      </c>
      <c r="H141" s="21" t="str">
        <f t="shared" si="9"/>
        <v>Action or Drama</v>
      </c>
      <c r="I141" s="21" t="str">
        <f t="shared" si="10"/>
        <v>Not Comedy</v>
      </c>
      <c r="J141" s="21" t="str">
        <f t="shared" si="11"/>
        <v>Recent</v>
      </c>
    </row>
    <row r="142" spans="1:10" x14ac:dyDescent="0.35">
      <c r="A142" s="4" t="s">
        <v>506</v>
      </c>
      <c r="B142" s="4" t="s">
        <v>507</v>
      </c>
      <c r="C142" s="4" t="s">
        <v>508</v>
      </c>
      <c r="D142" s="20">
        <v>3.8</v>
      </c>
      <c r="E142" s="4">
        <v>13929</v>
      </c>
      <c r="F142" s="4">
        <v>2021</v>
      </c>
      <c r="G142" s="21" t="str">
        <f t="shared" si="8"/>
        <v>Not Popular</v>
      </c>
      <c r="H142" s="21" t="str">
        <f t="shared" si="9"/>
        <v>Action or Drama</v>
      </c>
      <c r="I142" s="21" t="str">
        <f t="shared" si="10"/>
        <v>Not Comedy</v>
      </c>
      <c r="J142" s="21" t="str">
        <f t="shared" si="11"/>
        <v>Recent</v>
      </c>
    </row>
    <row r="143" spans="1:10" x14ac:dyDescent="0.35">
      <c r="A143" s="4" t="s">
        <v>170</v>
      </c>
      <c r="B143" s="4" t="s">
        <v>171</v>
      </c>
      <c r="C143" s="4" t="s">
        <v>172</v>
      </c>
      <c r="D143" s="20">
        <v>2.5</v>
      </c>
      <c r="E143" s="4">
        <v>15382</v>
      </c>
      <c r="F143" s="4">
        <v>2021</v>
      </c>
      <c r="G143" s="21" t="str">
        <f t="shared" si="8"/>
        <v>Not Popular</v>
      </c>
      <c r="H143" s="21" t="str">
        <f t="shared" si="9"/>
        <v>Action or Drama</v>
      </c>
      <c r="I143" s="21" t="str">
        <f t="shared" si="10"/>
        <v>Not Comedy</v>
      </c>
      <c r="J143" s="21" t="str">
        <f t="shared" si="11"/>
        <v>Recent</v>
      </c>
    </row>
    <row r="144" spans="1:10" x14ac:dyDescent="0.35">
      <c r="A144" s="4" t="s">
        <v>839</v>
      </c>
      <c r="B144" s="4" t="s">
        <v>840</v>
      </c>
      <c r="C144" s="4" t="s">
        <v>140</v>
      </c>
      <c r="D144" s="20">
        <v>4.4000000000000004</v>
      </c>
      <c r="E144" s="4">
        <v>47835</v>
      </c>
      <c r="F144" s="4">
        <v>2021</v>
      </c>
      <c r="G144" s="21" t="str">
        <f t="shared" si="8"/>
        <v>Not Popular</v>
      </c>
      <c r="H144" s="21" t="str">
        <f t="shared" si="9"/>
        <v>Other</v>
      </c>
      <c r="I144" s="21" t="str">
        <f t="shared" si="10"/>
        <v>Comedy</v>
      </c>
      <c r="J144" s="21" t="str">
        <f t="shared" si="11"/>
        <v>Recent</v>
      </c>
    </row>
    <row r="145" spans="1:10" x14ac:dyDescent="0.35">
      <c r="A145" s="4" t="s">
        <v>707</v>
      </c>
      <c r="B145" s="4" t="s">
        <v>708</v>
      </c>
      <c r="C145" s="4" t="s">
        <v>709</v>
      </c>
      <c r="D145" s="20">
        <v>4.2</v>
      </c>
      <c r="E145" s="4">
        <v>25030</v>
      </c>
      <c r="F145" s="4">
        <v>2021</v>
      </c>
      <c r="G145" s="21" t="str">
        <f t="shared" si="8"/>
        <v>Not Popular</v>
      </c>
      <c r="H145" s="21" t="str">
        <f t="shared" si="9"/>
        <v>Action or Drama</v>
      </c>
      <c r="I145" s="21" t="str">
        <f t="shared" si="10"/>
        <v>Not Comedy</v>
      </c>
      <c r="J145" s="21" t="str">
        <f t="shared" si="11"/>
        <v>Recent</v>
      </c>
    </row>
    <row r="146" spans="1:10" x14ac:dyDescent="0.35">
      <c r="A146" s="4" t="s">
        <v>1587</v>
      </c>
      <c r="B146" s="4" t="s">
        <v>1588</v>
      </c>
      <c r="C146" s="4" t="s">
        <v>93</v>
      </c>
      <c r="D146" s="20">
        <v>4.9000000000000004</v>
      </c>
      <c r="E146" s="4">
        <v>26968</v>
      </c>
      <c r="F146" s="4">
        <v>2021</v>
      </c>
      <c r="G146" s="21" t="str">
        <f t="shared" si="8"/>
        <v>Not Popular</v>
      </c>
      <c r="H146" s="21" t="str">
        <f t="shared" si="9"/>
        <v>Action or Drama</v>
      </c>
      <c r="I146" s="21" t="str">
        <f t="shared" si="10"/>
        <v>Not Comedy</v>
      </c>
      <c r="J146" s="21" t="str">
        <f t="shared" si="11"/>
        <v>Recent</v>
      </c>
    </row>
    <row r="147" spans="1:10" x14ac:dyDescent="0.35">
      <c r="A147" s="4" t="s">
        <v>623</v>
      </c>
      <c r="B147" s="4" t="s">
        <v>624</v>
      </c>
      <c r="C147" s="4" t="s">
        <v>125</v>
      </c>
      <c r="D147" s="20">
        <v>4</v>
      </c>
      <c r="E147" s="4">
        <v>10894</v>
      </c>
      <c r="F147" s="4">
        <v>2021</v>
      </c>
      <c r="G147" s="21" t="str">
        <f t="shared" si="8"/>
        <v>Not Popular</v>
      </c>
      <c r="H147" s="21" t="str">
        <f t="shared" si="9"/>
        <v>Action or Drama</v>
      </c>
      <c r="I147" s="21" t="str">
        <f t="shared" si="10"/>
        <v>Comedy</v>
      </c>
      <c r="J147" s="21" t="str">
        <f t="shared" si="11"/>
        <v>Recent</v>
      </c>
    </row>
    <row r="148" spans="1:10" x14ac:dyDescent="0.35">
      <c r="A148" s="4" t="s">
        <v>819</v>
      </c>
      <c r="B148" s="4" t="s">
        <v>820</v>
      </c>
      <c r="C148" s="4" t="s">
        <v>56</v>
      </c>
      <c r="D148" s="20">
        <v>4.3</v>
      </c>
      <c r="E148" s="4">
        <v>10914</v>
      </c>
      <c r="F148" s="4">
        <v>2021</v>
      </c>
      <c r="G148" s="21" t="str">
        <f t="shared" si="8"/>
        <v>Not Popular</v>
      </c>
      <c r="H148" s="21" t="str">
        <f t="shared" si="9"/>
        <v>Action or Drama</v>
      </c>
      <c r="I148" s="21" t="str">
        <f t="shared" si="10"/>
        <v>Not Comedy</v>
      </c>
      <c r="J148" s="21" t="str">
        <f t="shared" si="11"/>
        <v>Recent</v>
      </c>
    </row>
    <row r="149" spans="1:10" x14ac:dyDescent="0.35">
      <c r="A149" s="4" t="s">
        <v>1408</v>
      </c>
      <c r="B149" s="4" t="s">
        <v>1409</v>
      </c>
      <c r="C149" s="4" t="s">
        <v>208</v>
      </c>
      <c r="D149" s="20">
        <v>4.8</v>
      </c>
      <c r="E149" s="4">
        <v>21536</v>
      </c>
      <c r="F149" s="4">
        <v>2021</v>
      </c>
      <c r="G149" s="21" t="str">
        <f t="shared" si="8"/>
        <v>Not Popular</v>
      </c>
      <c r="H149" s="21" t="str">
        <f t="shared" si="9"/>
        <v>Action or Drama</v>
      </c>
      <c r="I149" s="21" t="str">
        <f t="shared" si="10"/>
        <v>Not Comedy</v>
      </c>
      <c r="J149" s="21" t="str">
        <f t="shared" si="11"/>
        <v>Recent</v>
      </c>
    </row>
    <row r="150" spans="1:10" x14ac:dyDescent="0.35">
      <c r="A150" s="4" t="s">
        <v>32</v>
      </c>
      <c r="B150" s="4" t="s">
        <v>33</v>
      </c>
      <c r="C150" s="4" t="s">
        <v>34</v>
      </c>
      <c r="D150" s="20">
        <v>1.2</v>
      </c>
      <c r="E150" s="4">
        <v>20687</v>
      </c>
      <c r="F150" s="4">
        <v>2021</v>
      </c>
      <c r="G150" s="21" t="str">
        <f t="shared" si="8"/>
        <v>Not Popular</v>
      </c>
      <c r="H150" s="21" t="str">
        <f t="shared" si="9"/>
        <v>Action or Drama</v>
      </c>
      <c r="I150" s="21" t="str">
        <f t="shared" si="10"/>
        <v>Not Comedy</v>
      </c>
      <c r="J150" s="21" t="str">
        <f t="shared" si="11"/>
        <v>Recent</v>
      </c>
    </row>
    <row r="151" spans="1:10" x14ac:dyDescent="0.35">
      <c r="A151" s="4" t="s">
        <v>1257</v>
      </c>
      <c r="B151" s="4" t="s">
        <v>1258</v>
      </c>
      <c r="C151" s="4" t="s">
        <v>1259</v>
      </c>
      <c r="D151" s="20">
        <v>4.7</v>
      </c>
      <c r="E151" s="4">
        <v>17665</v>
      </c>
      <c r="F151" s="4">
        <v>2020</v>
      </c>
      <c r="G151" s="21" t="str">
        <f t="shared" si="8"/>
        <v>Not Popular</v>
      </c>
      <c r="H151" s="21" t="str">
        <f t="shared" si="9"/>
        <v>Action or Drama</v>
      </c>
      <c r="I151" s="21" t="str">
        <f t="shared" si="10"/>
        <v>Comedy</v>
      </c>
      <c r="J151" s="21" t="str">
        <f t="shared" si="11"/>
        <v>Old</v>
      </c>
    </row>
    <row r="152" spans="1:10" x14ac:dyDescent="0.35">
      <c r="A152" s="4" t="s">
        <v>1986</v>
      </c>
      <c r="B152" s="4" t="s">
        <v>1987</v>
      </c>
      <c r="C152" s="4" t="s">
        <v>1048</v>
      </c>
      <c r="D152" s="20">
        <v>5.0999999999999996</v>
      </c>
      <c r="E152" s="4">
        <v>18086</v>
      </c>
      <c r="F152" s="4">
        <v>2020</v>
      </c>
      <c r="G152" s="21" t="str">
        <f t="shared" si="8"/>
        <v>Popular</v>
      </c>
      <c r="H152" s="21" t="str">
        <f t="shared" si="9"/>
        <v>Action or Drama</v>
      </c>
      <c r="I152" s="21" t="str">
        <f t="shared" si="10"/>
        <v>Not Comedy</v>
      </c>
      <c r="J152" s="21" t="str">
        <f t="shared" si="11"/>
        <v>Old</v>
      </c>
    </row>
    <row r="153" spans="1:10" x14ac:dyDescent="0.35">
      <c r="A153" s="4" t="s">
        <v>1449</v>
      </c>
      <c r="B153" s="4" t="s">
        <v>1450</v>
      </c>
      <c r="C153" s="4" t="s">
        <v>1451</v>
      </c>
      <c r="D153" s="20">
        <v>4.8</v>
      </c>
      <c r="E153" s="4">
        <v>15399</v>
      </c>
      <c r="F153" s="4">
        <v>2020</v>
      </c>
      <c r="G153" s="21" t="str">
        <f t="shared" si="8"/>
        <v>Not Popular</v>
      </c>
      <c r="H153" s="21" t="str">
        <f t="shared" si="9"/>
        <v>Other</v>
      </c>
      <c r="I153" s="21" t="str">
        <f t="shared" si="10"/>
        <v>Not Comedy</v>
      </c>
      <c r="J153" s="21" t="str">
        <f t="shared" si="11"/>
        <v>Old</v>
      </c>
    </row>
    <row r="154" spans="1:10" x14ac:dyDescent="0.35">
      <c r="A154" s="4" t="s">
        <v>981</v>
      </c>
      <c r="B154" s="4" t="s">
        <v>982</v>
      </c>
      <c r="C154" s="4" t="s">
        <v>983</v>
      </c>
      <c r="D154" s="20">
        <v>4.5</v>
      </c>
      <c r="E154" s="4">
        <v>18677</v>
      </c>
      <c r="F154" s="4">
        <v>2020</v>
      </c>
      <c r="G154" s="21" t="str">
        <f t="shared" si="8"/>
        <v>Not Popular</v>
      </c>
      <c r="H154" s="21" t="str">
        <f t="shared" si="9"/>
        <v>Action or Drama</v>
      </c>
      <c r="I154" s="21" t="str">
        <f t="shared" si="10"/>
        <v>Not Comedy</v>
      </c>
      <c r="J154" s="21" t="str">
        <f t="shared" si="11"/>
        <v>Old</v>
      </c>
    </row>
    <row r="155" spans="1:10" x14ac:dyDescent="0.35">
      <c r="A155" s="4" t="s">
        <v>563</v>
      </c>
      <c r="B155" s="4" t="s">
        <v>564</v>
      </c>
      <c r="C155" s="4" t="s">
        <v>565</v>
      </c>
      <c r="D155" s="20">
        <v>3.9</v>
      </c>
      <c r="E155" s="4">
        <v>16563</v>
      </c>
      <c r="F155" s="4">
        <v>2020</v>
      </c>
      <c r="G155" s="21" t="str">
        <f t="shared" si="8"/>
        <v>Not Popular</v>
      </c>
      <c r="H155" s="21" t="str">
        <f t="shared" si="9"/>
        <v>Action or Drama</v>
      </c>
      <c r="I155" s="21" t="str">
        <f t="shared" si="10"/>
        <v>Not Comedy</v>
      </c>
      <c r="J155" s="21" t="str">
        <f t="shared" si="11"/>
        <v>Old</v>
      </c>
    </row>
    <row r="156" spans="1:10" x14ac:dyDescent="0.35">
      <c r="A156" s="4" t="s">
        <v>1442</v>
      </c>
      <c r="B156" s="4" t="s">
        <v>1443</v>
      </c>
      <c r="C156" s="4" t="s">
        <v>56</v>
      </c>
      <c r="D156" s="20">
        <v>4.8</v>
      </c>
      <c r="E156" s="4">
        <v>15773</v>
      </c>
      <c r="F156" s="4">
        <v>2020</v>
      </c>
      <c r="G156" s="21" t="str">
        <f t="shared" si="8"/>
        <v>Not Popular</v>
      </c>
      <c r="H156" s="21" t="str">
        <f t="shared" si="9"/>
        <v>Action or Drama</v>
      </c>
      <c r="I156" s="21" t="str">
        <f t="shared" si="10"/>
        <v>Not Comedy</v>
      </c>
      <c r="J156" s="21" t="str">
        <f t="shared" si="11"/>
        <v>Old</v>
      </c>
    </row>
    <row r="157" spans="1:10" x14ac:dyDescent="0.35">
      <c r="A157" s="4" t="s">
        <v>888</v>
      </c>
      <c r="B157" s="4" t="s">
        <v>889</v>
      </c>
      <c r="C157" s="4" t="s">
        <v>508</v>
      </c>
      <c r="D157" s="20">
        <v>4.4000000000000004</v>
      </c>
      <c r="E157" s="4">
        <v>16948</v>
      </c>
      <c r="F157" s="4">
        <v>2020</v>
      </c>
      <c r="G157" s="21" t="str">
        <f t="shared" si="8"/>
        <v>Not Popular</v>
      </c>
      <c r="H157" s="21" t="str">
        <f t="shared" si="9"/>
        <v>Action or Drama</v>
      </c>
      <c r="I157" s="21" t="str">
        <f t="shared" si="10"/>
        <v>Not Comedy</v>
      </c>
      <c r="J157" s="21" t="str">
        <f t="shared" si="11"/>
        <v>Old</v>
      </c>
    </row>
    <row r="158" spans="1:10" x14ac:dyDescent="0.35">
      <c r="A158" s="4" t="s">
        <v>511</v>
      </c>
      <c r="B158" s="4" t="s">
        <v>512</v>
      </c>
      <c r="C158" s="4" t="s">
        <v>56</v>
      </c>
      <c r="D158" s="20">
        <v>3.8</v>
      </c>
      <c r="E158" s="4">
        <v>12566</v>
      </c>
      <c r="F158" s="4">
        <v>2020</v>
      </c>
      <c r="G158" s="21" t="str">
        <f t="shared" si="8"/>
        <v>Not Popular</v>
      </c>
      <c r="H158" s="21" t="str">
        <f t="shared" si="9"/>
        <v>Action or Drama</v>
      </c>
      <c r="I158" s="21" t="str">
        <f t="shared" si="10"/>
        <v>Not Comedy</v>
      </c>
      <c r="J158" s="21" t="str">
        <f t="shared" si="11"/>
        <v>Old</v>
      </c>
    </row>
    <row r="159" spans="1:10" x14ac:dyDescent="0.35">
      <c r="A159" s="4" t="s">
        <v>1101</v>
      </c>
      <c r="B159" s="4" t="s">
        <v>1102</v>
      </c>
      <c r="C159" s="4" t="s">
        <v>400</v>
      </c>
      <c r="D159" s="20">
        <v>4.5999999999999996</v>
      </c>
      <c r="E159" s="4">
        <v>17285</v>
      </c>
      <c r="F159" s="4">
        <v>2020</v>
      </c>
      <c r="G159" s="21" t="str">
        <f t="shared" si="8"/>
        <v>Not Popular</v>
      </c>
      <c r="H159" s="21" t="str">
        <f t="shared" si="9"/>
        <v>Action or Drama</v>
      </c>
      <c r="I159" s="21" t="str">
        <f t="shared" si="10"/>
        <v>Not Comedy</v>
      </c>
      <c r="J159" s="21" t="str">
        <f t="shared" si="11"/>
        <v>Old</v>
      </c>
    </row>
    <row r="160" spans="1:10" x14ac:dyDescent="0.35">
      <c r="A160" s="4" t="s">
        <v>2072</v>
      </c>
      <c r="B160" s="4" t="s">
        <v>2073</v>
      </c>
      <c r="C160" s="4" t="s">
        <v>8</v>
      </c>
      <c r="D160" s="20">
        <v>5.0999999999999996</v>
      </c>
      <c r="E160" s="4">
        <v>10816</v>
      </c>
      <c r="F160" s="4">
        <v>2020</v>
      </c>
      <c r="G160" s="21" t="str">
        <f t="shared" si="8"/>
        <v>Popular</v>
      </c>
      <c r="H160" s="21" t="str">
        <f t="shared" si="9"/>
        <v>Action or Drama</v>
      </c>
      <c r="I160" s="21" t="str">
        <f t="shared" si="10"/>
        <v>Not Comedy</v>
      </c>
      <c r="J160" s="21" t="str">
        <f t="shared" si="11"/>
        <v>Old</v>
      </c>
    </row>
    <row r="161" spans="1:10" x14ac:dyDescent="0.35">
      <c r="A161" s="4" t="s">
        <v>617</v>
      </c>
      <c r="B161" s="4" t="s">
        <v>618</v>
      </c>
      <c r="C161" s="4" t="s">
        <v>568</v>
      </c>
      <c r="D161" s="20">
        <v>4</v>
      </c>
      <c r="E161" s="4">
        <v>12082</v>
      </c>
      <c r="F161" s="4">
        <v>2020</v>
      </c>
      <c r="G161" s="21" t="str">
        <f t="shared" si="8"/>
        <v>Not Popular</v>
      </c>
      <c r="H161" s="21" t="str">
        <f t="shared" si="9"/>
        <v>Action or Drama</v>
      </c>
      <c r="I161" s="21" t="str">
        <f t="shared" si="10"/>
        <v>Not Comedy</v>
      </c>
      <c r="J161" s="21" t="str">
        <f t="shared" si="11"/>
        <v>Old</v>
      </c>
    </row>
    <row r="162" spans="1:10" x14ac:dyDescent="0.35">
      <c r="A162" s="4" t="s">
        <v>1483</v>
      </c>
      <c r="B162" s="4" t="s">
        <v>1484</v>
      </c>
      <c r="C162" s="4" t="s">
        <v>951</v>
      </c>
      <c r="D162" s="20">
        <v>4.8</v>
      </c>
      <c r="E162" s="4">
        <v>11904</v>
      </c>
      <c r="F162" s="4">
        <v>2020</v>
      </c>
      <c r="G162" s="21" t="str">
        <f t="shared" si="8"/>
        <v>Not Popular</v>
      </c>
      <c r="H162" s="21" t="str">
        <f t="shared" si="9"/>
        <v>Action or Drama</v>
      </c>
      <c r="I162" s="21" t="str">
        <f t="shared" si="10"/>
        <v>Not Comedy</v>
      </c>
      <c r="J162" s="21" t="str">
        <f t="shared" si="11"/>
        <v>Old</v>
      </c>
    </row>
    <row r="163" spans="1:10" x14ac:dyDescent="0.35">
      <c r="A163" s="4" t="s">
        <v>357</v>
      </c>
      <c r="B163" s="4" t="s">
        <v>358</v>
      </c>
      <c r="C163" s="4" t="s">
        <v>359</v>
      </c>
      <c r="D163" s="20">
        <v>3.4</v>
      </c>
      <c r="E163" s="4">
        <v>15510</v>
      </c>
      <c r="F163" s="4">
        <v>2020</v>
      </c>
      <c r="G163" s="21" t="str">
        <f t="shared" si="8"/>
        <v>Not Popular</v>
      </c>
      <c r="H163" s="21" t="str">
        <f t="shared" si="9"/>
        <v>Action or Drama</v>
      </c>
      <c r="I163" s="21" t="str">
        <f t="shared" si="10"/>
        <v>Not Comedy</v>
      </c>
      <c r="J163" s="21" t="str">
        <f t="shared" si="11"/>
        <v>Old</v>
      </c>
    </row>
    <row r="164" spans="1:10" x14ac:dyDescent="0.35">
      <c r="A164" s="4" t="s">
        <v>1729</v>
      </c>
      <c r="B164" s="4" t="s">
        <v>1730</v>
      </c>
      <c r="C164" s="4" t="s">
        <v>1731</v>
      </c>
      <c r="D164" s="20">
        <v>5</v>
      </c>
      <c r="E164" s="4">
        <v>32153</v>
      </c>
      <c r="F164" s="4">
        <v>2020</v>
      </c>
      <c r="G164" s="21" t="str">
        <f t="shared" si="8"/>
        <v>Not Popular</v>
      </c>
      <c r="H164" s="21" t="str">
        <f t="shared" si="9"/>
        <v>Action or Drama</v>
      </c>
      <c r="I164" s="21" t="str">
        <f t="shared" si="10"/>
        <v>Not Comedy</v>
      </c>
      <c r="J164" s="21" t="str">
        <f t="shared" si="11"/>
        <v>Old</v>
      </c>
    </row>
    <row r="165" spans="1:10" x14ac:dyDescent="0.35">
      <c r="A165" s="4" t="s">
        <v>24</v>
      </c>
      <c r="B165" s="4" t="s">
        <v>25</v>
      </c>
      <c r="C165" s="4" t="s">
        <v>26</v>
      </c>
      <c r="D165" s="20">
        <v>1.2</v>
      </c>
      <c r="E165" s="4">
        <v>96853</v>
      </c>
      <c r="F165" s="4">
        <v>2020</v>
      </c>
      <c r="G165" s="21" t="str">
        <f t="shared" si="8"/>
        <v>Not Popular</v>
      </c>
      <c r="H165" s="21" t="str">
        <f t="shared" si="9"/>
        <v>Action or Drama</v>
      </c>
      <c r="I165" s="21" t="str">
        <f t="shared" si="10"/>
        <v>Not Comedy</v>
      </c>
      <c r="J165" s="21" t="str">
        <f t="shared" si="11"/>
        <v>Old</v>
      </c>
    </row>
    <row r="166" spans="1:10" x14ac:dyDescent="0.35">
      <c r="A166" s="4" t="s">
        <v>748</v>
      </c>
      <c r="B166" s="4" t="s">
        <v>749</v>
      </c>
      <c r="C166" s="4" t="s">
        <v>571</v>
      </c>
      <c r="D166" s="20">
        <v>4.2</v>
      </c>
      <c r="E166" s="4">
        <v>10034</v>
      </c>
      <c r="F166" s="4">
        <v>2020</v>
      </c>
      <c r="G166" s="21" t="str">
        <f t="shared" si="8"/>
        <v>Not Popular</v>
      </c>
      <c r="H166" s="21" t="str">
        <f t="shared" si="9"/>
        <v>Action or Drama</v>
      </c>
      <c r="I166" s="21" t="str">
        <f t="shared" si="10"/>
        <v>Not Comedy</v>
      </c>
      <c r="J166" s="21" t="str">
        <f t="shared" si="11"/>
        <v>Old</v>
      </c>
    </row>
    <row r="167" spans="1:10" x14ac:dyDescent="0.35">
      <c r="A167" s="4" t="s">
        <v>1264</v>
      </c>
      <c r="B167" s="4" t="s">
        <v>1265</v>
      </c>
      <c r="C167" s="4" t="s">
        <v>172</v>
      </c>
      <c r="D167" s="20">
        <v>4.7</v>
      </c>
      <c r="E167" s="4">
        <v>15602</v>
      </c>
      <c r="F167" s="4">
        <v>2020</v>
      </c>
      <c r="G167" s="21" t="str">
        <f t="shared" si="8"/>
        <v>Not Popular</v>
      </c>
      <c r="H167" s="21" t="str">
        <f t="shared" si="9"/>
        <v>Action or Drama</v>
      </c>
      <c r="I167" s="21" t="str">
        <f t="shared" si="10"/>
        <v>Not Comedy</v>
      </c>
      <c r="J167" s="21" t="str">
        <f t="shared" si="11"/>
        <v>Old</v>
      </c>
    </row>
    <row r="168" spans="1:10" x14ac:dyDescent="0.35">
      <c r="A168" s="4" t="s">
        <v>1628</v>
      </c>
      <c r="B168" s="4" t="s">
        <v>1629</v>
      </c>
      <c r="C168" s="4" t="s">
        <v>915</v>
      </c>
      <c r="D168" s="20">
        <v>4.9000000000000004</v>
      </c>
      <c r="E168" s="4">
        <v>14610</v>
      </c>
      <c r="F168" s="4">
        <v>2020</v>
      </c>
      <c r="G168" s="21" t="str">
        <f t="shared" si="8"/>
        <v>Not Popular</v>
      </c>
      <c r="H168" s="21" t="str">
        <f t="shared" si="9"/>
        <v>Horror or Thriller</v>
      </c>
      <c r="I168" s="21" t="str">
        <f t="shared" si="10"/>
        <v>Not Comedy</v>
      </c>
      <c r="J168" s="21" t="str">
        <f t="shared" si="11"/>
        <v>Old</v>
      </c>
    </row>
    <row r="169" spans="1:10" x14ac:dyDescent="0.35">
      <c r="A169" s="4" t="s">
        <v>604</v>
      </c>
      <c r="B169" s="4" t="s">
        <v>605</v>
      </c>
      <c r="C169" s="4" t="s">
        <v>606</v>
      </c>
      <c r="D169" s="20">
        <v>4</v>
      </c>
      <c r="E169" s="4">
        <v>19213</v>
      </c>
      <c r="F169" s="4">
        <v>2020</v>
      </c>
      <c r="G169" s="21" t="str">
        <f t="shared" si="8"/>
        <v>Not Popular</v>
      </c>
      <c r="H169" s="21" t="str">
        <f t="shared" si="9"/>
        <v>Action or Drama</v>
      </c>
      <c r="I169" s="21" t="str">
        <f t="shared" si="10"/>
        <v>Not Comedy</v>
      </c>
      <c r="J169" s="21" t="str">
        <f t="shared" si="11"/>
        <v>Old</v>
      </c>
    </row>
    <row r="170" spans="1:10" x14ac:dyDescent="0.35">
      <c r="A170" s="4" t="s">
        <v>2138</v>
      </c>
      <c r="B170" s="4" t="s">
        <v>2139</v>
      </c>
      <c r="C170" s="4" t="s">
        <v>166</v>
      </c>
      <c r="D170" s="20">
        <v>5.2</v>
      </c>
      <c r="E170" s="4">
        <v>69645</v>
      </c>
      <c r="F170" s="4">
        <v>2020</v>
      </c>
      <c r="G170" s="21" t="str">
        <f t="shared" si="8"/>
        <v>Popular</v>
      </c>
      <c r="H170" s="21" t="str">
        <f t="shared" si="9"/>
        <v>Action or Drama</v>
      </c>
      <c r="I170" s="21" t="str">
        <f t="shared" si="10"/>
        <v>Not Comedy</v>
      </c>
      <c r="J170" s="21" t="str">
        <f t="shared" si="11"/>
        <v>Old</v>
      </c>
    </row>
    <row r="171" spans="1:10" x14ac:dyDescent="0.35">
      <c r="A171" s="4" t="s">
        <v>1316</v>
      </c>
      <c r="B171" s="4" t="s">
        <v>1317</v>
      </c>
      <c r="C171" s="4" t="s">
        <v>208</v>
      </c>
      <c r="D171" s="20">
        <v>4.7</v>
      </c>
      <c r="E171" s="4">
        <v>10789</v>
      </c>
      <c r="F171" s="4">
        <v>2020</v>
      </c>
      <c r="G171" s="21" t="str">
        <f t="shared" si="8"/>
        <v>Not Popular</v>
      </c>
      <c r="H171" s="21" t="str">
        <f t="shared" si="9"/>
        <v>Action or Drama</v>
      </c>
      <c r="I171" s="21" t="str">
        <f t="shared" si="10"/>
        <v>Not Comedy</v>
      </c>
      <c r="J171" s="21" t="str">
        <f t="shared" si="11"/>
        <v>Old</v>
      </c>
    </row>
    <row r="172" spans="1:10" x14ac:dyDescent="0.35">
      <c r="A172" s="4" t="s">
        <v>1266</v>
      </c>
      <c r="B172" s="4" t="s">
        <v>1267</v>
      </c>
      <c r="C172" s="4" t="s">
        <v>11</v>
      </c>
      <c r="D172" s="20">
        <v>4.7</v>
      </c>
      <c r="E172" s="4">
        <v>15510</v>
      </c>
      <c r="F172" s="4">
        <v>2020</v>
      </c>
      <c r="G172" s="21" t="str">
        <f t="shared" si="8"/>
        <v>Not Popular</v>
      </c>
      <c r="H172" s="21" t="str">
        <f t="shared" si="9"/>
        <v>Other</v>
      </c>
      <c r="I172" s="21" t="str">
        <f t="shared" si="10"/>
        <v>Comedy</v>
      </c>
      <c r="J172" s="21" t="str">
        <f t="shared" si="11"/>
        <v>Old</v>
      </c>
    </row>
    <row r="173" spans="1:10" x14ac:dyDescent="0.35">
      <c r="A173" s="4" t="s">
        <v>167</v>
      </c>
      <c r="B173" s="4" t="s">
        <v>168</v>
      </c>
      <c r="C173" s="4" t="s">
        <v>169</v>
      </c>
      <c r="D173" s="20">
        <v>2.5</v>
      </c>
      <c r="E173" s="4">
        <v>59055</v>
      </c>
      <c r="F173" s="4">
        <v>2020</v>
      </c>
      <c r="G173" s="21" t="str">
        <f t="shared" si="8"/>
        <v>Not Popular</v>
      </c>
      <c r="H173" s="21" t="str">
        <f t="shared" si="9"/>
        <v>Action or Drama</v>
      </c>
      <c r="I173" s="21" t="str">
        <f t="shared" si="10"/>
        <v>Comedy</v>
      </c>
      <c r="J173" s="21" t="str">
        <f t="shared" si="11"/>
        <v>Old</v>
      </c>
    </row>
    <row r="174" spans="1:10" x14ac:dyDescent="0.35">
      <c r="A174" s="4" t="s">
        <v>179</v>
      </c>
      <c r="B174" s="4" t="s">
        <v>180</v>
      </c>
      <c r="C174" s="4" t="s">
        <v>181</v>
      </c>
      <c r="D174" s="20">
        <v>2.5</v>
      </c>
      <c r="E174" s="4">
        <v>10132</v>
      </c>
      <c r="F174" s="4">
        <v>2020</v>
      </c>
      <c r="G174" s="21" t="str">
        <f t="shared" si="8"/>
        <v>Not Popular</v>
      </c>
      <c r="H174" s="21" t="str">
        <f t="shared" si="9"/>
        <v>Action or Drama</v>
      </c>
      <c r="I174" s="21" t="str">
        <f t="shared" si="10"/>
        <v>Comedy</v>
      </c>
      <c r="J174" s="21" t="str">
        <f t="shared" si="11"/>
        <v>Old</v>
      </c>
    </row>
    <row r="175" spans="1:10" x14ac:dyDescent="0.35">
      <c r="A175" s="4" t="s">
        <v>417</v>
      </c>
      <c r="B175" s="4" t="s">
        <v>418</v>
      </c>
      <c r="C175" s="4" t="s">
        <v>14</v>
      </c>
      <c r="D175" s="20">
        <v>3.6</v>
      </c>
      <c r="E175" s="4">
        <v>19147</v>
      </c>
      <c r="F175" s="4">
        <v>2020</v>
      </c>
      <c r="G175" s="21" t="str">
        <f t="shared" si="8"/>
        <v>Not Popular</v>
      </c>
      <c r="H175" s="21" t="str">
        <f t="shared" si="9"/>
        <v>Action or Drama</v>
      </c>
      <c r="I175" s="21" t="str">
        <f t="shared" si="10"/>
        <v>Not Comedy</v>
      </c>
      <c r="J175" s="21" t="str">
        <f t="shared" si="11"/>
        <v>Old</v>
      </c>
    </row>
    <row r="176" spans="1:10" x14ac:dyDescent="0.35">
      <c r="A176" s="4" t="s">
        <v>257</v>
      </c>
      <c r="B176" s="4" t="s">
        <v>258</v>
      </c>
      <c r="C176" s="4" t="s">
        <v>143</v>
      </c>
      <c r="D176" s="20">
        <v>2.9</v>
      </c>
      <c r="E176" s="4">
        <v>10685</v>
      </c>
      <c r="F176" s="4">
        <v>2020</v>
      </c>
      <c r="G176" s="21" t="str">
        <f t="shared" si="8"/>
        <v>Not Popular</v>
      </c>
      <c r="H176" s="21" t="str">
        <f t="shared" si="9"/>
        <v>Action or Drama</v>
      </c>
      <c r="I176" s="21" t="str">
        <f t="shared" si="10"/>
        <v>Not Comedy</v>
      </c>
      <c r="J176" s="21" t="str">
        <f t="shared" si="11"/>
        <v>Old</v>
      </c>
    </row>
    <row r="177" spans="1:10" x14ac:dyDescent="0.35">
      <c r="A177" s="4" t="s">
        <v>1485</v>
      </c>
      <c r="B177" s="4" t="s">
        <v>1486</v>
      </c>
      <c r="C177" s="4" t="s">
        <v>93</v>
      </c>
      <c r="D177" s="20">
        <v>4.8</v>
      </c>
      <c r="E177" s="4">
        <v>11898</v>
      </c>
      <c r="F177" s="4">
        <v>2020</v>
      </c>
      <c r="G177" s="21" t="str">
        <f t="shared" si="8"/>
        <v>Not Popular</v>
      </c>
      <c r="H177" s="21" t="str">
        <f t="shared" si="9"/>
        <v>Action or Drama</v>
      </c>
      <c r="I177" s="21" t="str">
        <f t="shared" si="10"/>
        <v>Not Comedy</v>
      </c>
      <c r="J177" s="21" t="str">
        <f t="shared" si="11"/>
        <v>Old</v>
      </c>
    </row>
    <row r="178" spans="1:10" x14ac:dyDescent="0.35">
      <c r="A178" s="4" t="s">
        <v>292</v>
      </c>
      <c r="B178" s="4" t="s">
        <v>293</v>
      </c>
      <c r="C178" s="4" t="s">
        <v>294</v>
      </c>
      <c r="D178" s="20">
        <v>3.1</v>
      </c>
      <c r="E178" s="4">
        <v>19617</v>
      </c>
      <c r="F178" s="4">
        <v>2020</v>
      </c>
      <c r="G178" s="21" t="str">
        <f t="shared" si="8"/>
        <v>Not Popular</v>
      </c>
      <c r="H178" s="21" t="str">
        <f t="shared" si="9"/>
        <v>Action or Drama</v>
      </c>
      <c r="I178" s="21" t="str">
        <f t="shared" si="10"/>
        <v>Not Comedy</v>
      </c>
      <c r="J178" s="21" t="str">
        <f t="shared" si="11"/>
        <v>Old</v>
      </c>
    </row>
    <row r="179" spans="1:10" x14ac:dyDescent="0.35">
      <c r="A179" s="4" t="s">
        <v>1118</v>
      </c>
      <c r="B179" s="4" t="s">
        <v>1119</v>
      </c>
      <c r="C179" s="4" t="s">
        <v>275</v>
      </c>
      <c r="D179" s="20">
        <v>4.5999999999999996</v>
      </c>
      <c r="E179" s="4">
        <v>13742</v>
      </c>
      <c r="F179" s="4">
        <v>2020</v>
      </c>
      <c r="G179" s="21" t="str">
        <f t="shared" si="8"/>
        <v>Not Popular</v>
      </c>
      <c r="H179" s="21" t="str">
        <f t="shared" si="9"/>
        <v>Action or Drama</v>
      </c>
      <c r="I179" s="21" t="str">
        <f t="shared" si="10"/>
        <v>Not Comedy</v>
      </c>
      <c r="J179" s="21" t="str">
        <f t="shared" si="11"/>
        <v>Old</v>
      </c>
    </row>
    <row r="180" spans="1:10" x14ac:dyDescent="0.35">
      <c r="A180" s="4" t="s">
        <v>1543</v>
      </c>
      <c r="B180" s="4" t="s">
        <v>1544</v>
      </c>
      <c r="C180" s="4" t="s">
        <v>915</v>
      </c>
      <c r="D180" s="20">
        <v>4.9000000000000004</v>
      </c>
      <c r="E180" s="4">
        <v>60238</v>
      </c>
      <c r="F180" s="4">
        <v>2020</v>
      </c>
      <c r="G180" s="21" t="str">
        <f t="shared" si="8"/>
        <v>Not Popular</v>
      </c>
      <c r="H180" s="21" t="str">
        <f t="shared" si="9"/>
        <v>Horror or Thriller</v>
      </c>
      <c r="I180" s="21" t="str">
        <f t="shared" si="10"/>
        <v>Not Comedy</v>
      </c>
      <c r="J180" s="21" t="str">
        <f t="shared" si="11"/>
        <v>Old</v>
      </c>
    </row>
    <row r="181" spans="1:10" x14ac:dyDescent="0.35">
      <c r="A181" s="4" t="s">
        <v>745</v>
      </c>
      <c r="B181" s="4" t="s">
        <v>746</v>
      </c>
      <c r="C181" s="4" t="s">
        <v>747</v>
      </c>
      <c r="D181" s="20">
        <v>4.2</v>
      </c>
      <c r="E181" s="4">
        <v>10487</v>
      </c>
      <c r="F181" s="4">
        <v>2020</v>
      </c>
      <c r="G181" s="21" t="str">
        <f t="shared" si="8"/>
        <v>Not Popular</v>
      </c>
      <c r="H181" s="21" t="str">
        <f t="shared" si="9"/>
        <v>Other</v>
      </c>
      <c r="I181" s="21" t="str">
        <f t="shared" si="10"/>
        <v>Not Comedy</v>
      </c>
      <c r="J181" s="21" t="str">
        <f t="shared" si="11"/>
        <v>Old</v>
      </c>
    </row>
    <row r="182" spans="1:10" x14ac:dyDescent="0.35">
      <c r="A182" s="4" t="s">
        <v>1632</v>
      </c>
      <c r="B182" s="4" t="s">
        <v>1633</v>
      </c>
      <c r="C182" s="4" t="s">
        <v>646</v>
      </c>
      <c r="D182" s="20">
        <v>4.9000000000000004</v>
      </c>
      <c r="E182" s="4">
        <v>14021</v>
      </c>
      <c r="F182" s="4">
        <v>2020</v>
      </c>
      <c r="G182" s="21" t="str">
        <f t="shared" si="8"/>
        <v>Not Popular</v>
      </c>
      <c r="H182" s="21" t="str">
        <f t="shared" si="9"/>
        <v>Action or Drama</v>
      </c>
      <c r="I182" s="21" t="str">
        <f t="shared" si="10"/>
        <v>Comedy</v>
      </c>
      <c r="J182" s="21" t="str">
        <f t="shared" si="11"/>
        <v>Old</v>
      </c>
    </row>
    <row r="183" spans="1:10" x14ac:dyDescent="0.35">
      <c r="A183" s="4" t="s">
        <v>407</v>
      </c>
      <c r="B183" s="4" t="s">
        <v>408</v>
      </c>
      <c r="C183" s="4" t="s">
        <v>14</v>
      </c>
      <c r="D183" s="20">
        <v>3.6</v>
      </c>
      <c r="E183" s="4">
        <v>32880</v>
      </c>
      <c r="F183" s="4">
        <v>2020</v>
      </c>
      <c r="G183" s="21" t="str">
        <f t="shared" si="8"/>
        <v>Not Popular</v>
      </c>
      <c r="H183" s="21" t="str">
        <f t="shared" si="9"/>
        <v>Action or Drama</v>
      </c>
      <c r="I183" s="21" t="str">
        <f t="shared" si="10"/>
        <v>Not Comedy</v>
      </c>
      <c r="J183" s="21" t="str">
        <f t="shared" si="11"/>
        <v>Old</v>
      </c>
    </row>
    <row r="184" spans="1:10" x14ac:dyDescent="0.35">
      <c r="A184" s="4" t="s">
        <v>685</v>
      </c>
      <c r="B184" s="4" t="s">
        <v>686</v>
      </c>
      <c r="C184" s="4" t="s">
        <v>181</v>
      </c>
      <c r="D184" s="20">
        <v>4.2</v>
      </c>
      <c r="E184" s="4">
        <v>74378</v>
      </c>
      <c r="F184" s="4">
        <v>2020</v>
      </c>
      <c r="G184" s="21" t="str">
        <f t="shared" si="8"/>
        <v>Not Popular</v>
      </c>
      <c r="H184" s="21" t="str">
        <f t="shared" si="9"/>
        <v>Action or Drama</v>
      </c>
      <c r="I184" s="21" t="str">
        <f t="shared" si="10"/>
        <v>Comedy</v>
      </c>
      <c r="J184" s="21" t="str">
        <f t="shared" si="11"/>
        <v>Old</v>
      </c>
    </row>
    <row r="185" spans="1:10" x14ac:dyDescent="0.35">
      <c r="A185" s="4" t="s">
        <v>1241</v>
      </c>
      <c r="B185" s="4" t="s">
        <v>1242</v>
      </c>
      <c r="C185" s="4" t="s">
        <v>1243</v>
      </c>
      <c r="D185" s="20">
        <v>4.7</v>
      </c>
      <c r="E185" s="4">
        <v>23690</v>
      </c>
      <c r="F185" s="4">
        <v>2020</v>
      </c>
      <c r="G185" s="21" t="str">
        <f t="shared" si="8"/>
        <v>Not Popular</v>
      </c>
      <c r="H185" s="21" t="str">
        <f t="shared" si="9"/>
        <v>Action or Drama</v>
      </c>
      <c r="I185" s="21" t="str">
        <f t="shared" si="10"/>
        <v>Not Comedy</v>
      </c>
      <c r="J185" s="21" t="str">
        <f t="shared" si="11"/>
        <v>Old</v>
      </c>
    </row>
    <row r="186" spans="1:10" x14ac:dyDescent="0.35">
      <c r="A186" s="4" t="s">
        <v>255</v>
      </c>
      <c r="B186" s="4" t="s">
        <v>256</v>
      </c>
      <c r="C186" s="4" t="s">
        <v>155</v>
      </c>
      <c r="D186" s="20">
        <v>2.9</v>
      </c>
      <c r="E186" s="4">
        <v>20235</v>
      </c>
      <c r="F186" s="4">
        <v>2020</v>
      </c>
      <c r="G186" s="21" t="str">
        <f t="shared" si="8"/>
        <v>Not Popular</v>
      </c>
      <c r="H186" s="21" t="str">
        <f t="shared" si="9"/>
        <v>Action or Drama</v>
      </c>
      <c r="I186" s="21" t="str">
        <f t="shared" si="10"/>
        <v>Not Comedy</v>
      </c>
      <c r="J186" s="21" t="str">
        <f t="shared" si="11"/>
        <v>Old</v>
      </c>
    </row>
    <row r="187" spans="1:10" x14ac:dyDescent="0.35">
      <c r="A187" s="4" t="s">
        <v>1244</v>
      </c>
      <c r="B187" s="4" t="s">
        <v>1245</v>
      </c>
      <c r="C187" s="4" t="s">
        <v>565</v>
      </c>
      <c r="D187" s="20">
        <v>4.7</v>
      </c>
      <c r="E187" s="4">
        <v>21253</v>
      </c>
      <c r="F187" s="4">
        <v>2020</v>
      </c>
      <c r="G187" s="21" t="str">
        <f t="shared" si="8"/>
        <v>Not Popular</v>
      </c>
      <c r="H187" s="21" t="str">
        <f t="shared" si="9"/>
        <v>Action or Drama</v>
      </c>
      <c r="I187" s="21" t="str">
        <f t="shared" si="10"/>
        <v>Not Comedy</v>
      </c>
      <c r="J187" s="21" t="str">
        <f t="shared" si="11"/>
        <v>Old</v>
      </c>
    </row>
    <row r="188" spans="1:10" x14ac:dyDescent="0.35">
      <c r="A188" s="4" t="s">
        <v>132</v>
      </c>
      <c r="B188" s="4" t="s">
        <v>133</v>
      </c>
      <c r="C188" s="4" t="s">
        <v>134</v>
      </c>
      <c r="D188" s="20">
        <v>2.2000000000000002</v>
      </c>
      <c r="E188" s="4">
        <v>14178</v>
      </c>
      <c r="F188" s="4">
        <v>2020</v>
      </c>
      <c r="G188" s="21" t="str">
        <f t="shared" si="8"/>
        <v>Not Popular</v>
      </c>
      <c r="H188" s="21" t="str">
        <f t="shared" si="9"/>
        <v>Action or Drama</v>
      </c>
      <c r="I188" s="21" t="str">
        <f t="shared" si="10"/>
        <v>Not Comedy</v>
      </c>
      <c r="J188" s="21" t="str">
        <f t="shared" si="11"/>
        <v>Old</v>
      </c>
    </row>
    <row r="189" spans="1:10" x14ac:dyDescent="0.35">
      <c r="A189" s="4" t="s">
        <v>763</v>
      </c>
      <c r="B189" s="4" t="s">
        <v>764</v>
      </c>
      <c r="C189" s="4" t="s">
        <v>90</v>
      </c>
      <c r="D189" s="20">
        <v>4.3</v>
      </c>
      <c r="E189" s="4">
        <v>30755</v>
      </c>
      <c r="F189" s="4">
        <v>2020</v>
      </c>
      <c r="G189" s="21" t="str">
        <f t="shared" si="8"/>
        <v>Not Popular</v>
      </c>
      <c r="H189" s="21" t="str">
        <f t="shared" si="9"/>
        <v>Other</v>
      </c>
      <c r="I189" s="21" t="str">
        <f t="shared" si="10"/>
        <v>Not Comedy</v>
      </c>
      <c r="J189" s="21" t="str">
        <f t="shared" si="11"/>
        <v>Old</v>
      </c>
    </row>
    <row r="190" spans="1:10" x14ac:dyDescent="0.35">
      <c r="A190" s="4" t="s">
        <v>580</v>
      </c>
      <c r="B190" s="4" t="s">
        <v>581</v>
      </c>
      <c r="C190" s="4" t="s">
        <v>116</v>
      </c>
      <c r="D190" s="20">
        <v>3.9</v>
      </c>
      <c r="E190" s="4">
        <v>11282</v>
      </c>
      <c r="F190" s="4">
        <v>2020</v>
      </c>
      <c r="G190" s="21" t="str">
        <f t="shared" si="8"/>
        <v>Not Popular</v>
      </c>
      <c r="H190" s="21" t="str">
        <f t="shared" si="9"/>
        <v>Other</v>
      </c>
      <c r="I190" s="21" t="str">
        <f t="shared" si="10"/>
        <v>Comedy</v>
      </c>
      <c r="J190" s="21" t="str">
        <f t="shared" si="11"/>
        <v>Old</v>
      </c>
    </row>
    <row r="191" spans="1:10" x14ac:dyDescent="0.35">
      <c r="A191" s="4" t="s">
        <v>734</v>
      </c>
      <c r="B191" s="4" t="s">
        <v>735</v>
      </c>
      <c r="C191" s="4" t="s">
        <v>736</v>
      </c>
      <c r="D191" s="20">
        <v>4.2</v>
      </c>
      <c r="E191" s="4">
        <v>12894</v>
      </c>
      <c r="F191" s="4">
        <v>2020</v>
      </c>
      <c r="G191" s="21" t="str">
        <f t="shared" si="8"/>
        <v>Not Popular</v>
      </c>
      <c r="H191" s="21" t="str">
        <f t="shared" si="9"/>
        <v>Horror or Thriller</v>
      </c>
      <c r="I191" s="21" t="str">
        <f t="shared" si="10"/>
        <v>Not Comedy</v>
      </c>
      <c r="J191" s="21" t="str">
        <f t="shared" si="11"/>
        <v>Old</v>
      </c>
    </row>
    <row r="192" spans="1:10" x14ac:dyDescent="0.35">
      <c r="A192" s="4" t="s">
        <v>1905</v>
      </c>
      <c r="B192" s="4" t="s">
        <v>1906</v>
      </c>
      <c r="C192" s="4" t="s">
        <v>208</v>
      </c>
      <c r="D192" s="20">
        <v>5.0999999999999996</v>
      </c>
      <c r="E192" s="4">
        <v>40049</v>
      </c>
      <c r="F192" s="4">
        <v>2020</v>
      </c>
      <c r="G192" s="21" t="str">
        <f t="shared" si="8"/>
        <v>Popular</v>
      </c>
      <c r="H192" s="21" t="str">
        <f t="shared" si="9"/>
        <v>Action or Drama</v>
      </c>
      <c r="I192" s="21" t="str">
        <f t="shared" si="10"/>
        <v>Not Comedy</v>
      </c>
      <c r="J192" s="21" t="str">
        <f t="shared" si="11"/>
        <v>Old</v>
      </c>
    </row>
    <row r="193" spans="1:10" x14ac:dyDescent="0.35">
      <c r="A193" s="4" t="s">
        <v>722</v>
      </c>
      <c r="B193" s="4" t="s">
        <v>723</v>
      </c>
      <c r="C193" s="4" t="s">
        <v>249</v>
      </c>
      <c r="D193" s="20">
        <v>4.2</v>
      </c>
      <c r="E193" s="4">
        <v>16219</v>
      </c>
      <c r="F193" s="4">
        <v>2020</v>
      </c>
      <c r="G193" s="21" t="str">
        <f t="shared" si="8"/>
        <v>Not Popular</v>
      </c>
      <c r="H193" s="21" t="str">
        <f t="shared" si="9"/>
        <v>Horror or Thriller</v>
      </c>
      <c r="I193" s="21" t="str">
        <f t="shared" si="10"/>
        <v>Not Comedy</v>
      </c>
      <c r="J193" s="21" t="str">
        <f t="shared" si="11"/>
        <v>Old</v>
      </c>
    </row>
    <row r="194" spans="1:10" x14ac:dyDescent="0.35">
      <c r="A194" s="4" t="s">
        <v>674</v>
      </c>
      <c r="B194" s="4" t="s">
        <v>675</v>
      </c>
      <c r="C194" s="4" t="s">
        <v>669</v>
      </c>
      <c r="D194" s="20">
        <v>4.0999999999999996</v>
      </c>
      <c r="E194" s="4">
        <v>11817</v>
      </c>
      <c r="F194" s="4">
        <v>2020</v>
      </c>
      <c r="G194" s="21" t="str">
        <f t="shared" si="8"/>
        <v>Not Popular</v>
      </c>
      <c r="H194" s="21" t="str">
        <f t="shared" si="9"/>
        <v>Action or Drama</v>
      </c>
      <c r="I194" s="21" t="str">
        <f t="shared" si="10"/>
        <v>Not Comedy</v>
      </c>
      <c r="J194" s="21" t="str">
        <f t="shared" si="11"/>
        <v>Old</v>
      </c>
    </row>
    <row r="195" spans="1:10" x14ac:dyDescent="0.35">
      <c r="A195" s="4" t="s">
        <v>317</v>
      </c>
      <c r="B195" s="4" t="s">
        <v>318</v>
      </c>
      <c r="C195" s="4" t="s">
        <v>208</v>
      </c>
      <c r="D195" s="20">
        <v>3.3</v>
      </c>
      <c r="E195" s="4">
        <v>101121</v>
      </c>
      <c r="F195" s="4">
        <v>2020</v>
      </c>
      <c r="G195" s="21" t="str">
        <f t="shared" ref="G195:G258" si="12">IF(AND(D195&gt;5, E195&gt;1000), "Popular", "Not Popular")</f>
        <v>Not Popular</v>
      </c>
      <c r="H195" s="21" t="str">
        <f t="shared" ref="H195:H258" si="13">IF(OR(ISNUMBER(SEARCH("Action", C195)), ISNUMBER(SEARCH("Drama", C195))), "Action or Drama", IF(OR(ISNUMBER(SEARCH("Horror", C195)), ISNUMBER(SEARCH("Thriller", C195))), "Horror or Thriller", "Other"))</f>
        <v>Action or Drama</v>
      </c>
      <c r="I195" s="21" t="str">
        <f t="shared" ref="I195:I258" si="14">IF(NOT(ISNUMBER(SEARCH("Comedy", C195))), "Not Comedy", "Comedy")</f>
        <v>Not Comedy</v>
      </c>
      <c r="J195" s="21" t="str">
        <f t="shared" ref="J195:J258" si="15">IF(F195&gt;2020, "Recent", "Old")</f>
        <v>Old</v>
      </c>
    </row>
    <row r="196" spans="1:10" x14ac:dyDescent="0.35">
      <c r="A196" s="4" t="s">
        <v>12</v>
      </c>
      <c r="B196" s="4" t="s">
        <v>13</v>
      </c>
      <c r="C196" s="4" t="s">
        <v>14</v>
      </c>
      <c r="D196" s="20">
        <v>1</v>
      </c>
      <c r="E196" s="4">
        <v>10215</v>
      </c>
      <c r="F196" s="4">
        <v>2020</v>
      </c>
      <c r="G196" s="21" t="str">
        <f t="shared" si="12"/>
        <v>Not Popular</v>
      </c>
      <c r="H196" s="21" t="str">
        <f t="shared" si="13"/>
        <v>Action or Drama</v>
      </c>
      <c r="I196" s="21" t="str">
        <f t="shared" si="14"/>
        <v>Not Comedy</v>
      </c>
      <c r="J196" s="21" t="str">
        <f t="shared" si="15"/>
        <v>Old</v>
      </c>
    </row>
    <row r="197" spans="1:10" x14ac:dyDescent="0.35">
      <c r="A197" s="4" t="s">
        <v>1653</v>
      </c>
      <c r="B197" s="4">
        <v>2067</v>
      </c>
      <c r="C197" s="4" t="s">
        <v>1654</v>
      </c>
      <c r="D197" s="20">
        <v>4.9000000000000004</v>
      </c>
      <c r="E197" s="4">
        <v>12090</v>
      </c>
      <c r="F197" s="4">
        <v>2020</v>
      </c>
      <c r="G197" s="21" t="str">
        <f t="shared" si="12"/>
        <v>Not Popular</v>
      </c>
      <c r="H197" s="21" t="str">
        <f t="shared" si="13"/>
        <v>Other</v>
      </c>
      <c r="I197" s="21" t="str">
        <f t="shared" si="14"/>
        <v>Not Comedy</v>
      </c>
      <c r="J197" s="21" t="str">
        <f t="shared" si="15"/>
        <v>Old</v>
      </c>
    </row>
    <row r="198" spans="1:10" x14ac:dyDescent="0.35">
      <c r="A198" s="4" t="s">
        <v>650</v>
      </c>
      <c r="B198" s="4" t="s">
        <v>651</v>
      </c>
      <c r="C198" s="4" t="s">
        <v>565</v>
      </c>
      <c r="D198" s="20">
        <v>4.0999999999999996</v>
      </c>
      <c r="E198" s="4">
        <v>22267</v>
      </c>
      <c r="F198" s="4">
        <v>2019</v>
      </c>
      <c r="G198" s="21" t="str">
        <f t="shared" si="12"/>
        <v>Not Popular</v>
      </c>
      <c r="H198" s="21" t="str">
        <f t="shared" si="13"/>
        <v>Action or Drama</v>
      </c>
      <c r="I198" s="21" t="str">
        <f t="shared" si="14"/>
        <v>Not Comedy</v>
      </c>
      <c r="J198" s="21" t="str">
        <f t="shared" si="15"/>
        <v>Old</v>
      </c>
    </row>
    <row r="199" spans="1:10" x14ac:dyDescent="0.35">
      <c r="A199" s="4" t="s">
        <v>619</v>
      </c>
      <c r="B199" s="4" t="s">
        <v>620</v>
      </c>
      <c r="C199" s="4" t="s">
        <v>294</v>
      </c>
      <c r="D199" s="20">
        <v>4</v>
      </c>
      <c r="E199" s="4">
        <v>12059</v>
      </c>
      <c r="F199" s="4">
        <v>2019</v>
      </c>
      <c r="G199" s="21" t="str">
        <f t="shared" si="12"/>
        <v>Not Popular</v>
      </c>
      <c r="H199" s="21" t="str">
        <f t="shared" si="13"/>
        <v>Action or Drama</v>
      </c>
      <c r="I199" s="21" t="str">
        <f t="shared" si="14"/>
        <v>Not Comedy</v>
      </c>
      <c r="J199" s="21" t="str">
        <f t="shared" si="15"/>
        <v>Old</v>
      </c>
    </row>
    <row r="200" spans="1:10" x14ac:dyDescent="0.35">
      <c r="A200" s="4" t="s">
        <v>1495</v>
      </c>
      <c r="B200" s="4" t="s">
        <v>1496</v>
      </c>
      <c r="C200" s="4" t="s">
        <v>577</v>
      </c>
      <c r="D200" s="20">
        <v>4.8</v>
      </c>
      <c r="E200" s="4">
        <v>11449</v>
      </c>
      <c r="F200" s="4">
        <v>2019</v>
      </c>
      <c r="G200" s="21" t="str">
        <f t="shared" si="12"/>
        <v>Not Popular</v>
      </c>
      <c r="H200" s="21" t="str">
        <f t="shared" si="13"/>
        <v>Horror or Thriller</v>
      </c>
      <c r="I200" s="21" t="str">
        <f t="shared" si="14"/>
        <v>Not Comedy</v>
      </c>
      <c r="J200" s="21" t="str">
        <f t="shared" si="15"/>
        <v>Old</v>
      </c>
    </row>
    <row r="201" spans="1:10" x14ac:dyDescent="0.35">
      <c r="A201" s="4" t="s">
        <v>1512</v>
      </c>
      <c r="B201" s="4" t="s">
        <v>1513</v>
      </c>
      <c r="C201" s="4" t="s">
        <v>1514</v>
      </c>
      <c r="D201" s="20">
        <v>4.8</v>
      </c>
      <c r="E201" s="4">
        <v>10405</v>
      </c>
      <c r="F201" s="4">
        <v>2019</v>
      </c>
      <c r="G201" s="21" t="str">
        <f t="shared" si="12"/>
        <v>Not Popular</v>
      </c>
      <c r="H201" s="21" t="str">
        <f t="shared" si="13"/>
        <v>Other</v>
      </c>
      <c r="I201" s="21" t="str">
        <f t="shared" si="14"/>
        <v>Not Comedy</v>
      </c>
      <c r="J201" s="21" t="str">
        <f t="shared" si="15"/>
        <v>Old</v>
      </c>
    </row>
    <row r="202" spans="1:10" x14ac:dyDescent="0.35">
      <c r="A202" s="4" t="s">
        <v>587</v>
      </c>
      <c r="B202" s="4" t="s">
        <v>588</v>
      </c>
      <c r="C202" s="4" t="s">
        <v>93</v>
      </c>
      <c r="D202" s="20">
        <v>4</v>
      </c>
      <c r="E202" s="4">
        <v>267936</v>
      </c>
      <c r="F202" s="4">
        <v>2019</v>
      </c>
      <c r="G202" s="21" t="str">
        <f t="shared" si="12"/>
        <v>Not Popular</v>
      </c>
      <c r="H202" s="21" t="str">
        <f t="shared" si="13"/>
        <v>Action or Drama</v>
      </c>
      <c r="I202" s="21" t="str">
        <f t="shared" si="14"/>
        <v>Not Comedy</v>
      </c>
      <c r="J202" s="21" t="str">
        <f t="shared" si="15"/>
        <v>Old</v>
      </c>
    </row>
    <row r="203" spans="1:10" x14ac:dyDescent="0.35">
      <c r="A203" s="4" t="s">
        <v>1252</v>
      </c>
      <c r="B203" s="4" t="s">
        <v>1253</v>
      </c>
      <c r="C203" s="4" t="s">
        <v>1254</v>
      </c>
      <c r="D203" s="20">
        <v>4.7</v>
      </c>
      <c r="E203" s="4">
        <v>19875</v>
      </c>
      <c r="F203" s="4">
        <v>2019</v>
      </c>
      <c r="G203" s="21" t="str">
        <f t="shared" si="12"/>
        <v>Not Popular</v>
      </c>
      <c r="H203" s="21" t="str">
        <f t="shared" si="13"/>
        <v>Action or Drama</v>
      </c>
      <c r="I203" s="21" t="str">
        <f t="shared" si="14"/>
        <v>Not Comedy</v>
      </c>
      <c r="J203" s="21" t="str">
        <f t="shared" si="15"/>
        <v>Old</v>
      </c>
    </row>
    <row r="204" spans="1:10" x14ac:dyDescent="0.35">
      <c r="A204" s="4" t="s">
        <v>857</v>
      </c>
      <c r="B204" s="4" t="s">
        <v>858</v>
      </c>
      <c r="C204" s="4" t="s">
        <v>859</v>
      </c>
      <c r="D204" s="20">
        <v>4.4000000000000004</v>
      </c>
      <c r="E204" s="4">
        <v>30284</v>
      </c>
      <c r="F204" s="4">
        <v>2019</v>
      </c>
      <c r="G204" s="21" t="str">
        <f t="shared" si="12"/>
        <v>Not Popular</v>
      </c>
      <c r="H204" s="21" t="str">
        <f t="shared" si="13"/>
        <v>Horror or Thriller</v>
      </c>
      <c r="I204" s="21" t="str">
        <f t="shared" si="14"/>
        <v>Not Comedy</v>
      </c>
      <c r="J204" s="21" t="str">
        <f t="shared" si="15"/>
        <v>Old</v>
      </c>
    </row>
    <row r="205" spans="1:10" x14ac:dyDescent="0.35">
      <c r="A205" s="4" t="s">
        <v>667</v>
      </c>
      <c r="B205" s="4" t="s">
        <v>668</v>
      </c>
      <c r="C205" s="4" t="s">
        <v>669</v>
      </c>
      <c r="D205" s="20">
        <v>4.0999999999999996</v>
      </c>
      <c r="E205" s="4">
        <v>12749</v>
      </c>
      <c r="F205" s="4">
        <v>2019</v>
      </c>
      <c r="G205" s="21" t="str">
        <f t="shared" si="12"/>
        <v>Not Popular</v>
      </c>
      <c r="H205" s="21" t="str">
        <f t="shared" si="13"/>
        <v>Action or Drama</v>
      </c>
      <c r="I205" s="21" t="str">
        <f t="shared" si="14"/>
        <v>Not Comedy</v>
      </c>
      <c r="J205" s="21" t="str">
        <f t="shared" si="15"/>
        <v>Old</v>
      </c>
    </row>
    <row r="206" spans="1:10" x14ac:dyDescent="0.35">
      <c r="A206" s="4" t="s">
        <v>1487</v>
      </c>
      <c r="B206" s="4" t="s">
        <v>1488</v>
      </c>
      <c r="C206" s="4" t="s">
        <v>56</v>
      </c>
      <c r="D206" s="20">
        <v>4.8</v>
      </c>
      <c r="E206" s="4">
        <v>11849</v>
      </c>
      <c r="F206" s="4">
        <v>2019</v>
      </c>
      <c r="G206" s="21" t="str">
        <f t="shared" si="12"/>
        <v>Not Popular</v>
      </c>
      <c r="H206" s="21" t="str">
        <f t="shared" si="13"/>
        <v>Action or Drama</v>
      </c>
      <c r="I206" s="21" t="str">
        <f t="shared" si="14"/>
        <v>Not Comedy</v>
      </c>
      <c r="J206" s="21" t="str">
        <f t="shared" si="15"/>
        <v>Old</v>
      </c>
    </row>
    <row r="207" spans="1:10" x14ac:dyDescent="0.35">
      <c r="A207" s="4" t="s">
        <v>123</v>
      </c>
      <c r="B207" s="4" t="s">
        <v>124</v>
      </c>
      <c r="C207" s="4" t="s">
        <v>125</v>
      </c>
      <c r="D207" s="20">
        <v>2.2000000000000002</v>
      </c>
      <c r="E207" s="4">
        <v>22954</v>
      </c>
      <c r="F207" s="4">
        <v>2019</v>
      </c>
      <c r="G207" s="21" t="str">
        <f t="shared" si="12"/>
        <v>Not Popular</v>
      </c>
      <c r="H207" s="21" t="str">
        <f t="shared" si="13"/>
        <v>Action or Drama</v>
      </c>
      <c r="I207" s="21" t="str">
        <f t="shared" si="14"/>
        <v>Comedy</v>
      </c>
      <c r="J207" s="21" t="str">
        <f t="shared" si="15"/>
        <v>Old</v>
      </c>
    </row>
    <row r="208" spans="1:10" x14ac:dyDescent="0.35">
      <c r="A208" s="4" t="s">
        <v>966</v>
      </c>
      <c r="B208" s="4" t="s">
        <v>967</v>
      </c>
      <c r="C208" s="4" t="s">
        <v>508</v>
      </c>
      <c r="D208" s="20">
        <v>4.5</v>
      </c>
      <c r="E208" s="4">
        <v>24829</v>
      </c>
      <c r="F208" s="4">
        <v>2019</v>
      </c>
      <c r="G208" s="21" t="str">
        <f t="shared" si="12"/>
        <v>Not Popular</v>
      </c>
      <c r="H208" s="21" t="str">
        <f t="shared" si="13"/>
        <v>Action or Drama</v>
      </c>
      <c r="I208" s="21" t="str">
        <f t="shared" si="14"/>
        <v>Not Comedy</v>
      </c>
      <c r="J208" s="21" t="str">
        <f t="shared" si="15"/>
        <v>Old</v>
      </c>
    </row>
    <row r="209" spans="1:10" x14ac:dyDescent="0.35">
      <c r="A209" s="4" t="s">
        <v>1943</v>
      </c>
      <c r="B209" s="4" t="s">
        <v>1944</v>
      </c>
      <c r="C209" s="4" t="s">
        <v>294</v>
      </c>
      <c r="D209" s="20">
        <v>5.0999999999999996</v>
      </c>
      <c r="E209" s="4">
        <v>24451</v>
      </c>
      <c r="F209" s="4">
        <v>2019</v>
      </c>
      <c r="G209" s="21" t="str">
        <f t="shared" si="12"/>
        <v>Popular</v>
      </c>
      <c r="H209" s="21" t="str">
        <f t="shared" si="13"/>
        <v>Action or Drama</v>
      </c>
      <c r="I209" s="21" t="str">
        <f t="shared" si="14"/>
        <v>Not Comedy</v>
      </c>
      <c r="J209" s="21" t="str">
        <f t="shared" si="15"/>
        <v>Old</v>
      </c>
    </row>
    <row r="210" spans="1:10" x14ac:dyDescent="0.35">
      <c r="A210" s="4" t="s">
        <v>233</v>
      </c>
      <c r="B210" s="4" t="s">
        <v>234</v>
      </c>
      <c r="C210" s="4" t="s">
        <v>208</v>
      </c>
      <c r="D210" s="20">
        <v>2.8</v>
      </c>
      <c r="E210" s="4">
        <v>15791</v>
      </c>
      <c r="F210" s="4">
        <v>2019</v>
      </c>
      <c r="G210" s="21" t="str">
        <f t="shared" si="12"/>
        <v>Not Popular</v>
      </c>
      <c r="H210" s="21" t="str">
        <f t="shared" si="13"/>
        <v>Action or Drama</v>
      </c>
      <c r="I210" s="21" t="str">
        <f t="shared" si="14"/>
        <v>Not Comedy</v>
      </c>
      <c r="J210" s="21" t="str">
        <f t="shared" si="15"/>
        <v>Old</v>
      </c>
    </row>
    <row r="211" spans="1:10" x14ac:dyDescent="0.35">
      <c r="A211" s="4" t="s">
        <v>1655</v>
      </c>
      <c r="B211" s="4" t="s">
        <v>1656</v>
      </c>
      <c r="C211" s="4" t="s">
        <v>294</v>
      </c>
      <c r="D211" s="20">
        <v>4.9000000000000004</v>
      </c>
      <c r="E211" s="4">
        <v>11630</v>
      </c>
      <c r="F211" s="4">
        <v>2019</v>
      </c>
      <c r="G211" s="21" t="str">
        <f t="shared" si="12"/>
        <v>Not Popular</v>
      </c>
      <c r="H211" s="21" t="str">
        <f t="shared" si="13"/>
        <v>Action or Drama</v>
      </c>
      <c r="I211" s="21" t="str">
        <f t="shared" si="14"/>
        <v>Not Comedy</v>
      </c>
      <c r="J211" s="21" t="str">
        <f t="shared" si="15"/>
        <v>Old</v>
      </c>
    </row>
    <row r="212" spans="1:10" x14ac:dyDescent="0.35">
      <c r="A212" s="4" t="s">
        <v>1997</v>
      </c>
      <c r="B212" s="4" t="s">
        <v>1998</v>
      </c>
      <c r="C212" s="4" t="s">
        <v>44</v>
      </c>
      <c r="D212" s="20">
        <v>5.0999999999999996</v>
      </c>
      <c r="E212" s="4">
        <v>16869</v>
      </c>
      <c r="F212" s="4">
        <v>2019</v>
      </c>
      <c r="G212" s="21" t="str">
        <f t="shared" si="12"/>
        <v>Popular</v>
      </c>
      <c r="H212" s="21" t="str">
        <f t="shared" si="13"/>
        <v>Other</v>
      </c>
      <c r="I212" s="21" t="str">
        <f t="shared" si="14"/>
        <v>Comedy</v>
      </c>
      <c r="J212" s="21" t="str">
        <f t="shared" si="15"/>
        <v>Old</v>
      </c>
    </row>
    <row r="213" spans="1:10" x14ac:dyDescent="0.35">
      <c r="A213" s="4" t="s">
        <v>913</v>
      </c>
      <c r="B213" s="4" t="s">
        <v>914</v>
      </c>
      <c r="C213" s="4" t="s">
        <v>915</v>
      </c>
      <c r="D213" s="20">
        <v>4.4000000000000004</v>
      </c>
      <c r="E213" s="4">
        <v>11206</v>
      </c>
      <c r="F213" s="4">
        <v>2019</v>
      </c>
      <c r="G213" s="21" t="str">
        <f t="shared" si="12"/>
        <v>Not Popular</v>
      </c>
      <c r="H213" s="21" t="str">
        <f t="shared" si="13"/>
        <v>Horror or Thriller</v>
      </c>
      <c r="I213" s="21" t="str">
        <f t="shared" si="14"/>
        <v>Not Comedy</v>
      </c>
      <c r="J213" s="21" t="str">
        <f t="shared" si="15"/>
        <v>Old</v>
      </c>
    </row>
    <row r="214" spans="1:10" x14ac:dyDescent="0.35">
      <c r="A214" s="4" t="s">
        <v>625</v>
      </c>
      <c r="B214" s="4" t="s">
        <v>626</v>
      </c>
      <c r="C214" s="4" t="s">
        <v>462</v>
      </c>
      <c r="D214" s="20">
        <v>4</v>
      </c>
      <c r="E214" s="4">
        <v>10435</v>
      </c>
      <c r="F214" s="4">
        <v>2019</v>
      </c>
      <c r="G214" s="21" t="str">
        <f t="shared" si="12"/>
        <v>Not Popular</v>
      </c>
      <c r="H214" s="21" t="str">
        <f t="shared" si="13"/>
        <v>Action or Drama</v>
      </c>
      <c r="I214" s="21" t="str">
        <f t="shared" si="14"/>
        <v>Not Comedy</v>
      </c>
      <c r="J214" s="21" t="str">
        <f t="shared" si="15"/>
        <v>Old</v>
      </c>
    </row>
    <row r="215" spans="1:10" x14ac:dyDescent="0.35">
      <c r="A215" s="4" t="s">
        <v>421</v>
      </c>
      <c r="B215" s="4" t="s">
        <v>422</v>
      </c>
      <c r="C215" s="4" t="s">
        <v>208</v>
      </c>
      <c r="D215" s="20">
        <v>3.6</v>
      </c>
      <c r="E215" s="4">
        <v>17299</v>
      </c>
      <c r="F215" s="4">
        <v>2019</v>
      </c>
      <c r="G215" s="21" t="str">
        <f t="shared" si="12"/>
        <v>Not Popular</v>
      </c>
      <c r="H215" s="21" t="str">
        <f t="shared" si="13"/>
        <v>Action or Drama</v>
      </c>
      <c r="I215" s="21" t="str">
        <f t="shared" si="14"/>
        <v>Not Comedy</v>
      </c>
      <c r="J215" s="21" t="str">
        <f t="shared" si="15"/>
        <v>Old</v>
      </c>
    </row>
    <row r="216" spans="1:10" x14ac:dyDescent="0.35">
      <c r="A216" s="4" t="s">
        <v>398</v>
      </c>
      <c r="B216" s="4" t="s">
        <v>399</v>
      </c>
      <c r="C216" s="4" t="s">
        <v>400</v>
      </c>
      <c r="D216" s="20">
        <v>3.5</v>
      </c>
      <c r="E216" s="4">
        <v>10590</v>
      </c>
      <c r="F216" s="4">
        <v>2019</v>
      </c>
      <c r="G216" s="21" t="str">
        <f t="shared" si="12"/>
        <v>Not Popular</v>
      </c>
      <c r="H216" s="21" t="str">
        <f t="shared" si="13"/>
        <v>Action or Drama</v>
      </c>
      <c r="I216" s="21" t="str">
        <f t="shared" si="14"/>
        <v>Not Comedy</v>
      </c>
      <c r="J216" s="21" t="str">
        <f t="shared" si="15"/>
        <v>Old</v>
      </c>
    </row>
    <row r="217" spans="1:10" x14ac:dyDescent="0.35">
      <c r="A217" s="4" t="s">
        <v>1815</v>
      </c>
      <c r="B217" s="4" t="s">
        <v>1816</v>
      </c>
      <c r="C217" s="4" t="s">
        <v>178</v>
      </c>
      <c r="D217" s="20">
        <v>5</v>
      </c>
      <c r="E217" s="4">
        <v>12014</v>
      </c>
      <c r="F217" s="4">
        <v>2019</v>
      </c>
      <c r="G217" s="21" t="str">
        <f t="shared" si="12"/>
        <v>Not Popular</v>
      </c>
      <c r="H217" s="21" t="str">
        <f t="shared" si="13"/>
        <v>Action or Drama</v>
      </c>
      <c r="I217" s="21" t="str">
        <f t="shared" si="14"/>
        <v>Comedy</v>
      </c>
      <c r="J217" s="21" t="str">
        <f t="shared" si="15"/>
        <v>Old</v>
      </c>
    </row>
    <row r="218" spans="1:10" x14ac:dyDescent="0.35">
      <c r="A218" s="4" t="s">
        <v>1365</v>
      </c>
      <c r="B218" s="4" t="s">
        <v>1366</v>
      </c>
      <c r="C218" s="4" t="s">
        <v>560</v>
      </c>
      <c r="D218" s="20">
        <v>4.8</v>
      </c>
      <c r="E218" s="4">
        <v>36718</v>
      </c>
      <c r="F218" s="4">
        <v>2019</v>
      </c>
      <c r="G218" s="21" t="str">
        <f t="shared" si="12"/>
        <v>Not Popular</v>
      </c>
      <c r="H218" s="21" t="str">
        <f t="shared" si="13"/>
        <v>Action or Drama</v>
      </c>
      <c r="I218" s="21" t="str">
        <f t="shared" si="14"/>
        <v>Not Comedy</v>
      </c>
      <c r="J218" s="21" t="str">
        <f t="shared" si="15"/>
        <v>Old</v>
      </c>
    </row>
    <row r="219" spans="1:10" x14ac:dyDescent="0.35">
      <c r="A219" s="4" t="s">
        <v>428</v>
      </c>
      <c r="B219" s="4" t="s">
        <v>429</v>
      </c>
      <c r="C219" s="4" t="s">
        <v>125</v>
      </c>
      <c r="D219" s="20">
        <v>3.6</v>
      </c>
      <c r="E219" s="4">
        <v>14588</v>
      </c>
      <c r="F219" s="4">
        <v>2019</v>
      </c>
      <c r="G219" s="21" t="str">
        <f t="shared" si="12"/>
        <v>Not Popular</v>
      </c>
      <c r="H219" s="21" t="str">
        <f t="shared" si="13"/>
        <v>Action or Drama</v>
      </c>
      <c r="I219" s="21" t="str">
        <f t="shared" si="14"/>
        <v>Comedy</v>
      </c>
      <c r="J219" s="21" t="str">
        <f t="shared" si="15"/>
        <v>Old</v>
      </c>
    </row>
    <row r="220" spans="1:10" x14ac:dyDescent="0.35">
      <c r="A220" s="4" t="s">
        <v>196</v>
      </c>
      <c r="B220" s="4" t="s">
        <v>197</v>
      </c>
      <c r="C220" s="4" t="s">
        <v>198</v>
      </c>
      <c r="D220" s="20">
        <v>2.6</v>
      </c>
      <c r="E220" s="4">
        <v>23076</v>
      </c>
      <c r="F220" s="4">
        <v>2019</v>
      </c>
      <c r="G220" s="21" t="str">
        <f t="shared" si="12"/>
        <v>Not Popular</v>
      </c>
      <c r="H220" s="21" t="str">
        <f t="shared" si="13"/>
        <v>Action or Drama</v>
      </c>
      <c r="I220" s="21" t="str">
        <f t="shared" si="14"/>
        <v>Not Comedy</v>
      </c>
      <c r="J220" s="21" t="str">
        <f t="shared" si="15"/>
        <v>Old</v>
      </c>
    </row>
    <row r="221" spans="1:10" x14ac:dyDescent="0.35">
      <c r="A221" s="4" t="s">
        <v>1302</v>
      </c>
      <c r="B221" s="4" t="s">
        <v>1303</v>
      </c>
      <c r="C221" s="4" t="s">
        <v>565</v>
      </c>
      <c r="D221" s="20">
        <v>4.7</v>
      </c>
      <c r="E221" s="4">
        <v>11364</v>
      </c>
      <c r="F221" s="4">
        <v>2019</v>
      </c>
      <c r="G221" s="21" t="str">
        <f t="shared" si="12"/>
        <v>Not Popular</v>
      </c>
      <c r="H221" s="21" t="str">
        <f t="shared" si="13"/>
        <v>Action or Drama</v>
      </c>
      <c r="I221" s="21" t="str">
        <f t="shared" si="14"/>
        <v>Not Comedy</v>
      </c>
      <c r="J221" s="21" t="str">
        <f t="shared" si="15"/>
        <v>Old</v>
      </c>
    </row>
    <row r="222" spans="1:10" x14ac:dyDescent="0.35">
      <c r="A222" s="4" t="s">
        <v>878</v>
      </c>
      <c r="B222" s="4" t="s">
        <v>879</v>
      </c>
      <c r="C222" s="4" t="s">
        <v>736</v>
      </c>
      <c r="D222" s="20">
        <v>4.4000000000000004</v>
      </c>
      <c r="E222" s="4">
        <v>21193</v>
      </c>
      <c r="F222" s="4">
        <v>2019</v>
      </c>
      <c r="G222" s="21" t="str">
        <f t="shared" si="12"/>
        <v>Not Popular</v>
      </c>
      <c r="H222" s="21" t="str">
        <f t="shared" si="13"/>
        <v>Horror or Thriller</v>
      </c>
      <c r="I222" s="21" t="str">
        <f t="shared" si="14"/>
        <v>Not Comedy</v>
      </c>
      <c r="J222" s="21" t="str">
        <f t="shared" si="15"/>
        <v>Old</v>
      </c>
    </row>
    <row r="223" spans="1:10" x14ac:dyDescent="0.35">
      <c r="A223" s="4" t="s">
        <v>886</v>
      </c>
      <c r="B223" s="4" t="s">
        <v>887</v>
      </c>
      <c r="C223" s="4" t="s">
        <v>101</v>
      </c>
      <c r="D223" s="20">
        <v>4.4000000000000004</v>
      </c>
      <c r="E223" s="4">
        <v>17631</v>
      </c>
      <c r="F223" s="4">
        <v>2019</v>
      </c>
      <c r="G223" s="21" t="str">
        <f t="shared" si="12"/>
        <v>Not Popular</v>
      </c>
      <c r="H223" s="21" t="str">
        <f t="shared" si="13"/>
        <v>Action or Drama</v>
      </c>
      <c r="I223" s="21" t="str">
        <f t="shared" si="14"/>
        <v>Not Comedy</v>
      </c>
      <c r="J223" s="21" t="str">
        <f t="shared" si="15"/>
        <v>Old</v>
      </c>
    </row>
    <row r="224" spans="1:10" x14ac:dyDescent="0.35">
      <c r="A224" s="4" t="s">
        <v>782</v>
      </c>
      <c r="B224" s="4" t="s">
        <v>783</v>
      </c>
      <c r="C224" s="4" t="s">
        <v>784</v>
      </c>
      <c r="D224" s="20">
        <v>4.3</v>
      </c>
      <c r="E224" s="4">
        <v>20092</v>
      </c>
      <c r="F224" s="4">
        <v>2019</v>
      </c>
      <c r="G224" s="21" t="str">
        <f t="shared" si="12"/>
        <v>Not Popular</v>
      </c>
      <c r="H224" s="21" t="str">
        <f t="shared" si="13"/>
        <v>Other</v>
      </c>
      <c r="I224" s="21" t="str">
        <f t="shared" si="14"/>
        <v>Not Comedy</v>
      </c>
      <c r="J224" s="21" t="str">
        <f t="shared" si="15"/>
        <v>Old</v>
      </c>
    </row>
    <row r="225" spans="1:10" x14ac:dyDescent="0.35">
      <c r="A225" s="4" t="s">
        <v>520</v>
      </c>
      <c r="B225" s="4" t="s">
        <v>521</v>
      </c>
      <c r="C225" s="4" t="s">
        <v>122</v>
      </c>
      <c r="D225" s="20">
        <v>3.8</v>
      </c>
      <c r="E225" s="4">
        <v>10644</v>
      </c>
      <c r="F225" s="4">
        <v>2019</v>
      </c>
      <c r="G225" s="21" t="str">
        <f t="shared" si="12"/>
        <v>Not Popular</v>
      </c>
      <c r="H225" s="21" t="str">
        <f t="shared" si="13"/>
        <v>Action or Drama</v>
      </c>
      <c r="I225" s="21" t="str">
        <f t="shared" si="14"/>
        <v>Not Comedy</v>
      </c>
      <c r="J225" s="21" t="str">
        <f t="shared" si="15"/>
        <v>Old</v>
      </c>
    </row>
    <row r="226" spans="1:10" x14ac:dyDescent="0.35">
      <c r="A226" s="4" t="s">
        <v>271</v>
      </c>
      <c r="B226" s="4" t="s">
        <v>272</v>
      </c>
      <c r="C226" s="4" t="s">
        <v>146</v>
      </c>
      <c r="D226" s="20">
        <v>3</v>
      </c>
      <c r="E226" s="4">
        <v>20580</v>
      </c>
      <c r="F226" s="4">
        <v>2019</v>
      </c>
      <c r="G226" s="21" t="str">
        <f t="shared" si="12"/>
        <v>Not Popular</v>
      </c>
      <c r="H226" s="21" t="str">
        <f t="shared" si="13"/>
        <v>Action or Drama</v>
      </c>
      <c r="I226" s="21" t="str">
        <f t="shared" si="14"/>
        <v>Comedy</v>
      </c>
      <c r="J226" s="21" t="str">
        <f t="shared" si="15"/>
        <v>Old</v>
      </c>
    </row>
    <row r="227" spans="1:10" x14ac:dyDescent="0.35">
      <c r="A227" s="4" t="s">
        <v>902</v>
      </c>
      <c r="B227" s="4" t="s">
        <v>903</v>
      </c>
      <c r="C227" s="4" t="s">
        <v>606</v>
      </c>
      <c r="D227" s="20">
        <v>4.4000000000000004</v>
      </c>
      <c r="E227" s="4">
        <v>13639</v>
      </c>
      <c r="F227" s="4">
        <v>2019</v>
      </c>
      <c r="G227" s="21" t="str">
        <f t="shared" si="12"/>
        <v>Not Popular</v>
      </c>
      <c r="H227" s="21" t="str">
        <f t="shared" si="13"/>
        <v>Action or Drama</v>
      </c>
      <c r="I227" s="21" t="str">
        <f t="shared" si="14"/>
        <v>Not Comedy</v>
      </c>
      <c r="J227" s="21" t="str">
        <f t="shared" si="15"/>
        <v>Old</v>
      </c>
    </row>
    <row r="228" spans="1:10" x14ac:dyDescent="0.35">
      <c r="A228" s="4" t="s">
        <v>1682</v>
      </c>
      <c r="B228" s="4" t="s">
        <v>1683</v>
      </c>
      <c r="C228" s="4" t="s">
        <v>178</v>
      </c>
      <c r="D228" s="20">
        <v>5</v>
      </c>
      <c r="E228" s="4">
        <v>81360</v>
      </c>
      <c r="F228" s="4">
        <v>2019</v>
      </c>
      <c r="G228" s="21" t="str">
        <f t="shared" si="12"/>
        <v>Not Popular</v>
      </c>
      <c r="H228" s="21" t="str">
        <f t="shared" si="13"/>
        <v>Action or Drama</v>
      </c>
      <c r="I228" s="21" t="str">
        <f t="shared" si="14"/>
        <v>Comedy</v>
      </c>
      <c r="J228" s="21" t="str">
        <f t="shared" si="15"/>
        <v>Old</v>
      </c>
    </row>
    <row r="229" spans="1:10" x14ac:dyDescent="0.35">
      <c r="A229" s="4" t="s">
        <v>230</v>
      </c>
      <c r="B229" s="4" t="s">
        <v>231</v>
      </c>
      <c r="C229" s="4" t="s">
        <v>232</v>
      </c>
      <c r="D229" s="20">
        <v>2.8</v>
      </c>
      <c r="E229" s="4">
        <v>56736</v>
      </c>
      <c r="F229" s="4">
        <v>2019</v>
      </c>
      <c r="G229" s="21" t="str">
        <f t="shared" si="12"/>
        <v>Not Popular</v>
      </c>
      <c r="H229" s="21" t="str">
        <f t="shared" si="13"/>
        <v>Action or Drama</v>
      </c>
      <c r="I229" s="21" t="str">
        <f t="shared" si="14"/>
        <v>Comedy</v>
      </c>
      <c r="J229" s="21" t="str">
        <f t="shared" si="15"/>
        <v>Old</v>
      </c>
    </row>
    <row r="230" spans="1:10" x14ac:dyDescent="0.35">
      <c r="A230" s="4" t="s">
        <v>379</v>
      </c>
      <c r="B230" s="4" t="s">
        <v>380</v>
      </c>
      <c r="C230" s="4" t="s">
        <v>175</v>
      </c>
      <c r="D230" s="20">
        <v>3.5</v>
      </c>
      <c r="E230" s="4">
        <v>19518</v>
      </c>
      <c r="F230" s="4">
        <v>2019</v>
      </c>
      <c r="G230" s="21" t="str">
        <f t="shared" si="12"/>
        <v>Not Popular</v>
      </c>
      <c r="H230" s="21" t="str">
        <f t="shared" si="13"/>
        <v>Horror or Thriller</v>
      </c>
      <c r="I230" s="21" t="str">
        <f t="shared" si="14"/>
        <v>Not Comedy</v>
      </c>
      <c r="J230" s="21" t="str">
        <f t="shared" si="15"/>
        <v>Old</v>
      </c>
    </row>
    <row r="231" spans="1:10" x14ac:dyDescent="0.35">
      <c r="A231" s="4" t="s">
        <v>1207</v>
      </c>
      <c r="B231" s="4" t="s">
        <v>1208</v>
      </c>
      <c r="C231" s="4" t="s">
        <v>125</v>
      </c>
      <c r="D231" s="20">
        <v>4.7</v>
      </c>
      <c r="E231" s="4">
        <v>32768</v>
      </c>
      <c r="F231" s="4">
        <v>2019</v>
      </c>
      <c r="G231" s="21" t="str">
        <f t="shared" si="12"/>
        <v>Not Popular</v>
      </c>
      <c r="H231" s="21" t="str">
        <f t="shared" si="13"/>
        <v>Action or Drama</v>
      </c>
      <c r="I231" s="21" t="str">
        <f t="shared" si="14"/>
        <v>Comedy</v>
      </c>
      <c r="J231" s="21" t="str">
        <f t="shared" si="15"/>
        <v>Old</v>
      </c>
    </row>
    <row r="232" spans="1:10" x14ac:dyDescent="0.35">
      <c r="A232" s="4" t="s">
        <v>405</v>
      </c>
      <c r="B232" s="4" t="s">
        <v>406</v>
      </c>
      <c r="C232" s="4" t="s">
        <v>275</v>
      </c>
      <c r="D232" s="20">
        <v>3.6</v>
      </c>
      <c r="E232" s="4">
        <v>46875</v>
      </c>
      <c r="F232" s="4">
        <v>2019</v>
      </c>
      <c r="G232" s="21" t="str">
        <f t="shared" si="12"/>
        <v>Not Popular</v>
      </c>
      <c r="H232" s="21" t="str">
        <f t="shared" si="13"/>
        <v>Action or Drama</v>
      </c>
      <c r="I232" s="21" t="str">
        <f t="shared" si="14"/>
        <v>Not Comedy</v>
      </c>
      <c r="J232" s="21" t="str">
        <f t="shared" si="15"/>
        <v>Old</v>
      </c>
    </row>
    <row r="233" spans="1:10" x14ac:dyDescent="0.35">
      <c r="A233" s="4" t="s">
        <v>1517</v>
      </c>
      <c r="B233" s="4" t="s">
        <v>1518</v>
      </c>
      <c r="C233" s="4" t="s">
        <v>175</v>
      </c>
      <c r="D233" s="20">
        <v>4.8</v>
      </c>
      <c r="E233" s="4">
        <v>10219</v>
      </c>
      <c r="F233" s="4">
        <v>2019</v>
      </c>
      <c r="G233" s="21" t="str">
        <f t="shared" si="12"/>
        <v>Not Popular</v>
      </c>
      <c r="H233" s="21" t="str">
        <f t="shared" si="13"/>
        <v>Horror or Thriller</v>
      </c>
      <c r="I233" s="21" t="str">
        <f t="shared" si="14"/>
        <v>Not Comedy</v>
      </c>
      <c r="J233" s="21" t="str">
        <f t="shared" si="15"/>
        <v>Old</v>
      </c>
    </row>
    <row r="234" spans="1:10" x14ac:dyDescent="0.35">
      <c r="A234" s="4" t="s">
        <v>1732</v>
      </c>
      <c r="B234" s="4" t="s">
        <v>1733</v>
      </c>
      <c r="C234" s="4" t="s">
        <v>1734</v>
      </c>
      <c r="D234" s="20">
        <v>5</v>
      </c>
      <c r="E234" s="4">
        <v>31684</v>
      </c>
      <c r="F234" s="4">
        <v>2019</v>
      </c>
      <c r="G234" s="21" t="str">
        <f t="shared" si="12"/>
        <v>Not Popular</v>
      </c>
      <c r="H234" s="21" t="str">
        <f t="shared" si="13"/>
        <v>Action or Drama</v>
      </c>
      <c r="I234" s="21" t="str">
        <f t="shared" si="14"/>
        <v>Not Comedy</v>
      </c>
      <c r="J234" s="21" t="str">
        <f t="shared" si="15"/>
        <v>Old</v>
      </c>
    </row>
    <row r="235" spans="1:10" x14ac:dyDescent="0.35">
      <c r="A235" s="4" t="s">
        <v>329</v>
      </c>
      <c r="B235" s="4" t="s">
        <v>330</v>
      </c>
      <c r="C235" s="4" t="s">
        <v>11</v>
      </c>
      <c r="D235" s="20">
        <v>3.3</v>
      </c>
      <c r="E235" s="4">
        <v>13339</v>
      </c>
      <c r="F235" s="4">
        <v>2018</v>
      </c>
      <c r="G235" s="21" t="str">
        <f t="shared" si="12"/>
        <v>Not Popular</v>
      </c>
      <c r="H235" s="21" t="str">
        <f t="shared" si="13"/>
        <v>Other</v>
      </c>
      <c r="I235" s="21" t="str">
        <f t="shared" si="14"/>
        <v>Comedy</v>
      </c>
      <c r="J235" s="21" t="str">
        <f t="shared" si="15"/>
        <v>Old</v>
      </c>
    </row>
    <row r="236" spans="1:10" x14ac:dyDescent="0.35">
      <c r="A236" s="4" t="s">
        <v>2144</v>
      </c>
      <c r="B236" s="4" t="s">
        <v>2145</v>
      </c>
      <c r="C236" s="4" t="s">
        <v>175</v>
      </c>
      <c r="D236" s="20">
        <v>5.2</v>
      </c>
      <c r="E236" s="4">
        <v>67262</v>
      </c>
      <c r="F236" s="4">
        <v>2018</v>
      </c>
      <c r="G236" s="21" t="str">
        <f t="shared" si="12"/>
        <v>Popular</v>
      </c>
      <c r="H236" s="21" t="str">
        <f t="shared" si="13"/>
        <v>Horror or Thriller</v>
      </c>
      <c r="I236" s="21" t="str">
        <f t="shared" si="14"/>
        <v>Not Comedy</v>
      </c>
      <c r="J236" s="21" t="str">
        <f t="shared" si="15"/>
        <v>Old</v>
      </c>
    </row>
    <row r="237" spans="1:10" x14ac:dyDescent="0.35">
      <c r="A237" s="4" t="s">
        <v>663</v>
      </c>
      <c r="B237" s="4" t="s">
        <v>664</v>
      </c>
      <c r="C237" s="4" t="s">
        <v>166</v>
      </c>
      <c r="D237" s="20">
        <v>4.0999999999999996</v>
      </c>
      <c r="E237" s="4">
        <v>15709</v>
      </c>
      <c r="F237" s="4">
        <v>2018</v>
      </c>
      <c r="G237" s="21" t="str">
        <f t="shared" si="12"/>
        <v>Not Popular</v>
      </c>
      <c r="H237" s="21" t="str">
        <f t="shared" si="13"/>
        <v>Action or Drama</v>
      </c>
      <c r="I237" s="21" t="str">
        <f t="shared" si="14"/>
        <v>Not Comedy</v>
      </c>
      <c r="J237" s="21" t="str">
        <f t="shared" si="15"/>
        <v>Old</v>
      </c>
    </row>
    <row r="238" spans="1:10" x14ac:dyDescent="0.35">
      <c r="A238" s="4" t="s">
        <v>652</v>
      </c>
      <c r="B238" s="4" t="s">
        <v>653</v>
      </c>
      <c r="C238" s="4" t="s">
        <v>654</v>
      </c>
      <c r="D238" s="20">
        <v>4.0999999999999996</v>
      </c>
      <c r="E238" s="4">
        <v>22226</v>
      </c>
      <c r="F238" s="4">
        <v>2018</v>
      </c>
      <c r="G238" s="21" t="str">
        <f t="shared" si="12"/>
        <v>Not Popular</v>
      </c>
      <c r="H238" s="21" t="str">
        <f t="shared" si="13"/>
        <v>Action or Drama</v>
      </c>
      <c r="I238" s="21" t="str">
        <f t="shared" si="14"/>
        <v>Not Comedy</v>
      </c>
      <c r="J238" s="21" t="str">
        <f t="shared" si="15"/>
        <v>Old</v>
      </c>
    </row>
    <row r="239" spans="1:10" x14ac:dyDescent="0.35">
      <c r="A239" s="4" t="s">
        <v>1371</v>
      </c>
      <c r="B239" s="4" t="s">
        <v>1372</v>
      </c>
      <c r="C239" s="4" t="s">
        <v>933</v>
      </c>
      <c r="D239" s="20">
        <v>4.8</v>
      </c>
      <c r="E239" s="4">
        <v>33903</v>
      </c>
      <c r="F239" s="4">
        <v>2018</v>
      </c>
      <c r="G239" s="21" t="str">
        <f t="shared" si="12"/>
        <v>Not Popular</v>
      </c>
      <c r="H239" s="21" t="str">
        <f t="shared" si="13"/>
        <v>Action or Drama</v>
      </c>
      <c r="I239" s="21" t="str">
        <f t="shared" si="14"/>
        <v>Not Comedy</v>
      </c>
      <c r="J239" s="21" t="str">
        <f t="shared" si="15"/>
        <v>Old</v>
      </c>
    </row>
    <row r="240" spans="1:10" x14ac:dyDescent="0.35">
      <c r="A240" s="4" t="s">
        <v>325</v>
      </c>
      <c r="B240" s="4" t="s">
        <v>326</v>
      </c>
      <c r="C240" s="4" t="s">
        <v>82</v>
      </c>
      <c r="D240" s="20">
        <v>3.3</v>
      </c>
      <c r="E240" s="4">
        <v>37715</v>
      </c>
      <c r="F240" s="4">
        <v>2018</v>
      </c>
      <c r="G240" s="21" t="str">
        <f t="shared" si="12"/>
        <v>Not Popular</v>
      </c>
      <c r="H240" s="21" t="str">
        <f t="shared" si="13"/>
        <v>Horror or Thriller</v>
      </c>
      <c r="I240" s="21" t="str">
        <f t="shared" si="14"/>
        <v>Not Comedy</v>
      </c>
      <c r="J240" s="21" t="str">
        <f t="shared" si="15"/>
        <v>Old</v>
      </c>
    </row>
    <row r="241" spans="1:10" x14ac:dyDescent="0.35">
      <c r="A241" s="4" t="s">
        <v>1660</v>
      </c>
      <c r="B241" s="4" t="s">
        <v>1661</v>
      </c>
      <c r="C241" s="4" t="s">
        <v>1662</v>
      </c>
      <c r="D241" s="20">
        <v>4.9000000000000004</v>
      </c>
      <c r="E241" s="4">
        <v>11544</v>
      </c>
      <c r="F241" s="4">
        <v>2018</v>
      </c>
      <c r="G241" s="21" t="str">
        <f t="shared" si="12"/>
        <v>Not Popular</v>
      </c>
      <c r="H241" s="21" t="str">
        <f t="shared" si="13"/>
        <v>Horror or Thriller</v>
      </c>
      <c r="I241" s="21" t="str">
        <f t="shared" si="14"/>
        <v>Not Comedy</v>
      </c>
      <c r="J241" s="21" t="str">
        <f t="shared" si="15"/>
        <v>Old</v>
      </c>
    </row>
    <row r="242" spans="1:10" x14ac:dyDescent="0.35">
      <c r="A242" s="4" t="s">
        <v>1957</v>
      </c>
      <c r="B242" s="4" t="s">
        <v>1958</v>
      </c>
      <c r="C242" s="4" t="s">
        <v>275</v>
      </c>
      <c r="D242" s="20">
        <v>5.0999999999999996</v>
      </c>
      <c r="E242" s="4">
        <v>22787</v>
      </c>
      <c r="F242" s="4">
        <v>2018</v>
      </c>
      <c r="G242" s="21" t="str">
        <f t="shared" si="12"/>
        <v>Popular</v>
      </c>
      <c r="H242" s="21" t="str">
        <f t="shared" si="13"/>
        <v>Action or Drama</v>
      </c>
      <c r="I242" s="21" t="str">
        <f t="shared" si="14"/>
        <v>Not Comedy</v>
      </c>
      <c r="J242" s="21" t="str">
        <f t="shared" si="15"/>
        <v>Old</v>
      </c>
    </row>
    <row r="243" spans="1:10" x14ac:dyDescent="0.35">
      <c r="A243" s="4" t="s">
        <v>2130</v>
      </c>
      <c r="B243" s="4" t="s">
        <v>2131</v>
      </c>
      <c r="C243" s="4" t="s">
        <v>155</v>
      </c>
      <c r="D243" s="20">
        <v>5.2</v>
      </c>
      <c r="E243" s="4">
        <v>73638</v>
      </c>
      <c r="F243" s="4">
        <v>2018</v>
      </c>
      <c r="G243" s="21" t="str">
        <f t="shared" si="12"/>
        <v>Popular</v>
      </c>
      <c r="H243" s="21" t="str">
        <f t="shared" si="13"/>
        <v>Action or Drama</v>
      </c>
      <c r="I243" s="21" t="str">
        <f t="shared" si="14"/>
        <v>Not Comedy</v>
      </c>
      <c r="J243" s="21" t="str">
        <f t="shared" si="15"/>
        <v>Old</v>
      </c>
    </row>
    <row r="244" spans="1:10" x14ac:dyDescent="0.35">
      <c r="A244" s="4" t="s">
        <v>1140</v>
      </c>
      <c r="B244" s="4" t="s">
        <v>1141</v>
      </c>
      <c r="C244" s="4" t="s">
        <v>146</v>
      </c>
      <c r="D244" s="20">
        <v>4.5999999999999996</v>
      </c>
      <c r="E244" s="4">
        <v>11123</v>
      </c>
      <c r="F244" s="4">
        <v>2018</v>
      </c>
      <c r="G244" s="21" t="str">
        <f t="shared" si="12"/>
        <v>Not Popular</v>
      </c>
      <c r="H244" s="21" t="str">
        <f t="shared" si="13"/>
        <v>Action or Drama</v>
      </c>
      <c r="I244" s="21" t="str">
        <f t="shared" si="14"/>
        <v>Comedy</v>
      </c>
      <c r="J244" s="21" t="str">
        <f t="shared" si="15"/>
        <v>Old</v>
      </c>
    </row>
    <row r="245" spans="1:10" x14ac:dyDescent="0.35">
      <c r="A245" s="4" t="s">
        <v>235</v>
      </c>
      <c r="B245" s="4" t="s">
        <v>236</v>
      </c>
      <c r="C245" s="4" t="s">
        <v>116</v>
      </c>
      <c r="D245" s="20">
        <v>2.8</v>
      </c>
      <c r="E245" s="4">
        <v>12870</v>
      </c>
      <c r="F245" s="4">
        <v>2018</v>
      </c>
      <c r="G245" s="21" t="str">
        <f t="shared" si="12"/>
        <v>Not Popular</v>
      </c>
      <c r="H245" s="21" t="str">
        <f t="shared" si="13"/>
        <v>Other</v>
      </c>
      <c r="I245" s="21" t="str">
        <f t="shared" si="14"/>
        <v>Comedy</v>
      </c>
      <c r="J245" s="21" t="str">
        <f t="shared" si="15"/>
        <v>Old</v>
      </c>
    </row>
    <row r="246" spans="1:10" x14ac:dyDescent="0.35">
      <c r="A246" s="4" t="s">
        <v>323</v>
      </c>
      <c r="B246" s="4" t="s">
        <v>324</v>
      </c>
      <c r="C246" s="4" t="s">
        <v>175</v>
      </c>
      <c r="D246" s="20">
        <v>3.3</v>
      </c>
      <c r="E246" s="4">
        <v>39628</v>
      </c>
      <c r="F246" s="4">
        <v>2018</v>
      </c>
      <c r="G246" s="21" t="str">
        <f t="shared" si="12"/>
        <v>Not Popular</v>
      </c>
      <c r="H246" s="21" t="str">
        <f t="shared" si="13"/>
        <v>Horror or Thriller</v>
      </c>
      <c r="I246" s="21" t="str">
        <f t="shared" si="14"/>
        <v>Not Comedy</v>
      </c>
      <c r="J246" s="21" t="str">
        <f t="shared" si="15"/>
        <v>Old</v>
      </c>
    </row>
    <row r="247" spans="1:10" x14ac:dyDescent="0.35">
      <c r="A247" s="4" t="s">
        <v>789</v>
      </c>
      <c r="B247" s="4" t="s">
        <v>790</v>
      </c>
      <c r="C247" s="4" t="s">
        <v>791</v>
      </c>
      <c r="D247" s="20">
        <v>4.3</v>
      </c>
      <c r="E247" s="4">
        <v>17474</v>
      </c>
      <c r="F247" s="4">
        <v>2018</v>
      </c>
      <c r="G247" s="21" t="str">
        <f t="shared" si="12"/>
        <v>Not Popular</v>
      </c>
      <c r="H247" s="21" t="str">
        <f t="shared" si="13"/>
        <v>Action or Drama</v>
      </c>
      <c r="I247" s="21" t="str">
        <f t="shared" si="14"/>
        <v>Not Comedy</v>
      </c>
      <c r="J247" s="21" t="str">
        <f t="shared" si="15"/>
        <v>Old</v>
      </c>
    </row>
    <row r="248" spans="1:10" x14ac:dyDescent="0.35">
      <c r="A248" s="4" t="s">
        <v>105</v>
      </c>
      <c r="B248" s="4" t="s">
        <v>106</v>
      </c>
      <c r="C248" s="4" t="s">
        <v>101</v>
      </c>
      <c r="D248" s="20">
        <v>1.9</v>
      </c>
      <c r="E248" s="4">
        <v>48996</v>
      </c>
      <c r="F248" s="4">
        <v>2018</v>
      </c>
      <c r="G248" s="21" t="str">
        <f t="shared" si="12"/>
        <v>Not Popular</v>
      </c>
      <c r="H248" s="21" t="str">
        <f t="shared" si="13"/>
        <v>Action or Drama</v>
      </c>
      <c r="I248" s="21" t="str">
        <f t="shared" si="14"/>
        <v>Not Comedy</v>
      </c>
      <c r="J248" s="21" t="str">
        <f t="shared" si="15"/>
        <v>Old</v>
      </c>
    </row>
    <row r="249" spans="1:10" x14ac:dyDescent="0.35">
      <c r="A249" s="4" t="s">
        <v>1839</v>
      </c>
      <c r="B249" s="4" t="s">
        <v>1840</v>
      </c>
      <c r="C249" s="4" t="s">
        <v>56</v>
      </c>
      <c r="D249" s="20">
        <v>5</v>
      </c>
      <c r="E249" s="4">
        <v>11010</v>
      </c>
      <c r="F249" s="4">
        <v>2018</v>
      </c>
      <c r="G249" s="21" t="str">
        <f t="shared" si="12"/>
        <v>Not Popular</v>
      </c>
      <c r="H249" s="21" t="str">
        <f t="shared" si="13"/>
        <v>Action or Drama</v>
      </c>
      <c r="I249" s="21" t="str">
        <f t="shared" si="14"/>
        <v>Not Comedy</v>
      </c>
      <c r="J249" s="21" t="str">
        <f t="shared" si="15"/>
        <v>Old</v>
      </c>
    </row>
    <row r="250" spans="1:10" x14ac:dyDescent="0.35">
      <c r="A250" s="4" t="s">
        <v>1152</v>
      </c>
      <c r="B250" s="4" t="s">
        <v>1153</v>
      </c>
      <c r="C250" s="4" t="s">
        <v>395</v>
      </c>
      <c r="D250" s="20">
        <v>4.5999999999999996</v>
      </c>
      <c r="E250" s="4">
        <v>10445</v>
      </c>
      <c r="F250" s="4">
        <v>2018</v>
      </c>
      <c r="G250" s="21" t="str">
        <f t="shared" si="12"/>
        <v>Not Popular</v>
      </c>
      <c r="H250" s="21" t="str">
        <f t="shared" si="13"/>
        <v>Action or Drama</v>
      </c>
      <c r="I250" s="21" t="str">
        <f t="shared" si="14"/>
        <v>Not Comedy</v>
      </c>
      <c r="J250" s="21" t="str">
        <f t="shared" si="15"/>
        <v>Old</v>
      </c>
    </row>
    <row r="251" spans="1:10" x14ac:dyDescent="0.35">
      <c r="A251" s="4" t="s">
        <v>984</v>
      </c>
      <c r="B251" s="4" t="s">
        <v>985</v>
      </c>
      <c r="C251" s="4" t="s">
        <v>243</v>
      </c>
      <c r="D251" s="20">
        <v>4.5</v>
      </c>
      <c r="E251" s="4">
        <v>17532</v>
      </c>
      <c r="F251" s="4">
        <v>2018</v>
      </c>
      <c r="G251" s="21" t="str">
        <f t="shared" si="12"/>
        <v>Not Popular</v>
      </c>
      <c r="H251" s="21" t="str">
        <f t="shared" si="13"/>
        <v>Action or Drama</v>
      </c>
      <c r="I251" s="21" t="str">
        <f t="shared" si="14"/>
        <v>Not Comedy</v>
      </c>
      <c r="J251" s="21" t="str">
        <f t="shared" si="15"/>
        <v>Old</v>
      </c>
    </row>
    <row r="252" spans="1:10" x14ac:dyDescent="0.35">
      <c r="A252" s="4" t="s">
        <v>159</v>
      </c>
      <c r="B252" s="4" t="s">
        <v>160</v>
      </c>
      <c r="C252" s="4" t="s">
        <v>8</v>
      </c>
      <c r="D252" s="20">
        <v>2.4</v>
      </c>
      <c r="E252" s="4">
        <v>23140</v>
      </c>
      <c r="F252" s="4">
        <v>2018</v>
      </c>
      <c r="G252" s="21" t="str">
        <f t="shared" si="12"/>
        <v>Not Popular</v>
      </c>
      <c r="H252" s="21" t="str">
        <f t="shared" si="13"/>
        <v>Action or Drama</v>
      </c>
      <c r="I252" s="21" t="str">
        <f t="shared" si="14"/>
        <v>Not Comedy</v>
      </c>
      <c r="J252" s="21" t="str">
        <f t="shared" si="15"/>
        <v>Old</v>
      </c>
    </row>
    <row r="253" spans="1:10" x14ac:dyDescent="0.35">
      <c r="A253" s="4" t="s">
        <v>1612</v>
      </c>
      <c r="B253" s="4" t="s">
        <v>1613</v>
      </c>
      <c r="C253" s="4" t="s">
        <v>175</v>
      </c>
      <c r="D253" s="20">
        <v>4.9000000000000004</v>
      </c>
      <c r="E253" s="4">
        <v>17755</v>
      </c>
      <c r="F253" s="4">
        <v>2018</v>
      </c>
      <c r="G253" s="21" t="str">
        <f t="shared" si="12"/>
        <v>Not Popular</v>
      </c>
      <c r="H253" s="21" t="str">
        <f t="shared" si="13"/>
        <v>Horror or Thriller</v>
      </c>
      <c r="I253" s="21" t="str">
        <f t="shared" si="14"/>
        <v>Not Comedy</v>
      </c>
      <c r="J253" s="21" t="str">
        <f t="shared" si="15"/>
        <v>Old</v>
      </c>
    </row>
    <row r="254" spans="1:10" x14ac:dyDescent="0.35">
      <c r="A254" s="4" t="s">
        <v>575</v>
      </c>
      <c r="B254" s="4" t="s">
        <v>576</v>
      </c>
      <c r="C254" s="4" t="s">
        <v>577</v>
      </c>
      <c r="D254" s="20">
        <v>3.9</v>
      </c>
      <c r="E254" s="4">
        <v>12499</v>
      </c>
      <c r="F254" s="4">
        <v>2018</v>
      </c>
      <c r="G254" s="21" t="str">
        <f t="shared" si="12"/>
        <v>Not Popular</v>
      </c>
      <c r="H254" s="21" t="str">
        <f t="shared" si="13"/>
        <v>Horror or Thriller</v>
      </c>
      <c r="I254" s="21" t="str">
        <f t="shared" si="14"/>
        <v>Not Comedy</v>
      </c>
      <c r="J254" s="21" t="str">
        <f t="shared" si="15"/>
        <v>Old</v>
      </c>
    </row>
    <row r="255" spans="1:10" x14ac:dyDescent="0.35">
      <c r="A255" s="4" t="s">
        <v>1878</v>
      </c>
      <c r="B255" s="4" t="s">
        <v>1879</v>
      </c>
      <c r="C255" s="4" t="s">
        <v>395</v>
      </c>
      <c r="D255" s="20">
        <v>5.0999999999999996</v>
      </c>
      <c r="E255" s="4">
        <v>59981</v>
      </c>
      <c r="F255" s="4">
        <v>2018</v>
      </c>
      <c r="G255" s="21" t="str">
        <f t="shared" si="12"/>
        <v>Popular</v>
      </c>
      <c r="H255" s="21" t="str">
        <f t="shared" si="13"/>
        <v>Action or Drama</v>
      </c>
      <c r="I255" s="21" t="str">
        <f t="shared" si="14"/>
        <v>Not Comedy</v>
      </c>
      <c r="J255" s="21" t="str">
        <f t="shared" si="15"/>
        <v>Old</v>
      </c>
    </row>
    <row r="256" spans="1:10" x14ac:dyDescent="0.35">
      <c r="A256" s="4" t="s">
        <v>533</v>
      </c>
      <c r="B256" s="4" t="s">
        <v>534</v>
      </c>
      <c r="C256" s="4" t="s">
        <v>535</v>
      </c>
      <c r="D256" s="20">
        <v>3.9</v>
      </c>
      <c r="E256" s="4">
        <v>40065</v>
      </c>
      <c r="F256" s="4">
        <v>2018</v>
      </c>
      <c r="G256" s="21" t="str">
        <f t="shared" si="12"/>
        <v>Not Popular</v>
      </c>
      <c r="H256" s="21" t="str">
        <f t="shared" si="13"/>
        <v>Other</v>
      </c>
      <c r="I256" s="21" t="str">
        <f t="shared" si="14"/>
        <v>Comedy</v>
      </c>
      <c r="J256" s="21" t="str">
        <f t="shared" si="15"/>
        <v>Old</v>
      </c>
    </row>
    <row r="257" spans="1:10" x14ac:dyDescent="0.35">
      <c r="A257" s="4" t="s">
        <v>1430</v>
      </c>
      <c r="B257" s="4" t="s">
        <v>1431</v>
      </c>
      <c r="C257" s="4" t="s">
        <v>1243</v>
      </c>
      <c r="D257" s="20">
        <v>4.8</v>
      </c>
      <c r="E257" s="4">
        <v>17488</v>
      </c>
      <c r="F257" s="4">
        <v>2018</v>
      </c>
      <c r="G257" s="21" t="str">
        <f t="shared" si="12"/>
        <v>Not Popular</v>
      </c>
      <c r="H257" s="21" t="str">
        <f t="shared" si="13"/>
        <v>Action or Drama</v>
      </c>
      <c r="I257" s="21" t="str">
        <f t="shared" si="14"/>
        <v>Not Comedy</v>
      </c>
      <c r="J257" s="21" t="str">
        <f t="shared" si="15"/>
        <v>Old</v>
      </c>
    </row>
    <row r="258" spans="1:10" x14ac:dyDescent="0.35">
      <c r="A258" s="4" t="s">
        <v>931</v>
      </c>
      <c r="B258" s="4" t="s">
        <v>932</v>
      </c>
      <c r="C258" s="4" t="s">
        <v>933</v>
      </c>
      <c r="D258" s="20">
        <v>4.5</v>
      </c>
      <c r="E258" s="4">
        <v>76596</v>
      </c>
      <c r="F258" s="4">
        <v>2018</v>
      </c>
      <c r="G258" s="21" t="str">
        <f t="shared" si="12"/>
        <v>Not Popular</v>
      </c>
      <c r="H258" s="21" t="str">
        <f t="shared" si="13"/>
        <v>Action or Drama</v>
      </c>
      <c r="I258" s="21" t="str">
        <f t="shared" si="14"/>
        <v>Not Comedy</v>
      </c>
      <c r="J258" s="21" t="str">
        <f t="shared" si="15"/>
        <v>Old</v>
      </c>
    </row>
    <row r="259" spans="1:10" x14ac:dyDescent="0.35">
      <c r="A259" s="4" t="s">
        <v>1755</v>
      </c>
      <c r="B259" s="4" t="s">
        <v>1756</v>
      </c>
      <c r="C259" s="4" t="s">
        <v>951</v>
      </c>
      <c r="D259" s="20">
        <v>5</v>
      </c>
      <c r="E259" s="4">
        <v>23421</v>
      </c>
      <c r="F259" s="4">
        <v>2018</v>
      </c>
      <c r="G259" s="21" t="str">
        <f t="shared" ref="G259:G322" si="16">IF(AND(D259&gt;5, E259&gt;1000), "Popular", "Not Popular")</f>
        <v>Not Popular</v>
      </c>
      <c r="H259" s="21" t="str">
        <f t="shared" ref="H259:H322" si="17">IF(OR(ISNUMBER(SEARCH("Action", C259)), ISNUMBER(SEARCH("Drama", C259))), "Action or Drama", IF(OR(ISNUMBER(SEARCH("Horror", C259)), ISNUMBER(SEARCH("Thriller", C259))), "Horror or Thriller", "Other"))</f>
        <v>Action or Drama</v>
      </c>
      <c r="I259" s="21" t="str">
        <f t="shared" ref="I259:I322" si="18">IF(NOT(ISNUMBER(SEARCH("Comedy", C259))), "Not Comedy", "Comedy")</f>
        <v>Not Comedy</v>
      </c>
      <c r="J259" s="21" t="str">
        <f t="shared" ref="J259:J322" si="19">IF(F259&gt;2020, "Recent", "Old")</f>
        <v>Old</v>
      </c>
    </row>
    <row r="260" spans="1:10" x14ac:dyDescent="0.35">
      <c r="A260" s="4" t="s">
        <v>540</v>
      </c>
      <c r="B260" s="4" t="s">
        <v>541</v>
      </c>
      <c r="C260" s="4" t="s">
        <v>462</v>
      </c>
      <c r="D260" s="20">
        <v>3.9</v>
      </c>
      <c r="E260" s="4">
        <v>36065</v>
      </c>
      <c r="F260" s="4">
        <v>2018</v>
      </c>
      <c r="G260" s="21" t="str">
        <f t="shared" si="16"/>
        <v>Not Popular</v>
      </c>
      <c r="H260" s="21" t="str">
        <f t="shared" si="17"/>
        <v>Action or Drama</v>
      </c>
      <c r="I260" s="21" t="str">
        <f t="shared" si="18"/>
        <v>Not Comedy</v>
      </c>
      <c r="J260" s="21" t="str">
        <f t="shared" si="19"/>
        <v>Old</v>
      </c>
    </row>
    <row r="261" spans="1:10" x14ac:dyDescent="0.35">
      <c r="A261" s="4" t="s">
        <v>112</v>
      </c>
      <c r="B261" s="4" t="s">
        <v>113</v>
      </c>
      <c r="C261" s="4" t="s">
        <v>11</v>
      </c>
      <c r="D261" s="20">
        <v>2</v>
      </c>
      <c r="E261" s="4">
        <v>56196</v>
      </c>
      <c r="F261" s="4">
        <v>2018</v>
      </c>
      <c r="G261" s="21" t="str">
        <f t="shared" si="16"/>
        <v>Not Popular</v>
      </c>
      <c r="H261" s="21" t="str">
        <f t="shared" si="17"/>
        <v>Other</v>
      </c>
      <c r="I261" s="21" t="str">
        <f t="shared" si="18"/>
        <v>Comedy</v>
      </c>
      <c r="J261" s="21" t="str">
        <f t="shared" si="19"/>
        <v>Old</v>
      </c>
    </row>
    <row r="262" spans="1:10" x14ac:dyDescent="0.35">
      <c r="A262" s="4" t="s">
        <v>2020</v>
      </c>
      <c r="B262" s="4" t="s">
        <v>2021</v>
      </c>
      <c r="C262" s="4" t="s">
        <v>400</v>
      </c>
      <c r="D262" s="20">
        <v>5.0999999999999996</v>
      </c>
      <c r="E262" s="4">
        <v>15092</v>
      </c>
      <c r="F262" s="4">
        <v>2018</v>
      </c>
      <c r="G262" s="21" t="str">
        <f t="shared" si="16"/>
        <v>Popular</v>
      </c>
      <c r="H262" s="21" t="str">
        <f t="shared" si="17"/>
        <v>Action or Drama</v>
      </c>
      <c r="I262" s="21" t="str">
        <f t="shared" si="18"/>
        <v>Not Comedy</v>
      </c>
      <c r="J262" s="21" t="str">
        <f t="shared" si="19"/>
        <v>Old</v>
      </c>
    </row>
    <row r="263" spans="1:10" x14ac:dyDescent="0.35">
      <c r="A263" s="4" t="s">
        <v>1148</v>
      </c>
      <c r="B263" s="4" t="s">
        <v>1149</v>
      </c>
      <c r="C263" s="4" t="s">
        <v>208</v>
      </c>
      <c r="D263" s="20">
        <v>4.5999999999999996</v>
      </c>
      <c r="E263" s="4">
        <v>10673</v>
      </c>
      <c r="F263" s="4">
        <v>2018</v>
      </c>
      <c r="G263" s="21" t="str">
        <f t="shared" si="16"/>
        <v>Not Popular</v>
      </c>
      <c r="H263" s="21" t="str">
        <f t="shared" si="17"/>
        <v>Action or Drama</v>
      </c>
      <c r="I263" s="21" t="str">
        <f t="shared" si="18"/>
        <v>Not Comedy</v>
      </c>
      <c r="J263" s="21" t="str">
        <f t="shared" si="19"/>
        <v>Old</v>
      </c>
    </row>
    <row r="264" spans="1:10" x14ac:dyDescent="0.35">
      <c r="A264" s="4" t="s">
        <v>40</v>
      </c>
      <c r="B264" s="4" t="s">
        <v>41</v>
      </c>
      <c r="C264" s="4" t="s">
        <v>11</v>
      </c>
      <c r="D264" s="20">
        <v>1.2</v>
      </c>
      <c r="E264" s="4">
        <v>10378</v>
      </c>
      <c r="F264" s="4">
        <v>2018</v>
      </c>
      <c r="G264" s="21" t="str">
        <f t="shared" si="16"/>
        <v>Not Popular</v>
      </c>
      <c r="H264" s="21" t="str">
        <f t="shared" si="17"/>
        <v>Other</v>
      </c>
      <c r="I264" s="21" t="str">
        <f t="shared" si="18"/>
        <v>Comedy</v>
      </c>
      <c r="J264" s="21" t="str">
        <f t="shared" si="19"/>
        <v>Old</v>
      </c>
    </row>
    <row r="265" spans="1:10" x14ac:dyDescent="0.35">
      <c r="A265" s="4" t="s">
        <v>1420</v>
      </c>
      <c r="B265" s="4" t="s">
        <v>1421</v>
      </c>
      <c r="C265" s="4" t="s">
        <v>1422</v>
      </c>
      <c r="D265" s="20">
        <v>4.8</v>
      </c>
      <c r="E265" s="4">
        <v>18249</v>
      </c>
      <c r="F265" s="4">
        <v>2018</v>
      </c>
      <c r="G265" s="21" t="str">
        <f t="shared" si="16"/>
        <v>Not Popular</v>
      </c>
      <c r="H265" s="21" t="str">
        <f t="shared" si="17"/>
        <v>Action or Drama</v>
      </c>
      <c r="I265" s="21" t="str">
        <f t="shared" si="18"/>
        <v>Not Comedy</v>
      </c>
      <c r="J265" s="21" t="str">
        <f t="shared" si="19"/>
        <v>Old</v>
      </c>
    </row>
    <row r="266" spans="1:10" x14ac:dyDescent="0.35">
      <c r="A266" s="4" t="s">
        <v>1481</v>
      </c>
      <c r="B266" s="4" t="s">
        <v>1482</v>
      </c>
      <c r="C266" s="4" t="s">
        <v>56</v>
      </c>
      <c r="D266" s="20">
        <v>4.8</v>
      </c>
      <c r="E266" s="4">
        <v>11945</v>
      </c>
      <c r="F266" s="4">
        <v>2018</v>
      </c>
      <c r="G266" s="21" t="str">
        <f t="shared" si="16"/>
        <v>Not Popular</v>
      </c>
      <c r="H266" s="21" t="str">
        <f t="shared" si="17"/>
        <v>Action or Drama</v>
      </c>
      <c r="I266" s="21" t="str">
        <f t="shared" si="18"/>
        <v>Not Comedy</v>
      </c>
      <c r="J266" s="21" t="str">
        <f t="shared" si="19"/>
        <v>Old</v>
      </c>
    </row>
    <row r="267" spans="1:10" x14ac:dyDescent="0.35">
      <c r="A267" s="4" t="s">
        <v>2044</v>
      </c>
      <c r="B267" s="4" t="s">
        <v>2045</v>
      </c>
      <c r="C267" s="4" t="s">
        <v>11</v>
      </c>
      <c r="D267" s="20">
        <v>5.0999999999999996</v>
      </c>
      <c r="E267" s="4">
        <v>12359</v>
      </c>
      <c r="F267" s="4">
        <v>2018</v>
      </c>
      <c r="G267" s="21" t="str">
        <f t="shared" si="16"/>
        <v>Popular</v>
      </c>
      <c r="H267" s="21" t="str">
        <f t="shared" si="17"/>
        <v>Other</v>
      </c>
      <c r="I267" s="21" t="str">
        <f t="shared" si="18"/>
        <v>Comedy</v>
      </c>
      <c r="J267" s="21" t="str">
        <f t="shared" si="19"/>
        <v>Old</v>
      </c>
    </row>
    <row r="268" spans="1:10" x14ac:dyDescent="0.35">
      <c r="A268" s="4" t="s">
        <v>1657</v>
      </c>
      <c r="B268" s="4" t="s">
        <v>1658</v>
      </c>
      <c r="C268" s="4" t="s">
        <v>1659</v>
      </c>
      <c r="D268" s="20">
        <v>4.9000000000000004</v>
      </c>
      <c r="E268" s="4">
        <v>11564</v>
      </c>
      <c r="F268" s="4">
        <v>2018</v>
      </c>
      <c r="G268" s="21" t="str">
        <f t="shared" si="16"/>
        <v>Not Popular</v>
      </c>
      <c r="H268" s="21" t="str">
        <f t="shared" si="17"/>
        <v>Action or Drama</v>
      </c>
      <c r="I268" s="21" t="str">
        <f t="shared" si="18"/>
        <v>Not Comedy</v>
      </c>
      <c r="J268" s="21" t="str">
        <f t="shared" si="19"/>
        <v>Old</v>
      </c>
    </row>
    <row r="269" spans="1:10" x14ac:dyDescent="0.35">
      <c r="A269" s="4" t="s">
        <v>760</v>
      </c>
      <c r="B269" s="4" t="s">
        <v>761</v>
      </c>
      <c r="C269" s="4" t="s">
        <v>762</v>
      </c>
      <c r="D269" s="20">
        <v>4.3</v>
      </c>
      <c r="E269" s="4">
        <v>48349</v>
      </c>
      <c r="F269" s="4">
        <v>2018</v>
      </c>
      <c r="G269" s="21" t="str">
        <f t="shared" si="16"/>
        <v>Not Popular</v>
      </c>
      <c r="H269" s="21" t="str">
        <f t="shared" si="17"/>
        <v>Action or Drama</v>
      </c>
      <c r="I269" s="21" t="str">
        <f t="shared" si="18"/>
        <v>Not Comedy</v>
      </c>
      <c r="J269" s="21" t="str">
        <f t="shared" si="19"/>
        <v>Old</v>
      </c>
    </row>
    <row r="270" spans="1:10" x14ac:dyDescent="0.35">
      <c r="A270" s="4" t="s">
        <v>825</v>
      </c>
      <c r="B270" s="4" t="s">
        <v>826</v>
      </c>
      <c r="C270" s="4" t="s">
        <v>143</v>
      </c>
      <c r="D270" s="20">
        <v>4.3</v>
      </c>
      <c r="E270" s="4">
        <v>10175</v>
      </c>
      <c r="F270" s="4">
        <v>2018</v>
      </c>
      <c r="G270" s="21" t="str">
        <f t="shared" si="16"/>
        <v>Not Popular</v>
      </c>
      <c r="H270" s="21" t="str">
        <f t="shared" si="17"/>
        <v>Action or Drama</v>
      </c>
      <c r="I270" s="21" t="str">
        <f t="shared" si="18"/>
        <v>Not Comedy</v>
      </c>
      <c r="J270" s="21" t="str">
        <f t="shared" si="19"/>
        <v>Old</v>
      </c>
    </row>
    <row r="271" spans="1:10" x14ac:dyDescent="0.35">
      <c r="A271" s="4" t="s">
        <v>2048</v>
      </c>
      <c r="B271" s="4" t="s">
        <v>2049</v>
      </c>
      <c r="C271" s="4" t="s">
        <v>846</v>
      </c>
      <c r="D271" s="20">
        <v>5.0999999999999996</v>
      </c>
      <c r="E271" s="4">
        <v>12066</v>
      </c>
      <c r="F271" s="4">
        <v>2018</v>
      </c>
      <c r="G271" s="21" t="str">
        <f t="shared" si="16"/>
        <v>Popular</v>
      </c>
      <c r="H271" s="21" t="str">
        <f t="shared" si="17"/>
        <v>Action or Drama</v>
      </c>
      <c r="I271" s="21" t="str">
        <f t="shared" si="18"/>
        <v>Not Comedy</v>
      </c>
      <c r="J271" s="21" t="str">
        <f t="shared" si="19"/>
        <v>Old</v>
      </c>
    </row>
    <row r="272" spans="1:10" x14ac:dyDescent="0.35">
      <c r="A272" s="4" t="s">
        <v>1278</v>
      </c>
      <c r="B272" s="4" t="s">
        <v>1279</v>
      </c>
      <c r="C272" s="4" t="s">
        <v>508</v>
      </c>
      <c r="D272" s="20">
        <v>4.7</v>
      </c>
      <c r="E272" s="4">
        <v>14622</v>
      </c>
      <c r="F272" s="4">
        <v>2017</v>
      </c>
      <c r="G272" s="21" t="str">
        <f t="shared" si="16"/>
        <v>Not Popular</v>
      </c>
      <c r="H272" s="21" t="str">
        <f t="shared" si="17"/>
        <v>Action or Drama</v>
      </c>
      <c r="I272" s="21" t="str">
        <f t="shared" si="18"/>
        <v>Not Comedy</v>
      </c>
      <c r="J272" s="21" t="str">
        <f t="shared" si="19"/>
        <v>Old</v>
      </c>
    </row>
    <row r="273" spans="1:10" x14ac:dyDescent="0.35">
      <c r="A273" s="4" t="s">
        <v>2120</v>
      </c>
      <c r="B273" s="4" t="s">
        <v>2121</v>
      </c>
      <c r="C273" s="4" t="s">
        <v>134</v>
      </c>
      <c r="D273" s="20">
        <v>5.2</v>
      </c>
      <c r="E273" s="4">
        <v>98457</v>
      </c>
      <c r="F273" s="4">
        <v>2017</v>
      </c>
      <c r="G273" s="21" t="str">
        <f t="shared" si="16"/>
        <v>Popular</v>
      </c>
      <c r="H273" s="21" t="str">
        <f t="shared" si="17"/>
        <v>Action or Drama</v>
      </c>
      <c r="I273" s="21" t="str">
        <f t="shared" si="18"/>
        <v>Not Comedy</v>
      </c>
      <c r="J273" s="21" t="str">
        <f t="shared" si="19"/>
        <v>Old</v>
      </c>
    </row>
    <row r="274" spans="1:10" x14ac:dyDescent="0.35">
      <c r="A274" s="4" t="s">
        <v>1126</v>
      </c>
      <c r="B274" s="4" t="s">
        <v>1127</v>
      </c>
      <c r="C274" s="4" t="s">
        <v>76</v>
      </c>
      <c r="D274" s="20">
        <v>4.5999999999999996</v>
      </c>
      <c r="E274" s="4">
        <v>12545</v>
      </c>
      <c r="F274" s="4">
        <v>2017</v>
      </c>
      <c r="G274" s="21" t="str">
        <f t="shared" si="16"/>
        <v>Not Popular</v>
      </c>
      <c r="H274" s="21" t="str">
        <f t="shared" si="17"/>
        <v>Horror or Thriller</v>
      </c>
      <c r="I274" s="21" t="str">
        <f t="shared" si="18"/>
        <v>Not Comedy</v>
      </c>
      <c r="J274" s="21" t="str">
        <f t="shared" si="19"/>
        <v>Old</v>
      </c>
    </row>
    <row r="275" spans="1:10" x14ac:dyDescent="0.35">
      <c r="A275" s="4" t="s">
        <v>1949</v>
      </c>
      <c r="B275" s="4" t="s">
        <v>1950</v>
      </c>
      <c r="C275" s="4" t="s">
        <v>400</v>
      </c>
      <c r="D275" s="20">
        <v>5.0999999999999996</v>
      </c>
      <c r="E275" s="4">
        <v>23465</v>
      </c>
      <c r="F275" s="4">
        <v>2017</v>
      </c>
      <c r="G275" s="21" t="str">
        <f t="shared" si="16"/>
        <v>Popular</v>
      </c>
      <c r="H275" s="21" t="str">
        <f t="shared" si="17"/>
        <v>Action or Drama</v>
      </c>
      <c r="I275" s="21" t="str">
        <f t="shared" si="18"/>
        <v>Not Comedy</v>
      </c>
      <c r="J275" s="21" t="str">
        <f t="shared" si="19"/>
        <v>Old</v>
      </c>
    </row>
    <row r="276" spans="1:10" x14ac:dyDescent="0.35">
      <c r="A276" s="4" t="s">
        <v>1447</v>
      </c>
      <c r="B276" s="4" t="s">
        <v>1448</v>
      </c>
      <c r="C276" s="4" t="s">
        <v>1160</v>
      </c>
      <c r="D276" s="20">
        <v>4.8</v>
      </c>
      <c r="E276" s="4">
        <v>15608</v>
      </c>
      <c r="F276" s="4">
        <v>2017</v>
      </c>
      <c r="G276" s="21" t="str">
        <f t="shared" si="16"/>
        <v>Not Popular</v>
      </c>
      <c r="H276" s="21" t="str">
        <f t="shared" si="17"/>
        <v>Action or Drama</v>
      </c>
      <c r="I276" s="21" t="str">
        <f t="shared" si="18"/>
        <v>Comedy</v>
      </c>
      <c r="J276" s="21" t="str">
        <f t="shared" si="19"/>
        <v>Old</v>
      </c>
    </row>
    <row r="277" spans="1:10" x14ac:dyDescent="0.35">
      <c r="A277" s="4" t="s">
        <v>1995</v>
      </c>
      <c r="B277" s="4" t="s">
        <v>1996</v>
      </c>
      <c r="C277" s="4" t="s">
        <v>31</v>
      </c>
      <c r="D277" s="20">
        <v>5.0999999999999996</v>
      </c>
      <c r="E277" s="4">
        <v>16938</v>
      </c>
      <c r="F277" s="4">
        <v>2017</v>
      </c>
      <c r="G277" s="21" t="str">
        <f t="shared" si="16"/>
        <v>Popular</v>
      </c>
      <c r="H277" s="21" t="str">
        <f t="shared" si="17"/>
        <v>Action or Drama</v>
      </c>
      <c r="I277" s="21" t="str">
        <f t="shared" si="18"/>
        <v>Not Comedy</v>
      </c>
      <c r="J277" s="21" t="str">
        <f t="shared" si="19"/>
        <v>Old</v>
      </c>
    </row>
    <row r="278" spans="1:10" x14ac:dyDescent="0.35">
      <c r="A278" s="4" t="s">
        <v>555</v>
      </c>
      <c r="B278" s="4" t="s">
        <v>556</v>
      </c>
      <c r="C278" s="4" t="s">
        <v>557</v>
      </c>
      <c r="D278" s="20">
        <v>3.9</v>
      </c>
      <c r="E278" s="4">
        <v>22055</v>
      </c>
      <c r="F278" s="4">
        <v>2017</v>
      </c>
      <c r="G278" s="21" t="str">
        <f t="shared" si="16"/>
        <v>Not Popular</v>
      </c>
      <c r="H278" s="21" t="str">
        <f t="shared" si="17"/>
        <v>Action or Drama</v>
      </c>
      <c r="I278" s="21" t="str">
        <f t="shared" si="18"/>
        <v>Not Comedy</v>
      </c>
      <c r="J278" s="21" t="str">
        <f t="shared" si="19"/>
        <v>Old</v>
      </c>
    </row>
    <row r="279" spans="1:10" x14ac:dyDescent="0.35">
      <c r="A279" s="4" t="s">
        <v>2108</v>
      </c>
      <c r="B279" s="4" t="s">
        <v>2109</v>
      </c>
      <c r="C279" s="4" t="s">
        <v>163</v>
      </c>
      <c r="D279" s="20">
        <v>5.2</v>
      </c>
      <c r="E279" s="4">
        <v>172818</v>
      </c>
      <c r="F279" s="4">
        <v>2017</v>
      </c>
      <c r="G279" s="21" t="str">
        <f t="shared" si="16"/>
        <v>Popular</v>
      </c>
      <c r="H279" s="21" t="str">
        <f t="shared" si="17"/>
        <v>Action or Drama</v>
      </c>
      <c r="I279" s="21" t="str">
        <f t="shared" si="18"/>
        <v>Not Comedy</v>
      </c>
      <c r="J279" s="21" t="str">
        <f t="shared" si="19"/>
        <v>Old</v>
      </c>
    </row>
    <row r="280" spans="1:10" x14ac:dyDescent="0.35">
      <c r="A280" s="4" t="s">
        <v>1634</v>
      </c>
      <c r="B280" s="4" t="s">
        <v>1635</v>
      </c>
      <c r="C280" s="4" t="s">
        <v>1072</v>
      </c>
      <c r="D280" s="20">
        <v>4.9000000000000004</v>
      </c>
      <c r="E280" s="4">
        <v>13836</v>
      </c>
      <c r="F280" s="4">
        <v>2017</v>
      </c>
      <c r="G280" s="21" t="str">
        <f t="shared" si="16"/>
        <v>Not Popular</v>
      </c>
      <c r="H280" s="21" t="str">
        <f t="shared" si="17"/>
        <v>Horror or Thriller</v>
      </c>
      <c r="I280" s="21" t="str">
        <f t="shared" si="18"/>
        <v>Not Comedy</v>
      </c>
      <c r="J280" s="21" t="str">
        <f t="shared" si="19"/>
        <v>Old</v>
      </c>
    </row>
    <row r="281" spans="1:10" x14ac:dyDescent="0.35">
      <c r="A281" s="4" t="s">
        <v>2132</v>
      </c>
      <c r="B281" s="4" t="s">
        <v>2133</v>
      </c>
      <c r="C281" s="4" t="s">
        <v>508</v>
      </c>
      <c r="D281" s="20">
        <v>5.2</v>
      </c>
      <c r="E281" s="4">
        <v>73530</v>
      </c>
      <c r="F281" s="4">
        <v>2017</v>
      </c>
      <c r="G281" s="21" t="str">
        <f t="shared" si="16"/>
        <v>Popular</v>
      </c>
      <c r="H281" s="21" t="str">
        <f t="shared" si="17"/>
        <v>Action or Drama</v>
      </c>
      <c r="I281" s="21" t="str">
        <f t="shared" si="18"/>
        <v>Not Comedy</v>
      </c>
      <c r="J281" s="21" t="str">
        <f t="shared" si="19"/>
        <v>Old</v>
      </c>
    </row>
    <row r="282" spans="1:10" x14ac:dyDescent="0.35">
      <c r="A282" s="4" t="s">
        <v>1436</v>
      </c>
      <c r="B282" s="4" t="s">
        <v>1437</v>
      </c>
      <c r="C282" s="4" t="s">
        <v>116</v>
      </c>
      <c r="D282" s="20">
        <v>4.8</v>
      </c>
      <c r="E282" s="4">
        <v>17244</v>
      </c>
      <c r="F282" s="4">
        <v>2017</v>
      </c>
      <c r="G282" s="21" t="str">
        <f t="shared" si="16"/>
        <v>Not Popular</v>
      </c>
      <c r="H282" s="21" t="str">
        <f t="shared" si="17"/>
        <v>Other</v>
      </c>
      <c r="I282" s="21" t="str">
        <f t="shared" si="18"/>
        <v>Comedy</v>
      </c>
      <c r="J282" s="21" t="str">
        <f t="shared" si="19"/>
        <v>Old</v>
      </c>
    </row>
    <row r="283" spans="1:10" x14ac:dyDescent="0.35">
      <c r="A283" s="4" t="s">
        <v>1002</v>
      </c>
      <c r="B283" s="4" t="s">
        <v>1003</v>
      </c>
      <c r="C283" s="4" t="s">
        <v>1004</v>
      </c>
      <c r="D283" s="20">
        <v>4.5</v>
      </c>
      <c r="E283" s="4">
        <v>12266</v>
      </c>
      <c r="F283" s="4">
        <v>2017</v>
      </c>
      <c r="G283" s="21" t="str">
        <f t="shared" si="16"/>
        <v>Not Popular</v>
      </c>
      <c r="H283" s="21" t="str">
        <f t="shared" si="17"/>
        <v>Horror or Thriller</v>
      </c>
      <c r="I283" s="21" t="str">
        <f t="shared" si="18"/>
        <v>Not Comedy</v>
      </c>
      <c r="J283" s="21" t="str">
        <f t="shared" si="19"/>
        <v>Old</v>
      </c>
    </row>
    <row r="284" spans="1:10" x14ac:dyDescent="0.35">
      <c r="A284" s="4" t="s">
        <v>611</v>
      </c>
      <c r="B284" s="4" t="s">
        <v>612</v>
      </c>
      <c r="C284" s="4" t="s">
        <v>178</v>
      </c>
      <c r="D284" s="20">
        <v>4</v>
      </c>
      <c r="E284" s="4">
        <v>14748</v>
      </c>
      <c r="F284" s="4">
        <v>2017</v>
      </c>
      <c r="G284" s="21" t="str">
        <f t="shared" si="16"/>
        <v>Not Popular</v>
      </c>
      <c r="H284" s="21" t="str">
        <f t="shared" si="17"/>
        <v>Action or Drama</v>
      </c>
      <c r="I284" s="21" t="str">
        <f t="shared" si="18"/>
        <v>Comedy</v>
      </c>
      <c r="J284" s="21" t="str">
        <f t="shared" si="19"/>
        <v>Old</v>
      </c>
    </row>
    <row r="285" spans="1:10" x14ac:dyDescent="0.35">
      <c r="A285" s="4" t="s">
        <v>339</v>
      </c>
      <c r="B285" s="4" t="s">
        <v>340</v>
      </c>
      <c r="C285" s="4" t="s">
        <v>65</v>
      </c>
      <c r="D285" s="20">
        <v>3.4</v>
      </c>
      <c r="E285" s="4">
        <v>73536</v>
      </c>
      <c r="F285" s="4">
        <v>2017</v>
      </c>
      <c r="G285" s="21" t="str">
        <f t="shared" si="16"/>
        <v>Not Popular</v>
      </c>
      <c r="H285" s="21" t="str">
        <f t="shared" si="17"/>
        <v>Other</v>
      </c>
      <c r="I285" s="21" t="str">
        <f t="shared" si="18"/>
        <v>Comedy</v>
      </c>
      <c r="J285" s="21" t="str">
        <f t="shared" si="19"/>
        <v>Old</v>
      </c>
    </row>
    <row r="286" spans="1:10" x14ac:dyDescent="0.35">
      <c r="A286" s="4" t="s">
        <v>765</v>
      </c>
      <c r="B286" s="4" t="s">
        <v>766</v>
      </c>
      <c r="C286" s="4" t="s">
        <v>400</v>
      </c>
      <c r="D286" s="20">
        <v>4.3</v>
      </c>
      <c r="E286" s="4">
        <v>26593</v>
      </c>
      <c r="F286" s="4">
        <v>2017</v>
      </c>
      <c r="G286" s="21" t="str">
        <f t="shared" si="16"/>
        <v>Not Popular</v>
      </c>
      <c r="H286" s="21" t="str">
        <f t="shared" si="17"/>
        <v>Action or Drama</v>
      </c>
      <c r="I286" s="21" t="str">
        <f t="shared" si="18"/>
        <v>Not Comedy</v>
      </c>
      <c r="J286" s="21" t="str">
        <f t="shared" si="19"/>
        <v>Old</v>
      </c>
    </row>
    <row r="287" spans="1:10" x14ac:dyDescent="0.35">
      <c r="A287" s="4" t="s">
        <v>1200</v>
      </c>
      <c r="B287" s="4" t="s">
        <v>1201</v>
      </c>
      <c r="C287" s="4" t="s">
        <v>178</v>
      </c>
      <c r="D287" s="20">
        <v>4.7</v>
      </c>
      <c r="E287" s="4">
        <v>37988</v>
      </c>
      <c r="F287" s="4">
        <v>2017</v>
      </c>
      <c r="G287" s="21" t="str">
        <f t="shared" si="16"/>
        <v>Not Popular</v>
      </c>
      <c r="H287" s="21" t="str">
        <f t="shared" si="17"/>
        <v>Action or Drama</v>
      </c>
      <c r="I287" s="21" t="str">
        <f t="shared" si="18"/>
        <v>Comedy</v>
      </c>
      <c r="J287" s="21" t="str">
        <f t="shared" si="19"/>
        <v>Old</v>
      </c>
    </row>
    <row r="288" spans="1:10" x14ac:dyDescent="0.35">
      <c r="A288" s="4" t="s">
        <v>435</v>
      </c>
      <c r="B288" s="4" t="s">
        <v>436</v>
      </c>
      <c r="C288" s="4" t="s">
        <v>93</v>
      </c>
      <c r="D288" s="20">
        <v>3.6</v>
      </c>
      <c r="E288" s="4">
        <v>11755</v>
      </c>
      <c r="F288" s="4">
        <v>2017</v>
      </c>
      <c r="G288" s="21" t="str">
        <f t="shared" si="16"/>
        <v>Not Popular</v>
      </c>
      <c r="H288" s="21" t="str">
        <f t="shared" si="17"/>
        <v>Action or Drama</v>
      </c>
      <c r="I288" s="21" t="str">
        <f t="shared" si="18"/>
        <v>Not Comedy</v>
      </c>
      <c r="J288" s="21" t="str">
        <f t="shared" si="19"/>
        <v>Old</v>
      </c>
    </row>
    <row r="289" spans="1:10" x14ac:dyDescent="0.35">
      <c r="A289" s="4" t="s">
        <v>2160</v>
      </c>
      <c r="B289" s="4" t="s">
        <v>2161</v>
      </c>
      <c r="C289" s="4" t="s">
        <v>11</v>
      </c>
      <c r="D289" s="20">
        <v>5.2</v>
      </c>
      <c r="E289" s="4">
        <v>56722</v>
      </c>
      <c r="F289" s="4">
        <v>2017</v>
      </c>
      <c r="G289" s="21" t="str">
        <f t="shared" si="16"/>
        <v>Popular</v>
      </c>
      <c r="H289" s="21" t="str">
        <f t="shared" si="17"/>
        <v>Other</v>
      </c>
      <c r="I289" s="21" t="str">
        <f t="shared" si="18"/>
        <v>Comedy</v>
      </c>
      <c r="J289" s="21" t="str">
        <f t="shared" si="19"/>
        <v>Old</v>
      </c>
    </row>
    <row r="290" spans="1:10" x14ac:dyDescent="0.35">
      <c r="A290" s="4" t="s">
        <v>947</v>
      </c>
      <c r="B290" s="4" t="s">
        <v>948</v>
      </c>
      <c r="C290" s="4" t="s">
        <v>565</v>
      </c>
      <c r="D290" s="20">
        <v>4.5</v>
      </c>
      <c r="E290" s="4">
        <v>43887</v>
      </c>
      <c r="F290" s="4">
        <v>2017</v>
      </c>
      <c r="G290" s="21" t="str">
        <f t="shared" si="16"/>
        <v>Not Popular</v>
      </c>
      <c r="H290" s="21" t="str">
        <f t="shared" si="17"/>
        <v>Action or Drama</v>
      </c>
      <c r="I290" s="21" t="str">
        <f t="shared" si="18"/>
        <v>Not Comedy</v>
      </c>
      <c r="J290" s="21" t="str">
        <f t="shared" si="19"/>
        <v>Old</v>
      </c>
    </row>
    <row r="291" spans="1:10" x14ac:dyDescent="0.35">
      <c r="A291" s="4" t="s">
        <v>6</v>
      </c>
      <c r="B291" s="4" t="s">
        <v>7</v>
      </c>
      <c r="C291" s="4" t="s">
        <v>8</v>
      </c>
      <c r="D291" s="20">
        <v>1</v>
      </c>
      <c r="E291" s="4">
        <v>74167</v>
      </c>
      <c r="F291" s="4">
        <v>2017</v>
      </c>
      <c r="G291" s="21" t="str">
        <f t="shared" si="16"/>
        <v>Not Popular</v>
      </c>
      <c r="H291" s="21" t="str">
        <f t="shared" si="17"/>
        <v>Action or Drama</v>
      </c>
      <c r="I291" s="21" t="str">
        <f t="shared" si="18"/>
        <v>Not Comedy</v>
      </c>
      <c r="J291" s="21" t="str">
        <f t="shared" si="19"/>
        <v>Old</v>
      </c>
    </row>
    <row r="292" spans="1:10" x14ac:dyDescent="0.35">
      <c r="A292" s="4" t="s">
        <v>353</v>
      </c>
      <c r="B292" s="4" t="s">
        <v>354</v>
      </c>
      <c r="C292" s="4" t="s">
        <v>11</v>
      </c>
      <c r="D292" s="20">
        <v>3.4</v>
      </c>
      <c r="E292" s="4">
        <v>18370</v>
      </c>
      <c r="F292" s="4">
        <v>2017</v>
      </c>
      <c r="G292" s="21" t="str">
        <f t="shared" si="16"/>
        <v>Not Popular</v>
      </c>
      <c r="H292" s="21" t="str">
        <f t="shared" si="17"/>
        <v>Other</v>
      </c>
      <c r="I292" s="21" t="str">
        <f t="shared" si="18"/>
        <v>Comedy</v>
      </c>
      <c r="J292" s="21" t="str">
        <f t="shared" si="19"/>
        <v>Old</v>
      </c>
    </row>
    <row r="293" spans="1:10" x14ac:dyDescent="0.35">
      <c r="A293" s="4" t="s">
        <v>1825</v>
      </c>
      <c r="B293" s="4" t="s">
        <v>1826</v>
      </c>
      <c r="C293" s="4" t="s">
        <v>709</v>
      </c>
      <c r="D293" s="20">
        <v>5</v>
      </c>
      <c r="E293" s="4">
        <v>11416</v>
      </c>
      <c r="F293" s="4">
        <v>2017</v>
      </c>
      <c r="G293" s="21" t="str">
        <f t="shared" si="16"/>
        <v>Not Popular</v>
      </c>
      <c r="H293" s="21" t="str">
        <f t="shared" si="17"/>
        <v>Action or Drama</v>
      </c>
      <c r="I293" s="21" t="str">
        <f t="shared" si="18"/>
        <v>Not Comedy</v>
      </c>
      <c r="J293" s="21" t="str">
        <f t="shared" si="19"/>
        <v>Old</v>
      </c>
    </row>
    <row r="294" spans="1:10" x14ac:dyDescent="0.35">
      <c r="A294" s="4" t="s">
        <v>1745</v>
      </c>
      <c r="B294" s="4" t="s">
        <v>1746</v>
      </c>
      <c r="C294" s="4" t="s">
        <v>352</v>
      </c>
      <c r="D294" s="20">
        <v>5</v>
      </c>
      <c r="E294" s="4">
        <v>28881</v>
      </c>
      <c r="F294" s="4">
        <v>2017</v>
      </c>
      <c r="G294" s="21" t="str">
        <f t="shared" si="16"/>
        <v>Not Popular</v>
      </c>
      <c r="H294" s="21" t="str">
        <f t="shared" si="17"/>
        <v>Horror or Thriller</v>
      </c>
      <c r="I294" s="21" t="str">
        <f t="shared" si="18"/>
        <v>Not Comedy</v>
      </c>
      <c r="J294" s="21" t="str">
        <f t="shared" si="19"/>
        <v>Old</v>
      </c>
    </row>
    <row r="295" spans="1:10" x14ac:dyDescent="0.35">
      <c r="A295" s="4" t="s">
        <v>433</v>
      </c>
      <c r="B295" s="4" t="s">
        <v>434</v>
      </c>
      <c r="C295" s="4" t="s">
        <v>181</v>
      </c>
      <c r="D295" s="20">
        <v>3.6</v>
      </c>
      <c r="E295" s="4">
        <v>11928</v>
      </c>
      <c r="F295" s="4">
        <v>2017</v>
      </c>
      <c r="G295" s="21" t="str">
        <f t="shared" si="16"/>
        <v>Not Popular</v>
      </c>
      <c r="H295" s="21" t="str">
        <f t="shared" si="17"/>
        <v>Action or Drama</v>
      </c>
      <c r="I295" s="21" t="str">
        <f t="shared" si="18"/>
        <v>Comedy</v>
      </c>
      <c r="J295" s="21" t="str">
        <f t="shared" si="19"/>
        <v>Old</v>
      </c>
    </row>
    <row r="296" spans="1:10" x14ac:dyDescent="0.35">
      <c r="A296" s="4" t="s">
        <v>550</v>
      </c>
      <c r="B296" s="4" t="s">
        <v>551</v>
      </c>
      <c r="C296" s="4" t="s">
        <v>76</v>
      </c>
      <c r="D296" s="20">
        <v>3.9</v>
      </c>
      <c r="E296" s="4">
        <v>25083</v>
      </c>
      <c r="F296" s="4">
        <v>2017</v>
      </c>
      <c r="G296" s="21" t="str">
        <f t="shared" si="16"/>
        <v>Not Popular</v>
      </c>
      <c r="H296" s="21" t="str">
        <f t="shared" si="17"/>
        <v>Horror or Thriller</v>
      </c>
      <c r="I296" s="21" t="str">
        <f t="shared" si="18"/>
        <v>Not Comedy</v>
      </c>
      <c r="J296" s="21" t="str">
        <f t="shared" si="19"/>
        <v>Old</v>
      </c>
    </row>
    <row r="297" spans="1:10" x14ac:dyDescent="0.35">
      <c r="A297" s="4" t="s">
        <v>1953</v>
      </c>
      <c r="B297" s="4" t="s">
        <v>1954</v>
      </c>
      <c r="C297" s="4" t="s">
        <v>128</v>
      </c>
      <c r="D297" s="20">
        <v>5.0999999999999996</v>
      </c>
      <c r="E297" s="4">
        <v>23205</v>
      </c>
      <c r="F297" s="4">
        <v>2017</v>
      </c>
      <c r="G297" s="21" t="str">
        <f t="shared" si="16"/>
        <v>Popular</v>
      </c>
      <c r="H297" s="21" t="str">
        <f t="shared" si="17"/>
        <v>Action or Drama</v>
      </c>
      <c r="I297" s="21" t="str">
        <f t="shared" si="18"/>
        <v>Comedy</v>
      </c>
      <c r="J297" s="21" t="str">
        <f t="shared" si="19"/>
        <v>Old</v>
      </c>
    </row>
    <row r="298" spans="1:10" x14ac:dyDescent="0.35">
      <c r="A298" s="4" t="s">
        <v>1583</v>
      </c>
      <c r="B298" s="4" t="s">
        <v>1584</v>
      </c>
      <c r="C298" s="4" t="s">
        <v>163</v>
      </c>
      <c r="D298" s="20">
        <v>4.9000000000000004</v>
      </c>
      <c r="E298" s="4">
        <v>29336</v>
      </c>
      <c r="F298" s="4">
        <v>2017</v>
      </c>
      <c r="G298" s="21" t="str">
        <f t="shared" si="16"/>
        <v>Not Popular</v>
      </c>
      <c r="H298" s="21" t="str">
        <f t="shared" si="17"/>
        <v>Action or Drama</v>
      </c>
      <c r="I298" s="21" t="str">
        <f t="shared" si="18"/>
        <v>Not Comedy</v>
      </c>
      <c r="J298" s="21" t="str">
        <f t="shared" si="19"/>
        <v>Old</v>
      </c>
    </row>
    <row r="299" spans="1:10" x14ac:dyDescent="0.35">
      <c r="A299" s="4" t="s">
        <v>1837</v>
      </c>
      <c r="B299" s="4" t="s">
        <v>1838</v>
      </c>
      <c r="C299" s="4" t="s">
        <v>169</v>
      </c>
      <c r="D299" s="20">
        <v>5</v>
      </c>
      <c r="E299" s="4">
        <v>11097</v>
      </c>
      <c r="F299" s="4">
        <v>2017</v>
      </c>
      <c r="G299" s="21" t="str">
        <f t="shared" si="16"/>
        <v>Not Popular</v>
      </c>
      <c r="H299" s="21" t="str">
        <f t="shared" si="17"/>
        <v>Action or Drama</v>
      </c>
      <c r="I299" s="21" t="str">
        <f t="shared" si="18"/>
        <v>Comedy</v>
      </c>
      <c r="J299" s="21" t="str">
        <f t="shared" si="19"/>
        <v>Old</v>
      </c>
    </row>
    <row r="300" spans="1:10" x14ac:dyDescent="0.35">
      <c r="A300" s="4" t="s">
        <v>2164</v>
      </c>
      <c r="B300" s="4" t="s">
        <v>2165</v>
      </c>
      <c r="C300" s="4" t="s">
        <v>565</v>
      </c>
      <c r="D300" s="20">
        <v>5.2</v>
      </c>
      <c r="E300" s="4">
        <v>51830</v>
      </c>
      <c r="F300" s="4">
        <v>2017</v>
      </c>
      <c r="G300" s="21" t="str">
        <f t="shared" si="16"/>
        <v>Popular</v>
      </c>
      <c r="H300" s="21" t="str">
        <f t="shared" si="17"/>
        <v>Action or Drama</v>
      </c>
      <c r="I300" s="21" t="str">
        <f t="shared" si="18"/>
        <v>Not Comedy</v>
      </c>
      <c r="J300" s="21" t="str">
        <f t="shared" si="19"/>
        <v>Old</v>
      </c>
    </row>
    <row r="301" spans="1:10" x14ac:dyDescent="0.35">
      <c r="A301" s="4" t="s">
        <v>1809</v>
      </c>
      <c r="B301" s="4" t="s">
        <v>1810</v>
      </c>
      <c r="C301" s="4" t="s">
        <v>294</v>
      </c>
      <c r="D301" s="20">
        <v>5</v>
      </c>
      <c r="E301" s="4">
        <v>12582</v>
      </c>
      <c r="F301" s="4">
        <v>2017</v>
      </c>
      <c r="G301" s="21" t="str">
        <f t="shared" si="16"/>
        <v>Not Popular</v>
      </c>
      <c r="H301" s="21" t="str">
        <f t="shared" si="17"/>
        <v>Action or Drama</v>
      </c>
      <c r="I301" s="21" t="str">
        <f t="shared" si="18"/>
        <v>Not Comedy</v>
      </c>
      <c r="J301" s="21" t="str">
        <f t="shared" si="19"/>
        <v>Old</v>
      </c>
    </row>
    <row r="302" spans="1:10" x14ac:dyDescent="0.35">
      <c r="A302" s="4" t="s">
        <v>1027</v>
      </c>
      <c r="B302" s="4" t="s">
        <v>1028</v>
      </c>
      <c r="C302" s="4" t="s">
        <v>933</v>
      </c>
      <c r="D302" s="20">
        <v>4.5999999999999996</v>
      </c>
      <c r="E302" s="4">
        <v>114344</v>
      </c>
      <c r="F302" s="4">
        <v>2017</v>
      </c>
      <c r="G302" s="21" t="str">
        <f t="shared" si="16"/>
        <v>Not Popular</v>
      </c>
      <c r="H302" s="21" t="str">
        <f t="shared" si="17"/>
        <v>Action or Drama</v>
      </c>
      <c r="I302" s="21" t="str">
        <f t="shared" si="18"/>
        <v>Not Comedy</v>
      </c>
      <c r="J302" s="21" t="str">
        <f t="shared" si="19"/>
        <v>Old</v>
      </c>
    </row>
    <row r="303" spans="1:10" x14ac:dyDescent="0.35">
      <c r="A303" s="4" t="s">
        <v>726</v>
      </c>
      <c r="B303" s="4" t="s">
        <v>727</v>
      </c>
      <c r="C303" s="4" t="s">
        <v>82</v>
      </c>
      <c r="D303" s="20">
        <v>4.2</v>
      </c>
      <c r="E303" s="4">
        <v>14288</v>
      </c>
      <c r="F303" s="4">
        <v>2017</v>
      </c>
      <c r="G303" s="21" t="str">
        <f t="shared" si="16"/>
        <v>Not Popular</v>
      </c>
      <c r="H303" s="21" t="str">
        <f t="shared" si="17"/>
        <v>Horror or Thriller</v>
      </c>
      <c r="I303" s="21" t="str">
        <f t="shared" si="18"/>
        <v>Not Comedy</v>
      </c>
      <c r="J303" s="21" t="str">
        <f t="shared" si="19"/>
        <v>Old</v>
      </c>
    </row>
    <row r="304" spans="1:10" x14ac:dyDescent="0.35">
      <c r="A304" s="4" t="s">
        <v>813</v>
      </c>
      <c r="B304" s="4" t="s">
        <v>814</v>
      </c>
      <c r="C304" s="4" t="s">
        <v>217</v>
      </c>
      <c r="D304" s="20">
        <v>4.3</v>
      </c>
      <c r="E304" s="4">
        <v>11363</v>
      </c>
      <c r="F304" s="4">
        <v>2017</v>
      </c>
      <c r="G304" s="21" t="str">
        <f t="shared" si="16"/>
        <v>Not Popular</v>
      </c>
      <c r="H304" s="21" t="str">
        <f t="shared" si="17"/>
        <v>Other</v>
      </c>
      <c r="I304" s="21" t="str">
        <f t="shared" si="18"/>
        <v>Comedy</v>
      </c>
      <c r="J304" s="21" t="str">
        <f t="shared" si="19"/>
        <v>Old</v>
      </c>
    </row>
    <row r="305" spans="1:10" x14ac:dyDescent="0.35">
      <c r="A305" s="4" t="s">
        <v>924</v>
      </c>
      <c r="B305" s="4" t="s">
        <v>925</v>
      </c>
      <c r="C305" s="4" t="s">
        <v>926</v>
      </c>
      <c r="D305" s="20">
        <v>4.5</v>
      </c>
      <c r="E305" s="4">
        <v>91834</v>
      </c>
      <c r="F305" s="4">
        <v>2017</v>
      </c>
      <c r="G305" s="21" t="str">
        <f t="shared" si="16"/>
        <v>Not Popular</v>
      </c>
      <c r="H305" s="21" t="str">
        <f t="shared" si="17"/>
        <v>Action or Drama</v>
      </c>
      <c r="I305" s="21" t="str">
        <f t="shared" si="18"/>
        <v>Not Comedy</v>
      </c>
      <c r="J305" s="21" t="str">
        <f t="shared" si="19"/>
        <v>Old</v>
      </c>
    </row>
    <row r="306" spans="1:10" x14ac:dyDescent="0.35">
      <c r="A306" s="4" t="s">
        <v>393</v>
      </c>
      <c r="B306" s="4" t="s">
        <v>394</v>
      </c>
      <c r="C306" s="4" t="s">
        <v>395</v>
      </c>
      <c r="D306" s="20">
        <v>3.5</v>
      </c>
      <c r="E306" s="4">
        <v>12616</v>
      </c>
      <c r="F306" s="4">
        <v>2017</v>
      </c>
      <c r="G306" s="21" t="str">
        <f t="shared" si="16"/>
        <v>Not Popular</v>
      </c>
      <c r="H306" s="21" t="str">
        <f t="shared" si="17"/>
        <v>Action or Drama</v>
      </c>
      <c r="I306" s="21" t="str">
        <f t="shared" si="18"/>
        <v>Not Comedy</v>
      </c>
      <c r="J306" s="21" t="str">
        <f t="shared" si="19"/>
        <v>Old</v>
      </c>
    </row>
    <row r="307" spans="1:10" x14ac:dyDescent="0.35">
      <c r="A307" s="4" t="s">
        <v>9</v>
      </c>
      <c r="B307" s="4" t="s">
        <v>10</v>
      </c>
      <c r="C307" s="4" t="s">
        <v>11</v>
      </c>
      <c r="D307" s="20">
        <v>1</v>
      </c>
      <c r="E307" s="4">
        <v>39466</v>
      </c>
      <c r="F307" s="4">
        <v>2017</v>
      </c>
      <c r="G307" s="21" t="str">
        <f t="shared" si="16"/>
        <v>Not Popular</v>
      </c>
      <c r="H307" s="21" t="str">
        <f t="shared" si="17"/>
        <v>Other</v>
      </c>
      <c r="I307" s="21" t="str">
        <f t="shared" si="18"/>
        <v>Comedy</v>
      </c>
      <c r="J307" s="21" t="str">
        <f t="shared" si="19"/>
        <v>Old</v>
      </c>
    </row>
    <row r="308" spans="1:10" x14ac:dyDescent="0.35">
      <c r="A308" s="4" t="s">
        <v>370</v>
      </c>
      <c r="B308" s="4" t="s">
        <v>371</v>
      </c>
      <c r="C308" s="4" t="s">
        <v>26</v>
      </c>
      <c r="D308" s="20">
        <v>3.5</v>
      </c>
      <c r="E308" s="4">
        <v>33641</v>
      </c>
      <c r="F308" s="4">
        <v>2017</v>
      </c>
      <c r="G308" s="21" t="str">
        <f t="shared" si="16"/>
        <v>Not Popular</v>
      </c>
      <c r="H308" s="21" t="str">
        <f t="shared" si="17"/>
        <v>Action or Drama</v>
      </c>
      <c r="I308" s="21" t="str">
        <f t="shared" si="18"/>
        <v>Not Comedy</v>
      </c>
      <c r="J308" s="21" t="str">
        <f t="shared" si="19"/>
        <v>Old</v>
      </c>
    </row>
    <row r="309" spans="1:10" x14ac:dyDescent="0.35">
      <c r="A309" s="4" t="s">
        <v>315</v>
      </c>
      <c r="B309" s="4" t="s">
        <v>316</v>
      </c>
      <c r="C309" s="4" t="s">
        <v>11</v>
      </c>
      <c r="D309" s="20">
        <v>3.2</v>
      </c>
      <c r="E309" s="4">
        <v>10677</v>
      </c>
      <c r="F309" s="4">
        <v>2017</v>
      </c>
      <c r="G309" s="21" t="str">
        <f t="shared" si="16"/>
        <v>Not Popular</v>
      </c>
      <c r="H309" s="21" t="str">
        <f t="shared" si="17"/>
        <v>Other</v>
      </c>
      <c r="I309" s="21" t="str">
        <f t="shared" si="18"/>
        <v>Comedy</v>
      </c>
      <c r="J309" s="21" t="str">
        <f t="shared" si="19"/>
        <v>Old</v>
      </c>
    </row>
    <row r="310" spans="1:10" x14ac:dyDescent="0.35">
      <c r="A310" s="4" t="s">
        <v>1440</v>
      </c>
      <c r="B310" s="4" t="s">
        <v>1441</v>
      </c>
      <c r="C310" s="4" t="s">
        <v>82</v>
      </c>
      <c r="D310" s="20">
        <v>4.8</v>
      </c>
      <c r="E310" s="4">
        <v>15866</v>
      </c>
      <c r="F310" s="4">
        <v>2017</v>
      </c>
      <c r="G310" s="21" t="str">
        <f t="shared" si="16"/>
        <v>Not Popular</v>
      </c>
      <c r="H310" s="21" t="str">
        <f t="shared" si="17"/>
        <v>Horror or Thriller</v>
      </c>
      <c r="I310" s="21" t="str">
        <f t="shared" si="18"/>
        <v>Not Comedy</v>
      </c>
      <c r="J310" s="21" t="str">
        <f t="shared" si="19"/>
        <v>Old</v>
      </c>
    </row>
    <row r="311" spans="1:10" x14ac:dyDescent="0.35">
      <c r="A311" s="4" t="s">
        <v>1165</v>
      </c>
      <c r="B311" s="4" t="s">
        <v>1166</v>
      </c>
      <c r="C311" s="4" t="s">
        <v>178</v>
      </c>
      <c r="D311" s="20">
        <v>4.7</v>
      </c>
      <c r="E311" s="4">
        <v>77401</v>
      </c>
      <c r="F311" s="4">
        <v>2016</v>
      </c>
      <c r="G311" s="21" t="str">
        <f t="shared" si="16"/>
        <v>Not Popular</v>
      </c>
      <c r="H311" s="21" t="str">
        <f t="shared" si="17"/>
        <v>Action or Drama</v>
      </c>
      <c r="I311" s="21" t="str">
        <f t="shared" si="18"/>
        <v>Comedy</v>
      </c>
      <c r="J311" s="21" t="str">
        <f t="shared" si="19"/>
        <v>Old</v>
      </c>
    </row>
    <row r="312" spans="1:10" x14ac:dyDescent="0.35">
      <c r="A312" s="4" t="s">
        <v>798</v>
      </c>
      <c r="B312" s="4" t="s">
        <v>799</v>
      </c>
      <c r="C312" s="4" t="s">
        <v>169</v>
      </c>
      <c r="D312" s="20">
        <v>4.3</v>
      </c>
      <c r="E312" s="4">
        <v>15799</v>
      </c>
      <c r="F312" s="4">
        <v>2016</v>
      </c>
      <c r="G312" s="21" t="str">
        <f t="shared" si="16"/>
        <v>Not Popular</v>
      </c>
      <c r="H312" s="21" t="str">
        <f t="shared" si="17"/>
        <v>Action or Drama</v>
      </c>
      <c r="I312" s="21" t="str">
        <f t="shared" si="18"/>
        <v>Comedy</v>
      </c>
      <c r="J312" s="21" t="str">
        <f t="shared" si="19"/>
        <v>Old</v>
      </c>
    </row>
    <row r="313" spans="1:10" x14ac:dyDescent="0.35">
      <c r="A313" s="4" t="s">
        <v>1343</v>
      </c>
      <c r="B313" s="4" t="s">
        <v>1344</v>
      </c>
      <c r="C313" s="4" t="s">
        <v>175</v>
      </c>
      <c r="D313" s="20">
        <v>4.8</v>
      </c>
      <c r="E313" s="4">
        <v>46299</v>
      </c>
      <c r="F313" s="4">
        <v>2016</v>
      </c>
      <c r="G313" s="21" t="str">
        <f t="shared" si="16"/>
        <v>Not Popular</v>
      </c>
      <c r="H313" s="21" t="str">
        <f t="shared" si="17"/>
        <v>Horror or Thriller</v>
      </c>
      <c r="I313" s="21" t="str">
        <f t="shared" si="18"/>
        <v>Not Comedy</v>
      </c>
      <c r="J313" s="21" t="str">
        <f t="shared" si="19"/>
        <v>Old</v>
      </c>
    </row>
    <row r="314" spans="1:10" x14ac:dyDescent="0.35">
      <c r="A314" s="4" t="s">
        <v>582</v>
      </c>
      <c r="B314" s="4" t="s">
        <v>583</v>
      </c>
      <c r="C314" s="4" t="s">
        <v>584</v>
      </c>
      <c r="D314" s="20">
        <v>3.9</v>
      </c>
      <c r="E314" s="4">
        <v>10882</v>
      </c>
      <c r="F314" s="4">
        <v>2016</v>
      </c>
      <c r="G314" s="21" t="str">
        <f t="shared" si="16"/>
        <v>Not Popular</v>
      </c>
      <c r="H314" s="21" t="str">
        <f t="shared" si="17"/>
        <v>Action or Drama</v>
      </c>
      <c r="I314" s="21" t="str">
        <f t="shared" si="18"/>
        <v>Not Comedy</v>
      </c>
      <c r="J314" s="21" t="str">
        <f t="shared" si="19"/>
        <v>Old</v>
      </c>
    </row>
    <row r="315" spans="1:10" x14ac:dyDescent="0.35">
      <c r="A315" s="4" t="s">
        <v>986</v>
      </c>
      <c r="B315" s="4" t="s">
        <v>987</v>
      </c>
      <c r="C315" s="4" t="s">
        <v>82</v>
      </c>
      <c r="D315" s="20">
        <v>4.5</v>
      </c>
      <c r="E315" s="4">
        <v>17302</v>
      </c>
      <c r="F315" s="4">
        <v>2016</v>
      </c>
      <c r="G315" s="21" t="str">
        <f t="shared" si="16"/>
        <v>Not Popular</v>
      </c>
      <c r="H315" s="21" t="str">
        <f t="shared" si="17"/>
        <v>Horror or Thriller</v>
      </c>
      <c r="I315" s="21" t="str">
        <f t="shared" si="18"/>
        <v>Not Comedy</v>
      </c>
      <c r="J315" s="21" t="str">
        <f t="shared" si="19"/>
        <v>Old</v>
      </c>
    </row>
    <row r="316" spans="1:10" x14ac:dyDescent="0.35">
      <c r="A316" s="4" t="s">
        <v>2186</v>
      </c>
      <c r="B316" s="4" t="s">
        <v>2187</v>
      </c>
      <c r="C316" s="4" t="s">
        <v>1778</v>
      </c>
      <c r="D316" s="20">
        <v>5.2</v>
      </c>
      <c r="E316" s="4">
        <v>36196</v>
      </c>
      <c r="F316" s="4">
        <v>2016</v>
      </c>
      <c r="G316" s="21" t="str">
        <f t="shared" si="16"/>
        <v>Popular</v>
      </c>
      <c r="H316" s="21" t="str">
        <f t="shared" si="17"/>
        <v>Action or Drama</v>
      </c>
      <c r="I316" s="21" t="str">
        <f t="shared" si="18"/>
        <v>Not Comedy</v>
      </c>
      <c r="J316" s="21" t="str">
        <f t="shared" si="19"/>
        <v>Old</v>
      </c>
    </row>
    <row r="317" spans="1:10" x14ac:dyDescent="0.35">
      <c r="A317" s="4" t="s">
        <v>2114</v>
      </c>
      <c r="B317" s="4" t="s">
        <v>2115</v>
      </c>
      <c r="C317" s="4" t="s">
        <v>163</v>
      </c>
      <c r="D317" s="20">
        <v>5.2</v>
      </c>
      <c r="E317" s="4">
        <v>119294</v>
      </c>
      <c r="F317" s="4">
        <v>2016</v>
      </c>
      <c r="G317" s="21" t="str">
        <f t="shared" si="16"/>
        <v>Popular</v>
      </c>
      <c r="H317" s="21" t="str">
        <f t="shared" si="17"/>
        <v>Action or Drama</v>
      </c>
      <c r="I317" s="21" t="str">
        <f t="shared" si="18"/>
        <v>Not Comedy</v>
      </c>
      <c r="J317" s="21" t="str">
        <f t="shared" si="19"/>
        <v>Old</v>
      </c>
    </row>
    <row r="318" spans="1:10" x14ac:dyDescent="0.35">
      <c r="A318" s="4" t="s">
        <v>29</v>
      </c>
      <c r="B318" s="4" t="s">
        <v>30</v>
      </c>
      <c r="C318" s="4" t="s">
        <v>31</v>
      </c>
      <c r="D318" s="20">
        <v>1.2</v>
      </c>
      <c r="E318" s="4">
        <v>40233</v>
      </c>
      <c r="F318" s="4">
        <v>2016</v>
      </c>
      <c r="G318" s="21" t="str">
        <f t="shared" si="16"/>
        <v>Not Popular</v>
      </c>
      <c r="H318" s="21" t="str">
        <f t="shared" si="17"/>
        <v>Action or Drama</v>
      </c>
      <c r="I318" s="21" t="str">
        <f t="shared" si="18"/>
        <v>Not Comedy</v>
      </c>
      <c r="J318" s="21" t="str">
        <f t="shared" si="19"/>
        <v>Old</v>
      </c>
    </row>
    <row r="319" spans="1:10" x14ac:dyDescent="0.35">
      <c r="A319" s="4" t="s">
        <v>1456</v>
      </c>
      <c r="B319" s="4" t="s">
        <v>1457</v>
      </c>
      <c r="C319" s="4" t="s">
        <v>565</v>
      </c>
      <c r="D319" s="20">
        <v>4.8</v>
      </c>
      <c r="E319" s="4">
        <v>15180</v>
      </c>
      <c r="F319" s="4">
        <v>2016</v>
      </c>
      <c r="G319" s="21" t="str">
        <f t="shared" si="16"/>
        <v>Not Popular</v>
      </c>
      <c r="H319" s="21" t="str">
        <f t="shared" si="17"/>
        <v>Action or Drama</v>
      </c>
      <c r="I319" s="21" t="str">
        <f t="shared" si="18"/>
        <v>Not Comedy</v>
      </c>
      <c r="J319" s="21" t="str">
        <f t="shared" si="19"/>
        <v>Old</v>
      </c>
    </row>
    <row r="320" spans="1:10" x14ac:dyDescent="0.35">
      <c r="A320" s="4" t="s">
        <v>1158</v>
      </c>
      <c r="B320" s="4" t="s">
        <v>1159</v>
      </c>
      <c r="C320" s="4" t="s">
        <v>1160</v>
      </c>
      <c r="D320" s="20">
        <v>4.5999999999999996</v>
      </c>
      <c r="E320" s="4">
        <v>10007</v>
      </c>
      <c r="F320" s="4">
        <v>2016</v>
      </c>
      <c r="G320" s="21" t="str">
        <f t="shared" si="16"/>
        <v>Not Popular</v>
      </c>
      <c r="H320" s="21" t="str">
        <f t="shared" si="17"/>
        <v>Action or Drama</v>
      </c>
      <c r="I320" s="21" t="str">
        <f t="shared" si="18"/>
        <v>Comedy</v>
      </c>
      <c r="J320" s="21" t="str">
        <f t="shared" si="19"/>
        <v>Old</v>
      </c>
    </row>
    <row r="321" spans="1:10" x14ac:dyDescent="0.35">
      <c r="A321" s="4" t="s">
        <v>364</v>
      </c>
      <c r="B321" s="4" t="s">
        <v>365</v>
      </c>
      <c r="C321" s="4" t="s">
        <v>65</v>
      </c>
      <c r="D321" s="20">
        <v>3.4</v>
      </c>
      <c r="E321" s="4">
        <v>10288</v>
      </c>
      <c r="F321" s="4">
        <v>2016</v>
      </c>
      <c r="G321" s="21" t="str">
        <f t="shared" si="16"/>
        <v>Not Popular</v>
      </c>
      <c r="H321" s="21" t="str">
        <f t="shared" si="17"/>
        <v>Other</v>
      </c>
      <c r="I321" s="21" t="str">
        <f t="shared" si="18"/>
        <v>Comedy</v>
      </c>
      <c r="J321" s="21" t="str">
        <f t="shared" si="19"/>
        <v>Old</v>
      </c>
    </row>
    <row r="322" spans="1:10" x14ac:dyDescent="0.35">
      <c r="A322" s="4" t="s">
        <v>1359</v>
      </c>
      <c r="B322" s="4" t="s">
        <v>1360</v>
      </c>
      <c r="C322" s="4" t="s">
        <v>211</v>
      </c>
      <c r="D322" s="20">
        <v>4.8</v>
      </c>
      <c r="E322" s="4">
        <v>38080</v>
      </c>
      <c r="F322" s="4">
        <v>2016</v>
      </c>
      <c r="G322" s="21" t="str">
        <f t="shared" si="16"/>
        <v>Not Popular</v>
      </c>
      <c r="H322" s="21" t="str">
        <f t="shared" si="17"/>
        <v>Horror or Thriller</v>
      </c>
      <c r="I322" s="21" t="str">
        <f t="shared" si="18"/>
        <v>Comedy</v>
      </c>
      <c r="J322" s="21" t="str">
        <f t="shared" si="19"/>
        <v>Old</v>
      </c>
    </row>
    <row r="323" spans="1:10" x14ac:dyDescent="0.35">
      <c r="A323" s="4" t="s">
        <v>1084</v>
      </c>
      <c r="B323" s="4" t="s">
        <v>1085</v>
      </c>
      <c r="C323" s="4" t="s">
        <v>166</v>
      </c>
      <c r="D323" s="20">
        <v>4.5999999999999996</v>
      </c>
      <c r="E323" s="4">
        <v>20856</v>
      </c>
      <c r="F323" s="4">
        <v>2016</v>
      </c>
      <c r="G323" s="21" t="str">
        <f t="shared" ref="G323:G386" si="20">IF(AND(D323&gt;5, E323&gt;1000), "Popular", "Not Popular")</f>
        <v>Not Popular</v>
      </c>
      <c r="H323" s="21" t="str">
        <f t="shared" ref="H323:H386" si="21">IF(OR(ISNUMBER(SEARCH("Action", C323)), ISNUMBER(SEARCH("Drama", C323))), "Action or Drama", IF(OR(ISNUMBER(SEARCH("Horror", C323)), ISNUMBER(SEARCH("Thriller", C323))), "Horror or Thriller", "Other"))</f>
        <v>Action or Drama</v>
      </c>
      <c r="I323" s="21" t="str">
        <f t="shared" ref="I323:I386" si="22">IF(NOT(ISNUMBER(SEARCH("Comedy", C323))), "Not Comedy", "Comedy")</f>
        <v>Not Comedy</v>
      </c>
      <c r="J323" s="21" t="str">
        <f t="shared" ref="J323:J386" si="23">IF(F323&gt;2020, "Recent", "Old")</f>
        <v>Old</v>
      </c>
    </row>
    <row r="324" spans="1:10" x14ac:dyDescent="0.35">
      <c r="A324" s="4" t="s">
        <v>1649</v>
      </c>
      <c r="B324" s="4" t="s">
        <v>1650</v>
      </c>
      <c r="C324" s="4" t="s">
        <v>56</v>
      </c>
      <c r="D324" s="20">
        <v>4.9000000000000004</v>
      </c>
      <c r="E324" s="4">
        <v>12353</v>
      </c>
      <c r="F324" s="4">
        <v>2016</v>
      </c>
      <c r="G324" s="21" t="str">
        <f t="shared" si="20"/>
        <v>Not Popular</v>
      </c>
      <c r="H324" s="21" t="str">
        <f t="shared" si="21"/>
        <v>Action or Drama</v>
      </c>
      <c r="I324" s="21" t="str">
        <f t="shared" si="22"/>
        <v>Not Comedy</v>
      </c>
      <c r="J324" s="21" t="str">
        <f t="shared" si="23"/>
        <v>Old</v>
      </c>
    </row>
    <row r="325" spans="1:10" x14ac:dyDescent="0.35">
      <c r="A325" s="4" t="s">
        <v>2104</v>
      </c>
      <c r="B325" s="4" t="s">
        <v>2105</v>
      </c>
      <c r="C325" s="4" t="s">
        <v>163</v>
      </c>
      <c r="D325" s="20">
        <v>5.2</v>
      </c>
      <c r="E325" s="4">
        <v>192018</v>
      </c>
      <c r="F325" s="4">
        <v>2016</v>
      </c>
      <c r="G325" s="21" t="str">
        <f t="shared" si="20"/>
        <v>Popular</v>
      </c>
      <c r="H325" s="21" t="str">
        <f t="shared" si="21"/>
        <v>Action or Drama</v>
      </c>
      <c r="I325" s="21" t="str">
        <f t="shared" si="22"/>
        <v>Not Comedy</v>
      </c>
      <c r="J325" s="21" t="str">
        <f t="shared" si="23"/>
        <v>Old</v>
      </c>
    </row>
    <row r="326" spans="1:10" x14ac:dyDescent="0.35">
      <c r="A326" s="4" t="s">
        <v>1107</v>
      </c>
      <c r="B326" s="4" t="s">
        <v>1108</v>
      </c>
      <c r="C326" s="4" t="s">
        <v>565</v>
      </c>
      <c r="D326" s="20">
        <v>4.5999999999999996</v>
      </c>
      <c r="E326" s="4">
        <v>16725</v>
      </c>
      <c r="F326" s="4">
        <v>2016</v>
      </c>
      <c r="G326" s="21" t="str">
        <f t="shared" si="20"/>
        <v>Not Popular</v>
      </c>
      <c r="H326" s="21" t="str">
        <f t="shared" si="21"/>
        <v>Action or Drama</v>
      </c>
      <c r="I326" s="21" t="str">
        <f t="shared" si="22"/>
        <v>Not Comedy</v>
      </c>
      <c r="J326" s="21" t="str">
        <f t="shared" si="23"/>
        <v>Old</v>
      </c>
    </row>
    <row r="327" spans="1:10" x14ac:dyDescent="0.35">
      <c r="A327" s="4" t="s">
        <v>1663</v>
      </c>
      <c r="B327" s="4" t="s">
        <v>1664</v>
      </c>
      <c r="C327" s="4" t="s">
        <v>181</v>
      </c>
      <c r="D327" s="20">
        <v>4.9000000000000004</v>
      </c>
      <c r="E327" s="4">
        <v>11121</v>
      </c>
      <c r="F327" s="4">
        <v>2016</v>
      </c>
      <c r="G327" s="21" t="str">
        <f t="shared" si="20"/>
        <v>Not Popular</v>
      </c>
      <c r="H327" s="21" t="str">
        <f t="shared" si="21"/>
        <v>Action or Drama</v>
      </c>
      <c r="I327" s="21" t="str">
        <f t="shared" si="22"/>
        <v>Comedy</v>
      </c>
      <c r="J327" s="21" t="str">
        <f t="shared" si="23"/>
        <v>Old</v>
      </c>
    </row>
    <row r="328" spans="1:10" x14ac:dyDescent="0.35">
      <c r="A328" s="4" t="s">
        <v>2052</v>
      </c>
      <c r="B328" s="4" t="s">
        <v>2053</v>
      </c>
      <c r="C328" s="4" t="s">
        <v>915</v>
      </c>
      <c r="D328" s="20">
        <v>5.0999999999999996</v>
      </c>
      <c r="E328" s="4">
        <v>12010</v>
      </c>
      <c r="F328" s="4">
        <v>2016</v>
      </c>
      <c r="G328" s="21" t="str">
        <f t="shared" si="20"/>
        <v>Popular</v>
      </c>
      <c r="H328" s="21" t="str">
        <f t="shared" si="21"/>
        <v>Horror or Thriller</v>
      </c>
      <c r="I328" s="21" t="str">
        <f t="shared" si="22"/>
        <v>Not Comedy</v>
      </c>
      <c r="J328" s="21" t="str">
        <f t="shared" si="23"/>
        <v>Old</v>
      </c>
    </row>
    <row r="329" spans="1:10" x14ac:dyDescent="0.35">
      <c r="A329" s="4" t="s">
        <v>809</v>
      </c>
      <c r="B329" s="4" t="s">
        <v>810</v>
      </c>
      <c r="C329" s="4" t="s">
        <v>14</v>
      </c>
      <c r="D329" s="20">
        <v>4.3</v>
      </c>
      <c r="E329" s="4">
        <v>13758</v>
      </c>
      <c r="F329" s="4">
        <v>2016</v>
      </c>
      <c r="G329" s="21" t="str">
        <f t="shared" si="20"/>
        <v>Not Popular</v>
      </c>
      <c r="H329" s="21" t="str">
        <f t="shared" si="21"/>
        <v>Action or Drama</v>
      </c>
      <c r="I329" s="21" t="str">
        <f t="shared" si="22"/>
        <v>Not Comedy</v>
      </c>
      <c r="J329" s="21" t="str">
        <f t="shared" si="23"/>
        <v>Old</v>
      </c>
    </row>
    <row r="330" spans="1:10" x14ac:dyDescent="0.35">
      <c r="A330" s="4" t="s">
        <v>377</v>
      </c>
      <c r="B330" s="4" t="s">
        <v>378</v>
      </c>
      <c r="C330" s="4" t="s">
        <v>11</v>
      </c>
      <c r="D330" s="20">
        <v>3.5</v>
      </c>
      <c r="E330" s="4">
        <v>23615</v>
      </c>
      <c r="F330" s="4">
        <v>2016</v>
      </c>
      <c r="G330" s="21" t="str">
        <f t="shared" si="20"/>
        <v>Not Popular</v>
      </c>
      <c r="H330" s="21" t="str">
        <f t="shared" si="21"/>
        <v>Other</v>
      </c>
      <c r="I330" s="21" t="str">
        <f t="shared" si="22"/>
        <v>Comedy</v>
      </c>
      <c r="J330" s="21" t="str">
        <f t="shared" si="23"/>
        <v>Old</v>
      </c>
    </row>
    <row r="331" spans="1:10" x14ac:dyDescent="0.35">
      <c r="A331" s="4" t="s">
        <v>794</v>
      </c>
      <c r="B331" s="4" t="s">
        <v>795</v>
      </c>
      <c r="C331" s="4" t="s">
        <v>508</v>
      </c>
      <c r="D331" s="20">
        <v>4.3</v>
      </c>
      <c r="E331" s="4">
        <v>17161</v>
      </c>
      <c r="F331" s="4">
        <v>2016</v>
      </c>
      <c r="G331" s="21" t="str">
        <f t="shared" si="20"/>
        <v>Not Popular</v>
      </c>
      <c r="H331" s="21" t="str">
        <f t="shared" si="21"/>
        <v>Action or Drama</v>
      </c>
      <c r="I331" s="21" t="str">
        <f t="shared" si="22"/>
        <v>Not Comedy</v>
      </c>
      <c r="J331" s="21" t="str">
        <f t="shared" si="23"/>
        <v>Old</v>
      </c>
    </row>
    <row r="332" spans="1:10" x14ac:dyDescent="0.35">
      <c r="A332" s="4" t="s">
        <v>2018</v>
      </c>
      <c r="B332" s="4" t="s">
        <v>2019</v>
      </c>
      <c r="C332" s="4" t="s">
        <v>400</v>
      </c>
      <c r="D332" s="20">
        <v>5.0999999999999996</v>
      </c>
      <c r="E332" s="4">
        <v>15159</v>
      </c>
      <c r="F332" s="4">
        <v>2016</v>
      </c>
      <c r="G332" s="21" t="str">
        <f t="shared" si="20"/>
        <v>Popular</v>
      </c>
      <c r="H332" s="21" t="str">
        <f t="shared" si="21"/>
        <v>Action or Drama</v>
      </c>
      <c r="I332" s="21" t="str">
        <f t="shared" si="22"/>
        <v>Not Comedy</v>
      </c>
      <c r="J332" s="21" t="str">
        <f t="shared" si="23"/>
        <v>Old</v>
      </c>
    </row>
    <row r="333" spans="1:10" x14ac:dyDescent="0.35">
      <c r="A333" s="4" t="s">
        <v>1086</v>
      </c>
      <c r="B333" s="4" t="s">
        <v>1087</v>
      </c>
      <c r="C333" s="4" t="s">
        <v>508</v>
      </c>
      <c r="D333" s="20">
        <v>4.5999999999999996</v>
      </c>
      <c r="E333" s="4">
        <v>20398</v>
      </c>
      <c r="F333" s="4">
        <v>2016</v>
      </c>
      <c r="G333" s="21" t="str">
        <f t="shared" si="20"/>
        <v>Not Popular</v>
      </c>
      <c r="H333" s="21" t="str">
        <f t="shared" si="21"/>
        <v>Action or Drama</v>
      </c>
      <c r="I333" s="21" t="str">
        <f t="shared" si="22"/>
        <v>Not Comedy</v>
      </c>
      <c r="J333" s="21" t="str">
        <f t="shared" si="23"/>
        <v>Old</v>
      </c>
    </row>
    <row r="334" spans="1:10" x14ac:dyDescent="0.35">
      <c r="A334" s="4" t="s">
        <v>855</v>
      </c>
      <c r="B334" s="4" t="s">
        <v>856</v>
      </c>
      <c r="C334" s="4" t="s">
        <v>122</v>
      </c>
      <c r="D334" s="20">
        <v>4.4000000000000004</v>
      </c>
      <c r="E334" s="4">
        <v>31224</v>
      </c>
      <c r="F334" s="4">
        <v>2016</v>
      </c>
      <c r="G334" s="21" t="str">
        <f t="shared" si="20"/>
        <v>Not Popular</v>
      </c>
      <c r="H334" s="21" t="str">
        <f t="shared" si="21"/>
        <v>Action or Drama</v>
      </c>
      <c r="I334" s="21" t="str">
        <f t="shared" si="22"/>
        <v>Not Comedy</v>
      </c>
      <c r="J334" s="21" t="str">
        <f t="shared" si="23"/>
        <v>Old</v>
      </c>
    </row>
    <row r="335" spans="1:10" x14ac:dyDescent="0.35">
      <c r="A335" s="4" t="s">
        <v>472</v>
      </c>
      <c r="B335" s="4" t="s">
        <v>473</v>
      </c>
      <c r="C335" s="4" t="s">
        <v>474</v>
      </c>
      <c r="D335" s="20">
        <v>3.7</v>
      </c>
      <c r="E335" s="4">
        <v>11416</v>
      </c>
      <c r="F335" s="4">
        <v>2016</v>
      </c>
      <c r="G335" s="21" t="str">
        <f t="shared" si="20"/>
        <v>Not Popular</v>
      </c>
      <c r="H335" s="21" t="str">
        <f t="shared" si="21"/>
        <v>Horror or Thriller</v>
      </c>
      <c r="I335" s="21" t="str">
        <f t="shared" si="22"/>
        <v>Not Comedy</v>
      </c>
      <c r="J335" s="21" t="str">
        <f t="shared" si="23"/>
        <v>Old</v>
      </c>
    </row>
    <row r="336" spans="1:10" x14ac:dyDescent="0.35">
      <c r="A336" s="4" t="s">
        <v>1698</v>
      </c>
      <c r="B336" s="4" t="s">
        <v>1699</v>
      </c>
      <c r="C336" s="4" t="s">
        <v>175</v>
      </c>
      <c r="D336" s="20">
        <v>5</v>
      </c>
      <c r="E336" s="4">
        <v>50760</v>
      </c>
      <c r="F336" s="4">
        <v>2016</v>
      </c>
      <c r="G336" s="21" t="str">
        <f t="shared" si="20"/>
        <v>Not Popular</v>
      </c>
      <c r="H336" s="21" t="str">
        <f t="shared" si="21"/>
        <v>Horror or Thriller</v>
      </c>
      <c r="I336" s="21" t="str">
        <f t="shared" si="22"/>
        <v>Not Comedy</v>
      </c>
      <c r="J336" s="21" t="str">
        <f t="shared" si="23"/>
        <v>Old</v>
      </c>
    </row>
    <row r="337" spans="1:10" x14ac:dyDescent="0.35">
      <c r="A337" s="4" t="s">
        <v>1404</v>
      </c>
      <c r="B337" s="4" t="s">
        <v>1405</v>
      </c>
      <c r="C337" s="4" t="s">
        <v>143</v>
      </c>
      <c r="D337" s="20">
        <v>4.8</v>
      </c>
      <c r="E337" s="4">
        <v>22108</v>
      </c>
      <c r="F337" s="4">
        <v>2016</v>
      </c>
      <c r="G337" s="21" t="str">
        <f t="shared" si="20"/>
        <v>Not Popular</v>
      </c>
      <c r="H337" s="21" t="str">
        <f t="shared" si="21"/>
        <v>Action or Drama</v>
      </c>
      <c r="I337" s="21" t="str">
        <f t="shared" si="22"/>
        <v>Not Comedy</v>
      </c>
      <c r="J337" s="21" t="str">
        <f t="shared" si="23"/>
        <v>Old</v>
      </c>
    </row>
    <row r="338" spans="1:10" x14ac:dyDescent="0.35">
      <c r="A338" s="4" t="s">
        <v>509</v>
      </c>
      <c r="B338" s="4" t="s">
        <v>510</v>
      </c>
      <c r="C338" s="4" t="s">
        <v>93</v>
      </c>
      <c r="D338" s="20">
        <v>3.8</v>
      </c>
      <c r="E338" s="4">
        <v>13397</v>
      </c>
      <c r="F338" s="4">
        <v>2016</v>
      </c>
      <c r="G338" s="21" t="str">
        <f t="shared" si="20"/>
        <v>Not Popular</v>
      </c>
      <c r="H338" s="21" t="str">
        <f t="shared" si="21"/>
        <v>Action or Drama</v>
      </c>
      <c r="I338" s="21" t="str">
        <f t="shared" si="22"/>
        <v>Not Comedy</v>
      </c>
      <c r="J338" s="21" t="str">
        <f t="shared" si="23"/>
        <v>Old</v>
      </c>
    </row>
    <row r="339" spans="1:10" x14ac:dyDescent="0.35">
      <c r="A339" s="4" t="s">
        <v>1948</v>
      </c>
      <c r="B339" s="4">
        <v>31</v>
      </c>
      <c r="C339" s="4" t="s">
        <v>82</v>
      </c>
      <c r="D339" s="20">
        <v>5.0999999999999996</v>
      </c>
      <c r="E339" s="4">
        <v>23633</v>
      </c>
      <c r="F339" s="4">
        <v>2016</v>
      </c>
      <c r="G339" s="21" t="str">
        <f t="shared" si="20"/>
        <v>Popular</v>
      </c>
      <c r="H339" s="21" t="str">
        <f t="shared" si="21"/>
        <v>Horror or Thriller</v>
      </c>
      <c r="I339" s="21" t="str">
        <f t="shared" si="22"/>
        <v>Not Comedy</v>
      </c>
      <c r="J339" s="21" t="str">
        <f t="shared" si="23"/>
        <v>Old</v>
      </c>
    </row>
    <row r="340" spans="1:10" x14ac:dyDescent="0.35">
      <c r="A340" s="4" t="s">
        <v>720</v>
      </c>
      <c r="B340" s="4" t="s">
        <v>721</v>
      </c>
      <c r="C340" s="4" t="s">
        <v>143</v>
      </c>
      <c r="D340" s="20">
        <v>4.2</v>
      </c>
      <c r="E340" s="4">
        <v>17210</v>
      </c>
      <c r="F340" s="4">
        <v>2015</v>
      </c>
      <c r="G340" s="21" t="str">
        <f t="shared" si="20"/>
        <v>Not Popular</v>
      </c>
      <c r="H340" s="21" t="str">
        <f t="shared" si="21"/>
        <v>Action or Drama</v>
      </c>
      <c r="I340" s="21" t="str">
        <f t="shared" si="22"/>
        <v>Not Comedy</v>
      </c>
      <c r="J340" s="21" t="str">
        <f t="shared" si="23"/>
        <v>Old</v>
      </c>
    </row>
    <row r="341" spans="1:10" x14ac:dyDescent="0.35">
      <c r="A341" s="4" t="s">
        <v>1255</v>
      </c>
      <c r="B341" s="4" t="s">
        <v>1256</v>
      </c>
      <c r="C341" s="4" t="s">
        <v>82</v>
      </c>
      <c r="D341" s="20">
        <v>4.7</v>
      </c>
      <c r="E341" s="4">
        <v>19462</v>
      </c>
      <c r="F341" s="4">
        <v>2015</v>
      </c>
      <c r="G341" s="21" t="str">
        <f t="shared" si="20"/>
        <v>Not Popular</v>
      </c>
      <c r="H341" s="21" t="str">
        <f t="shared" si="21"/>
        <v>Horror or Thriller</v>
      </c>
      <c r="I341" s="21" t="str">
        <f t="shared" si="22"/>
        <v>Not Comedy</v>
      </c>
      <c r="J341" s="21" t="str">
        <f t="shared" si="23"/>
        <v>Old</v>
      </c>
    </row>
    <row r="342" spans="1:10" x14ac:dyDescent="0.35">
      <c r="A342" s="4" t="s">
        <v>2170</v>
      </c>
      <c r="B342" s="4" t="s">
        <v>2171</v>
      </c>
      <c r="C342" s="4" t="s">
        <v>294</v>
      </c>
      <c r="D342" s="20">
        <v>5.2</v>
      </c>
      <c r="E342" s="4">
        <v>45631</v>
      </c>
      <c r="F342" s="4">
        <v>2015</v>
      </c>
      <c r="G342" s="21" t="str">
        <f t="shared" si="20"/>
        <v>Popular</v>
      </c>
      <c r="H342" s="21" t="str">
        <f t="shared" si="21"/>
        <v>Action or Drama</v>
      </c>
      <c r="I342" s="21" t="str">
        <f t="shared" si="22"/>
        <v>Not Comedy</v>
      </c>
      <c r="J342" s="21" t="str">
        <f t="shared" si="23"/>
        <v>Old</v>
      </c>
    </row>
    <row r="343" spans="1:10" x14ac:dyDescent="0.35">
      <c r="A343" s="4" t="s">
        <v>1551</v>
      </c>
      <c r="B343" s="4" t="s">
        <v>1552</v>
      </c>
      <c r="C343" s="4" t="s">
        <v>178</v>
      </c>
      <c r="D343" s="20">
        <v>4.9000000000000004</v>
      </c>
      <c r="E343" s="4">
        <v>54734</v>
      </c>
      <c r="F343" s="4">
        <v>2015</v>
      </c>
      <c r="G343" s="21" t="str">
        <f t="shared" si="20"/>
        <v>Not Popular</v>
      </c>
      <c r="H343" s="21" t="str">
        <f t="shared" si="21"/>
        <v>Action or Drama</v>
      </c>
      <c r="I343" s="21" t="str">
        <f t="shared" si="22"/>
        <v>Comedy</v>
      </c>
      <c r="J343" s="21" t="str">
        <f t="shared" si="23"/>
        <v>Old</v>
      </c>
    </row>
    <row r="344" spans="1:10" x14ac:dyDescent="0.35">
      <c r="A344" s="4" t="s">
        <v>2168</v>
      </c>
      <c r="B344" s="4" t="s">
        <v>2169</v>
      </c>
      <c r="C344" s="4" t="s">
        <v>804</v>
      </c>
      <c r="D344" s="20">
        <v>5.2</v>
      </c>
      <c r="E344" s="4">
        <v>46863</v>
      </c>
      <c r="F344" s="4">
        <v>2015</v>
      </c>
      <c r="G344" s="21" t="str">
        <f t="shared" si="20"/>
        <v>Popular</v>
      </c>
      <c r="H344" s="21" t="str">
        <f t="shared" si="21"/>
        <v>Horror or Thriller</v>
      </c>
      <c r="I344" s="21" t="str">
        <f t="shared" si="22"/>
        <v>Not Comedy</v>
      </c>
      <c r="J344" s="21" t="str">
        <f t="shared" si="23"/>
        <v>Old</v>
      </c>
    </row>
    <row r="345" spans="1:10" x14ac:dyDescent="0.35">
      <c r="A345" s="4" t="s">
        <v>209</v>
      </c>
      <c r="B345" s="4" t="s">
        <v>210</v>
      </c>
      <c r="C345" s="4" t="s">
        <v>211</v>
      </c>
      <c r="D345" s="20">
        <v>2.7</v>
      </c>
      <c r="E345" s="4">
        <v>20548</v>
      </c>
      <c r="F345" s="4">
        <v>2015</v>
      </c>
      <c r="G345" s="21" t="str">
        <f t="shared" si="20"/>
        <v>Not Popular</v>
      </c>
      <c r="H345" s="21" t="str">
        <f t="shared" si="21"/>
        <v>Horror or Thriller</v>
      </c>
      <c r="I345" s="21" t="str">
        <f t="shared" si="22"/>
        <v>Comedy</v>
      </c>
      <c r="J345" s="21" t="str">
        <f t="shared" si="23"/>
        <v>Old</v>
      </c>
    </row>
    <row r="346" spans="1:10" x14ac:dyDescent="0.35">
      <c r="A346" s="4" t="s">
        <v>710</v>
      </c>
      <c r="B346" s="4" t="s">
        <v>711</v>
      </c>
      <c r="C346" s="4" t="s">
        <v>175</v>
      </c>
      <c r="D346" s="20">
        <v>4.2</v>
      </c>
      <c r="E346" s="4">
        <v>21872</v>
      </c>
      <c r="F346" s="4">
        <v>2015</v>
      </c>
      <c r="G346" s="21" t="str">
        <f t="shared" si="20"/>
        <v>Not Popular</v>
      </c>
      <c r="H346" s="21" t="str">
        <f t="shared" si="21"/>
        <v>Horror or Thriller</v>
      </c>
      <c r="I346" s="21" t="str">
        <f t="shared" si="22"/>
        <v>Not Comedy</v>
      </c>
      <c r="J346" s="21" t="str">
        <f t="shared" si="23"/>
        <v>Old</v>
      </c>
    </row>
    <row r="347" spans="1:10" x14ac:dyDescent="0.35">
      <c r="A347" s="4" t="s">
        <v>2056</v>
      </c>
      <c r="B347" s="4" t="s">
        <v>2057</v>
      </c>
      <c r="C347" s="4" t="s">
        <v>646</v>
      </c>
      <c r="D347" s="20">
        <v>5.0999999999999996</v>
      </c>
      <c r="E347" s="4">
        <v>11653</v>
      </c>
      <c r="F347" s="4">
        <v>2015</v>
      </c>
      <c r="G347" s="21" t="str">
        <f t="shared" si="20"/>
        <v>Popular</v>
      </c>
      <c r="H347" s="21" t="str">
        <f t="shared" si="21"/>
        <v>Action or Drama</v>
      </c>
      <c r="I347" s="21" t="str">
        <f t="shared" si="22"/>
        <v>Comedy</v>
      </c>
      <c r="J347" s="21" t="str">
        <f t="shared" si="23"/>
        <v>Old</v>
      </c>
    </row>
    <row r="348" spans="1:10" x14ac:dyDescent="0.35">
      <c r="A348" s="4" t="s">
        <v>1193</v>
      </c>
      <c r="B348" s="4" t="s">
        <v>1194</v>
      </c>
      <c r="C348" s="4" t="s">
        <v>1195</v>
      </c>
      <c r="D348" s="20">
        <v>4.7</v>
      </c>
      <c r="E348" s="4">
        <v>46620</v>
      </c>
      <c r="F348" s="4">
        <v>2015</v>
      </c>
      <c r="G348" s="21" t="str">
        <f t="shared" si="20"/>
        <v>Not Popular</v>
      </c>
      <c r="H348" s="21" t="str">
        <f t="shared" si="21"/>
        <v>Horror or Thriller</v>
      </c>
      <c r="I348" s="21" t="str">
        <f t="shared" si="22"/>
        <v>Not Comedy</v>
      </c>
      <c r="J348" s="21" t="str">
        <f t="shared" si="23"/>
        <v>Old</v>
      </c>
    </row>
    <row r="349" spans="1:10" x14ac:dyDescent="0.35">
      <c r="A349" s="4" t="s">
        <v>739</v>
      </c>
      <c r="B349" s="4" t="s">
        <v>740</v>
      </c>
      <c r="C349" s="4" t="s">
        <v>146</v>
      </c>
      <c r="D349" s="20">
        <v>4.2</v>
      </c>
      <c r="E349" s="4">
        <v>11108</v>
      </c>
      <c r="F349" s="4">
        <v>2015</v>
      </c>
      <c r="G349" s="21" t="str">
        <f t="shared" si="20"/>
        <v>Not Popular</v>
      </c>
      <c r="H349" s="21" t="str">
        <f t="shared" si="21"/>
        <v>Action or Drama</v>
      </c>
      <c r="I349" s="21" t="str">
        <f t="shared" si="22"/>
        <v>Comedy</v>
      </c>
      <c r="J349" s="21" t="str">
        <f t="shared" si="23"/>
        <v>Old</v>
      </c>
    </row>
    <row r="350" spans="1:10" x14ac:dyDescent="0.35">
      <c r="A350" s="4" t="s">
        <v>613</v>
      </c>
      <c r="B350" s="4" t="s">
        <v>614</v>
      </c>
      <c r="C350" s="4" t="s">
        <v>178</v>
      </c>
      <c r="D350" s="20">
        <v>4</v>
      </c>
      <c r="E350" s="4">
        <v>14108</v>
      </c>
      <c r="F350" s="4">
        <v>2015</v>
      </c>
      <c r="G350" s="21" t="str">
        <f t="shared" si="20"/>
        <v>Not Popular</v>
      </c>
      <c r="H350" s="21" t="str">
        <f t="shared" si="21"/>
        <v>Action or Drama</v>
      </c>
      <c r="I350" s="21" t="str">
        <f t="shared" si="22"/>
        <v>Comedy</v>
      </c>
      <c r="J350" s="21" t="str">
        <f t="shared" si="23"/>
        <v>Old</v>
      </c>
    </row>
    <row r="351" spans="1:10" x14ac:dyDescent="0.35">
      <c r="A351" s="4" t="s">
        <v>2022</v>
      </c>
      <c r="B351" s="4" t="s">
        <v>2023</v>
      </c>
      <c r="C351" s="4" t="s">
        <v>31</v>
      </c>
      <c r="D351" s="20">
        <v>5.0999999999999996</v>
      </c>
      <c r="E351" s="4">
        <v>15018</v>
      </c>
      <c r="F351" s="4">
        <v>2015</v>
      </c>
      <c r="G351" s="21" t="str">
        <f t="shared" si="20"/>
        <v>Popular</v>
      </c>
      <c r="H351" s="21" t="str">
        <f t="shared" si="21"/>
        <v>Action or Drama</v>
      </c>
      <c r="I351" s="21" t="str">
        <f t="shared" si="22"/>
        <v>Not Comedy</v>
      </c>
      <c r="J351" s="21" t="str">
        <f t="shared" si="23"/>
        <v>Old</v>
      </c>
    </row>
    <row r="352" spans="1:10" x14ac:dyDescent="0.35">
      <c r="A352" s="4" t="s">
        <v>1489</v>
      </c>
      <c r="B352" s="4" t="s">
        <v>1490</v>
      </c>
      <c r="C352" s="4" t="s">
        <v>584</v>
      </c>
      <c r="D352" s="20">
        <v>4.8</v>
      </c>
      <c r="E352" s="4">
        <v>11601</v>
      </c>
      <c r="F352" s="4">
        <v>2015</v>
      </c>
      <c r="G352" s="21" t="str">
        <f t="shared" si="20"/>
        <v>Not Popular</v>
      </c>
      <c r="H352" s="21" t="str">
        <f t="shared" si="21"/>
        <v>Action or Drama</v>
      </c>
      <c r="I352" s="21" t="str">
        <f t="shared" si="22"/>
        <v>Not Comedy</v>
      </c>
      <c r="J352" s="21" t="str">
        <f t="shared" si="23"/>
        <v>Old</v>
      </c>
    </row>
    <row r="353" spans="1:10" x14ac:dyDescent="0.35">
      <c r="A353" s="4" t="s">
        <v>823</v>
      </c>
      <c r="B353" s="4" t="s">
        <v>824</v>
      </c>
      <c r="C353" s="4" t="s">
        <v>166</v>
      </c>
      <c r="D353" s="20">
        <v>4.3</v>
      </c>
      <c r="E353" s="4">
        <v>10617</v>
      </c>
      <c r="F353" s="4">
        <v>2015</v>
      </c>
      <c r="G353" s="21" t="str">
        <f t="shared" si="20"/>
        <v>Not Popular</v>
      </c>
      <c r="H353" s="21" t="str">
        <f t="shared" si="21"/>
        <v>Action or Drama</v>
      </c>
      <c r="I353" s="21" t="str">
        <f t="shared" si="22"/>
        <v>Not Comedy</v>
      </c>
      <c r="J353" s="21" t="str">
        <f t="shared" si="23"/>
        <v>Old</v>
      </c>
    </row>
    <row r="354" spans="1:10" x14ac:dyDescent="0.35">
      <c r="A354" s="4" t="s">
        <v>870</v>
      </c>
      <c r="B354" s="4" t="s">
        <v>871</v>
      </c>
      <c r="C354" s="4" t="s">
        <v>205</v>
      </c>
      <c r="D354" s="20">
        <v>4.4000000000000004</v>
      </c>
      <c r="E354" s="4">
        <v>23967</v>
      </c>
      <c r="F354" s="4">
        <v>2015</v>
      </c>
      <c r="G354" s="21" t="str">
        <f t="shared" si="20"/>
        <v>Not Popular</v>
      </c>
      <c r="H354" s="21" t="str">
        <f t="shared" si="21"/>
        <v>Action or Drama</v>
      </c>
      <c r="I354" s="21" t="str">
        <f t="shared" si="22"/>
        <v>Not Comedy</v>
      </c>
      <c r="J354" s="21" t="str">
        <f t="shared" si="23"/>
        <v>Old</v>
      </c>
    </row>
    <row r="355" spans="1:10" x14ac:dyDescent="0.35">
      <c r="A355" s="4" t="s">
        <v>1541</v>
      </c>
      <c r="B355" s="4" t="s">
        <v>1542</v>
      </c>
      <c r="C355" s="4" t="s">
        <v>82</v>
      </c>
      <c r="D355" s="20">
        <v>4.9000000000000004</v>
      </c>
      <c r="E355" s="4">
        <v>62589</v>
      </c>
      <c r="F355" s="4">
        <v>2015</v>
      </c>
      <c r="G355" s="21" t="str">
        <f t="shared" si="20"/>
        <v>Not Popular</v>
      </c>
      <c r="H355" s="21" t="str">
        <f t="shared" si="21"/>
        <v>Horror or Thriller</v>
      </c>
      <c r="I355" s="21" t="str">
        <f t="shared" si="22"/>
        <v>Not Comedy</v>
      </c>
      <c r="J355" s="21" t="str">
        <f t="shared" si="23"/>
        <v>Old</v>
      </c>
    </row>
    <row r="356" spans="1:10" x14ac:dyDescent="0.35">
      <c r="A356" s="4" t="s">
        <v>847</v>
      </c>
      <c r="B356" s="4" t="s">
        <v>848</v>
      </c>
      <c r="C356" s="4" t="s">
        <v>146</v>
      </c>
      <c r="D356" s="20">
        <v>4.4000000000000004</v>
      </c>
      <c r="E356" s="4">
        <v>41993</v>
      </c>
      <c r="F356" s="4">
        <v>2015</v>
      </c>
      <c r="G356" s="21" t="str">
        <f t="shared" si="20"/>
        <v>Not Popular</v>
      </c>
      <c r="H356" s="21" t="str">
        <f t="shared" si="21"/>
        <v>Action or Drama</v>
      </c>
      <c r="I356" s="21" t="str">
        <f t="shared" si="22"/>
        <v>Comedy</v>
      </c>
      <c r="J356" s="21" t="str">
        <f t="shared" si="23"/>
        <v>Old</v>
      </c>
    </row>
    <row r="357" spans="1:10" x14ac:dyDescent="0.35">
      <c r="A357" s="4" t="s">
        <v>1060</v>
      </c>
      <c r="B357" s="4" t="s">
        <v>1061</v>
      </c>
      <c r="C357" s="4" t="s">
        <v>448</v>
      </c>
      <c r="D357" s="20">
        <v>4.5999999999999996</v>
      </c>
      <c r="E357" s="4">
        <v>31383</v>
      </c>
      <c r="F357" s="4">
        <v>2015</v>
      </c>
      <c r="G357" s="21" t="str">
        <f t="shared" si="20"/>
        <v>Not Popular</v>
      </c>
      <c r="H357" s="21" t="str">
        <f t="shared" si="21"/>
        <v>Horror or Thriller</v>
      </c>
      <c r="I357" s="21" t="str">
        <f t="shared" si="22"/>
        <v>Not Comedy</v>
      </c>
      <c r="J357" s="21" t="str">
        <f t="shared" si="23"/>
        <v>Old</v>
      </c>
    </row>
    <row r="358" spans="1:10" x14ac:dyDescent="0.35">
      <c r="A358" s="4" t="s">
        <v>1529</v>
      </c>
      <c r="B358" s="4" t="s">
        <v>1530</v>
      </c>
      <c r="C358" s="4" t="s">
        <v>249</v>
      </c>
      <c r="D358" s="20">
        <v>4.9000000000000004</v>
      </c>
      <c r="E358" s="4">
        <v>107514</v>
      </c>
      <c r="F358" s="4">
        <v>2015</v>
      </c>
      <c r="G358" s="21" t="str">
        <f t="shared" si="20"/>
        <v>Not Popular</v>
      </c>
      <c r="H358" s="21" t="str">
        <f t="shared" si="21"/>
        <v>Horror or Thriller</v>
      </c>
      <c r="I358" s="21" t="str">
        <f t="shared" si="22"/>
        <v>Not Comedy</v>
      </c>
      <c r="J358" s="21" t="str">
        <f t="shared" si="23"/>
        <v>Old</v>
      </c>
    </row>
    <row r="359" spans="1:10" x14ac:dyDescent="0.35">
      <c r="A359" s="4" t="s">
        <v>1502</v>
      </c>
      <c r="B359" s="4" t="s">
        <v>1503</v>
      </c>
      <c r="C359" s="4" t="s">
        <v>474</v>
      </c>
      <c r="D359" s="20">
        <v>4.8</v>
      </c>
      <c r="E359" s="4">
        <v>11297</v>
      </c>
      <c r="F359" s="4">
        <v>2015</v>
      </c>
      <c r="G359" s="21" t="str">
        <f t="shared" si="20"/>
        <v>Not Popular</v>
      </c>
      <c r="H359" s="21" t="str">
        <f t="shared" si="21"/>
        <v>Horror or Thriller</v>
      </c>
      <c r="I359" s="21" t="str">
        <f t="shared" si="22"/>
        <v>Not Comedy</v>
      </c>
      <c r="J359" s="21" t="str">
        <f t="shared" si="23"/>
        <v>Old</v>
      </c>
    </row>
    <row r="360" spans="1:10" x14ac:dyDescent="0.35">
      <c r="A360" s="4" t="s">
        <v>2004</v>
      </c>
      <c r="B360" s="4" t="s">
        <v>2005</v>
      </c>
      <c r="C360" s="4" t="s">
        <v>82</v>
      </c>
      <c r="D360" s="20">
        <v>5.0999999999999996</v>
      </c>
      <c r="E360" s="4">
        <v>16050</v>
      </c>
      <c r="F360" s="4">
        <v>2015</v>
      </c>
      <c r="G360" s="21" t="str">
        <f t="shared" si="20"/>
        <v>Popular</v>
      </c>
      <c r="H360" s="21" t="str">
        <f t="shared" si="21"/>
        <v>Horror or Thriller</v>
      </c>
      <c r="I360" s="21" t="str">
        <f t="shared" si="22"/>
        <v>Not Comedy</v>
      </c>
      <c r="J360" s="21" t="str">
        <f t="shared" si="23"/>
        <v>Old</v>
      </c>
    </row>
    <row r="361" spans="1:10" x14ac:dyDescent="0.35">
      <c r="A361" s="4" t="s">
        <v>1708</v>
      </c>
      <c r="B361" s="4" t="s">
        <v>1709</v>
      </c>
      <c r="C361" s="4" t="s">
        <v>1710</v>
      </c>
      <c r="D361" s="20">
        <v>5</v>
      </c>
      <c r="E361" s="4">
        <v>42360</v>
      </c>
      <c r="F361" s="4">
        <v>2015</v>
      </c>
      <c r="G361" s="21" t="str">
        <f t="shared" si="20"/>
        <v>Not Popular</v>
      </c>
      <c r="H361" s="21" t="str">
        <f t="shared" si="21"/>
        <v>Other</v>
      </c>
      <c r="I361" s="21" t="str">
        <f t="shared" si="22"/>
        <v>Comedy</v>
      </c>
      <c r="J361" s="21" t="str">
        <f t="shared" si="23"/>
        <v>Old</v>
      </c>
    </row>
    <row r="362" spans="1:10" x14ac:dyDescent="0.35">
      <c r="A362" s="4" t="s">
        <v>1882</v>
      </c>
      <c r="B362" s="4" t="s">
        <v>1883</v>
      </c>
      <c r="C362" s="4" t="s">
        <v>146</v>
      </c>
      <c r="D362" s="20">
        <v>5.0999999999999996</v>
      </c>
      <c r="E362" s="4">
        <v>54812</v>
      </c>
      <c r="F362" s="4">
        <v>2015</v>
      </c>
      <c r="G362" s="21" t="str">
        <f t="shared" si="20"/>
        <v>Popular</v>
      </c>
      <c r="H362" s="21" t="str">
        <f t="shared" si="21"/>
        <v>Action or Drama</v>
      </c>
      <c r="I362" s="21" t="str">
        <f t="shared" si="22"/>
        <v>Comedy</v>
      </c>
      <c r="J362" s="21" t="str">
        <f t="shared" si="23"/>
        <v>Old</v>
      </c>
    </row>
    <row r="363" spans="1:10" x14ac:dyDescent="0.35">
      <c r="A363" s="4" t="s">
        <v>1262</v>
      </c>
      <c r="B363" s="4" t="s">
        <v>1263</v>
      </c>
      <c r="C363" s="4" t="s">
        <v>82</v>
      </c>
      <c r="D363" s="20">
        <v>4.7</v>
      </c>
      <c r="E363" s="4">
        <v>17068</v>
      </c>
      <c r="F363" s="4">
        <v>2015</v>
      </c>
      <c r="G363" s="21" t="str">
        <f t="shared" si="20"/>
        <v>Not Popular</v>
      </c>
      <c r="H363" s="21" t="str">
        <f t="shared" si="21"/>
        <v>Horror or Thriller</v>
      </c>
      <c r="I363" s="21" t="str">
        <f t="shared" si="22"/>
        <v>Not Comedy</v>
      </c>
      <c r="J363" s="21" t="str">
        <f t="shared" si="23"/>
        <v>Old</v>
      </c>
    </row>
    <row r="364" spans="1:10" x14ac:dyDescent="0.35">
      <c r="A364" s="4" t="s">
        <v>680</v>
      </c>
      <c r="B364" s="4" t="s">
        <v>681</v>
      </c>
      <c r="C364" s="4" t="s">
        <v>682</v>
      </c>
      <c r="D364" s="20">
        <v>4.2</v>
      </c>
      <c r="E364" s="4">
        <v>341094</v>
      </c>
      <c r="F364" s="4">
        <v>2015</v>
      </c>
      <c r="G364" s="21" t="str">
        <f t="shared" si="20"/>
        <v>Not Popular</v>
      </c>
      <c r="H364" s="21" t="str">
        <f t="shared" si="21"/>
        <v>Action or Drama</v>
      </c>
      <c r="I364" s="21" t="str">
        <f t="shared" si="22"/>
        <v>Not Comedy</v>
      </c>
      <c r="J364" s="21" t="str">
        <f t="shared" si="23"/>
        <v>Old</v>
      </c>
    </row>
    <row r="365" spans="1:10" x14ac:dyDescent="0.35">
      <c r="A365" s="4" t="s">
        <v>750</v>
      </c>
      <c r="B365" s="4" t="s">
        <v>751</v>
      </c>
      <c r="C365" s="4" t="s">
        <v>163</v>
      </c>
      <c r="D365" s="20">
        <v>4.3</v>
      </c>
      <c r="E365" s="4">
        <v>179961</v>
      </c>
      <c r="F365" s="4">
        <v>2015</v>
      </c>
      <c r="G365" s="21" t="str">
        <f t="shared" si="20"/>
        <v>Not Popular</v>
      </c>
      <c r="H365" s="21" t="str">
        <f t="shared" si="21"/>
        <v>Action or Drama</v>
      </c>
      <c r="I365" s="21" t="str">
        <f t="shared" si="22"/>
        <v>Not Comedy</v>
      </c>
      <c r="J365" s="21" t="str">
        <f t="shared" si="23"/>
        <v>Old</v>
      </c>
    </row>
    <row r="366" spans="1:10" x14ac:dyDescent="0.35">
      <c r="A366" s="4" t="s">
        <v>672</v>
      </c>
      <c r="B366" s="4" t="s">
        <v>673</v>
      </c>
      <c r="C366" s="4" t="s">
        <v>294</v>
      </c>
      <c r="D366" s="20">
        <v>4.0999999999999996</v>
      </c>
      <c r="E366" s="4">
        <v>12126</v>
      </c>
      <c r="F366" s="4">
        <v>2015</v>
      </c>
      <c r="G366" s="21" t="str">
        <f t="shared" si="20"/>
        <v>Not Popular</v>
      </c>
      <c r="H366" s="21" t="str">
        <f t="shared" si="21"/>
        <v>Action or Drama</v>
      </c>
      <c r="I366" s="21" t="str">
        <f t="shared" si="22"/>
        <v>Not Comedy</v>
      </c>
      <c r="J366" s="21" t="str">
        <f t="shared" si="23"/>
        <v>Old</v>
      </c>
    </row>
    <row r="367" spans="1:10" x14ac:dyDescent="0.35">
      <c r="A367" s="4" t="s">
        <v>1907</v>
      </c>
      <c r="B367" s="4" t="s">
        <v>1908</v>
      </c>
      <c r="C367" s="4" t="s">
        <v>125</v>
      </c>
      <c r="D367" s="20">
        <v>5.0999999999999996</v>
      </c>
      <c r="E367" s="4">
        <v>39407</v>
      </c>
      <c r="F367" s="4">
        <v>2015</v>
      </c>
      <c r="G367" s="21" t="str">
        <f t="shared" si="20"/>
        <v>Popular</v>
      </c>
      <c r="H367" s="21" t="str">
        <f t="shared" si="21"/>
        <v>Action or Drama</v>
      </c>
      <c r="I367" s="21" t="str">
        <f t="shared" si="22"/>
        <v>Comedy</v>
      </c>
      <c r="J367" s="21" t="str">
        <f t="shared" si="23"/>
        <v>Old</v>
      </c>
    </row>
    <row r="368" spans="1:10" x14ac:dyDescent="0.35">
      <c r="A368" s="4" t="s">
        <v>77</v>
      </c>
      <c r="B368" s="4" t="s">
        <v>78</v>
      </c>
      <c r="C368" s="4" t="s">
        <v>79</v>
      </c>
      <c r="D368" s="20">
        <v>1.7</v>
      </c>
      <c r="E368" s="4">
        <v>27591</v>
      </c>
      <c r="F368" s="4">
        <v>2015</v>
      </c>
      <c r="G368" s="21" t="str">
        <f t="shared" si="20"/>
        <v>Not Popular</v>
      </c>
      <c r="H368" s="21" t="str">
        <f t="shared" si="21"/>
        <v>Other</v>
      </c>
      <c r="I368" s="21" t="str">
        <f t="shared" si="22"/>
        <v>Not Comedy</v>
      </c>
      <c r="J368" s="21" t="str">
        <f t="shared" si="23"/>
        <v>Old</v>
      </c>
    </row>
    <row r="369" spans="1:10" x14ac:dyDescent="0.35">
      <c r="A369" s="4" t="s">
        <v>1785</v>
      </c>
      <c r="B369" s="4" t="s">
        <v>1786</v>
      </c>
      <c r="C369" s="4" t="s">
        <v>93</v>
      </c>
      <c r="D369" s="20">
        <v>5</v>
      </c>
      <c r="E369" s="4">
        <v>15715</v>
      </c>
      <c r="F369" s="4">
        <v>2015</v>
      </c>
      <c r="G369" s="21" t="str">
        <f t="shared" si="20"/>
        <v>Not Popular</v>
      </c>
      <c r="H369" s="21" t="str">
        <f t="shared" si="21"/>
        <v>Action or Drama</v>
      </c>
      <c r="I369" s="21" t="str">
        <f t="shared" si="22"/>
        <v>Not Comedy</v>
      </c>
      <c r="J369" s="21" t="str">
        <f t="shared" si="23"/>
        <v>Old</v>
      </c>
    </row>
    <row r="370" spans="1:10" x14ac:dyDescent="0.35">
      <c r="A370" s="4" t="s">
        <v>802</v>
      </c>
      <c r="B370" s="4" t="s">
        <v>803</v>
      </c>
      <c r="C370" s="4" t="s">
        <v>804</v>
      </c>
      <c r="D370" s="20">
        <v>4.3</v>
      </c>
      <c r="E370" s="4">
        <v>15376</v>
      </c>
      <c r="F370" s="4">
        <v>2015</v>
      </c>
      <c r="G370" s="21" t="str">
        <f t="shared" si="20"/>
        <v>Not Popular</v>
      </c>
      <c r="H370" s="21" t="str">
        <f t="shared" si="21"/>
        <v>Horror or Thriller</v>
      </c>
      <c r="I370" s="21" t="str">
        <f t="shared" si="22"/>
        <v>Not Comedy</v>
      </c>
      <c r="J370" s="21" t="str">
        <f t="shared" si="23"/>
        <v>Old</v>
      </c>
    </row>
    <row r="371" spans="1:10" x14ac:dyDescent="0.35">
      <c r="A371" s="4" t="s">
        <v>51</v>
      </c>
      <c r="B371" s="4" t="s">
        <v>52</v>
      </c>
      <c r="C371" s="4" t="s">
        <v>53</v>
      </c>
      <c r="D371" s="20">
        <v>1.4</v>
      </c>
      <c r="E371" s="4">
        <v>42954</v>
      </c>
      <c r="F371" s="4">
        <v>2015</v>
      </c>
      <c r="G371" s="21" t="str">
        <f t="shared" si="20"/>
        <v>Not Popular</v>
      </c>
      <c r="H371" s="21" t="str">
        <f t="shared" si="21"/>
        <v>Action or Drama</v>
      </c>
      <c r="I371" s="21" t="str">
        <f t="shared" si="22"/>
        <v>Not Comedy</v>
      </c>
      <c r="J371" s="21" t="str">
        <f t="shared" si="23"/>
        <v>Old</v>
      </c>
    </row>
    <row r="372" spans="1:10" x14ac:dyDescent="0.35">
      <c r="A372" s="4" t="s">
        <v>1598</v>
      </c>
      <c r="B372" s="4" t="s">
        <v>1599</v>
      </c>
      <c r="C372" s="4" t="s">
        <v>217</v>
      </c>
      <c r="D372" s="20">
        <v>4.9000000000000004</v>
      </c>
      <c r="E372" s="4">
        <v>23360</v>
      </c>
      <c r="F372" s="4">
        <v>2015</v>
      </c>
      <c r="G372" s="21" t="str">
        <f t="shared" si="20"/>
        <v>Not Popular</v>
      </c>
      <c r="H372" s="21" t="str">
        <f t="shared" si="21"/>
        <v>Other</v>
      </c>
      <c r="I372" s="21" t="str">
        <f t="shared" si="22"/>
        <v>Comedy</v>
      </c>
      <c r="J372" s="21" t="str">
        <f t="shared" si="23"/>
        <v>Old</v>
      </c>
    </row>
    <row r="373" spans="1:10" x14ac:dyDescent="0.35">
      <c r="A373" s="4" t="s">
        <v>2042</v>
      </c>
      <c r="B373" s="4" t="s">
        <v>2043</v>
      </c>
      <c r="C373" s="4" t="s">
        <v>951</v>
      </c>
      <c r="D373" s="20">
        <v>5.0999999999999996</v>
      </c>
      <c r="E373" s="4">
        <v>12651</v>
      </c>
      <c r="F373" s="4">
        <v>2015</v>
      </c>
      <c r="G373" s="21" t="str">
        <f t="shared" si="20"/>
        <v>Popular</v>
      </c>
      <c r="H373" s="21" t="str">
        <f t="shared" si="21"/>
        <v>Action or Drama</v>
      </c>
      <c r="I373" s="21" t="str">
        <f t="shared" si="22"/>
        <v>Not Comedy</v>
      </c>
      <c r="J373" s="21" t="str">
        <f t="shared" si="23"/>
        <v>Old</v>
      </c>
    </row>
    <row r="374" spans="1:10" x14ac:dyDescent="0.35">
      <c r="A374" s="4" t="s">
        <v>910</v>
      </c>
      <c r="B374" s="4" t="s">
        <v>911</v>
      </c>
      <c r="C374" s="4" t="s">
        <v>912</v>
      </c>
      <c r="D374" s="20">
        <v>4.4000000000000004</v>
      </c>
      <c r="E374" s="4">
        <v>11349</v>
      </c>
      <c r="F374" s="4">
        <v>2015</v>
      </c>
      <c r="G374" s="21" t="str">
        <f t="shared" si="20"/>
        <v>Not Popular</v>
      </c>
      <c r="H374" s="21" t="str">
        <f t="shared" si="21"/>
        <v>Horror or Thriller</v>
      </c>
      <c r="I374" s="21" t="str">
        <f t="shared" si="22"/>
        <v>Not Comedy</v>
      </c>
      <c r="J374" s="21" t="str">
        <f t="shared" si="23"/>
        <v>Old</v>
      </c>
    </row>
    <row r="375" spans="1:10" x14ac:dyDescent="0.35">
      <c r="A375" s="4" t="s">
        <v>1410</v>
      </c>
      <c r="B375" s="4" t="s">
        <v>1411</v>
      </c>
      <c r="C375" s="4" t="s">
        <v>211</v>
      </c>
      <c r="D375" s="20">
        <v>4.8</v>
      </c>
      <c r="E375" s="4">
        <v>21038</v>
      </c>
      <c r="F375" s="4">
        <v>2014</v>
      </c>
      <c r="G375" s="21" t="str">
        <f t="shared" si="20"/>
        <v>Not Popular</v>
      </c>
      <c r="H375" s="21" t="str">
        <f t="shared" si="21"/>
        <v>Horror or Thriller</v>
      </c>
      <c r="I375" s="21" t="str">
        <f t="shared" si="22"/>
        <v>Comedy</v>
      </c>
      <c r="J375" s="21" t="str">
        <f t="shared" si="23"/>
        <v>Old</v>
      </c>
    </row>
    <row r="376" spans="1:10" x14ac:dyDescent="0.35">
      <c r="A376" s="4" t="s">
        <v>659</v>
      </c>
      <c r="B376" s="4" t="s">
        <v>660</v>
      </c>
      <c r="C376" s="4" t="s">
        <v>649</v>
      </c>
      <c r="D376" s="20">
        <v>4.0999999999999996</v>
      </c>
      <c r="E376" s="4">
        <v>18126</v>
      </c>
      <c r="F376" s="4">
        <v>2014</v>
      </c>
      <c r="G376" s="21" t="str">
        <f t="shared" si="20"/>
        <v>Not Popular</v>
      </c>
      <c r="H376" s="21" t="str">
        <f t="shared" si="21"/>
        <v>Horror or Thriller</v>
      </c>
      <c r="I376" s="21" t="str">
        <f t="shared" si="22"/>
        <v>Not Comedy</v>
      </c>
      <c r="J376" s="21" t="str">
        <f t="shared" si="23"/>
        <v>Old</v>
      </c>
    </row>
    <row r="377" spans="1:10" x14ac:dyDescent="0.35">
      <c r="A377" s="4" t="s">
        <v>714</v>
      </c>
      <c r="B377" s="4" t="s">
        <v>715</v>
      </c>
      <c r="C377" s="4" t="s">
        <v>82</v>
      </c>
      <c r="D377" s="20">
        <v>4.2</v>
      </c>
      <c r="E377" s="4">
        <v>20153</v>
      </c>
      <c r="F377" s="4">
        <v>2014</v>
      </c>
      <c r="G377" s="21" t="str">
        <f t="shared" si="20"/>
        <v>Not Popular</v>
      </c>
      <c r="H377" s="21" t="str">
        <f t="shared" si="21"/>
        <v>Horror or Thriller</v>
      </c>
      <c r="I377" s="21" t="str">
        <f t="shared" si="22"/>
        <v>Not Comedy</v>
      </c>
      <c r="J377" s="21" t="str">
        <f t="shared" si="23"/>
        <v>Old</v>
      </c>
    </row>
    <row r="378" spans="1:10" x14ac:dyDescent="0.35">
      <c r="A378" s="4" t="s">
        <v>1377</v>
      </c>
      <c r="B378" s="4" t="s">
        <v>1378</v>
      </c>
      <c r="C378" s="4" t="s">
        <v>584</v>
      </c>
      <c r="D378" s="20">
        <v>4.8</v>
      </c>
      <c r="E378" s="4">
        <v>29879</v>
      </c>
      <c r="F378" s="4">
        <v>2014</v>
      </c>
      <c r="G378" s="21" t="str">
        <f t="shared" si="20"/>
        <v>Not Popular</v>
      </c>
      <c r="H378" s="21" t="str">
        <f t="shared" si="21"/>
        <v>Action or Drama</v>
      </c>
      <c r="I378" s="21" t="str">
        <f t="shared" si="22"/>
        <v>Not Comedy</v>
      </c>
      <c r="J378" s="21" t="str">
        <f t="shared" si="23"/>
        <v>Old</v>
      </c>
    </row>
    <row r="379" spans="1:10" x14ac:dyDescent="0.35">
      <c r="A379" s="4" t="s">
        <v>1963</v>
      </c>
      <c r="B379" s="4" t="s">
        <v>1964</v>
      </c>
      <c r="C379" s="4" t="s">
        <v>175</v>
      </c>
      <c r="D379" s="20">
        <v>5.0999999999999996</v>
      </c>
      <c r="E379" s="4">
        <v>21420</v>
      </c>
      <c r="F379" s="4">
        <v>2014</v>
      </c>
      <c r="G379" s="21" t="str">
        <f t="shared" si="20"/>
        <v>Popular</v>
      </c>
      <c r="H379" s="21" t="str">
        <f t="shared" si="21"/>
        <v>Horror or Thriller</v>
      </c>
      <c r="I379" s="21" t="str">
        <f t="shared" si="22"/>
        <v>Not Comedy</v>
      </c>
      <c r="J379" s="21" t="str">
        <f t="shared" si="23"/>
        <v>Old</v>
      </c>
    </row>
    <row r="380" spans="1:10" x14ac:dyDescent="0.35">
      <c r="A380" s="4" t="s">
        <v>1066</v>
      </c>
      <c r="B380" s="4" t="s">
        <v>1067</v>
      </c>
      <c r="C380" s="4" t="s">
        <v>175</v>
      </c>
      <c r="D380" s="20">
        <v>4.5999999999999996</v>
      </c>
      <c r="E380" s="4">
        <v>27732</v>
      </c>
      <c r="F380" s="4">
        <v>2014</v>
      </c>
      <c r="G380" s="21" t="str">
        <f t="shared" si="20"/>
        <v>Not Popular</v>
      </c>
      <c r="H380" s="21" t="str">
        <f t="shared" si="21"/>
        <v>Horror or Thriller</v>
      </c>
      <c r="I380" s="21" t="str">
        <f t="shared" si="22"/>
        <v>Not Comedy</v>
      </c>
      <c r="J380" s="21" t="str">
        <f t="shared" si="23"/>
        <v>Old</v>
      </c>
    </row>
    <row r="381" spans="1:10" x14ac:dyDescent="0.35">
      <c r="A381" s="4" t="s">
        <v>1090</v>
      </c>
      <c r="B381" s="4" t="s">
        <v>1091</v>
      </c>
      <c r="C381" s="4" t="s">
        <v>294</v>
      </c>
      <c r="D381" s="20">
        <v>4.5999999999999996</v>
      </c>
      <c r="E381" s="4">
        <v>19331</v>
      </c>
      <c r="F381" s="4">
        <v>2014</v>
      </c>
      <c r="G381" s="21" t="str">
        <f t="shared" si="20"/>
        <v>Not Popular</v>
      </c>
      <c r="H381" s="21" t="str">
        <f t="shared" si="21"/>
        <v>Action or Drama</v>
      </c>
      <c r="I381" s="21" t="str">
        <f t="shared" si="22"/>
        <v>Not Comedy</v>
      </c>
      <c r="J381" s="21" t="str">
        <f t="shared" si="23"/>
        <v>Old</v>
      </c>
    </row>
    <row r="382" spans="1:10" x14ac:dyDescent="0.35">
      <c r="A382" s="4" t="s">
        <v>755</v>
      </c>
      <c r="B382" s="4" t="s">
        <v>756</v>
      </c>
      <c r="C382" s="4" t="s">
        <v>166</v>
      </c>
      <c r="D382" s="20">
        <v>4.3</v>
      </c>
      <c r="E382" s="4">
        <v>56624</v>
      </c>
      <c r="F382" s="4">
        <v>2014</v>
      </c>
      <c r="G382" s="21" t="str">
        <f t="shared" si="20"/>
        <v>Not Popular</v>
      </c>
      <c r="H382" s="21" t="str">
        <f t="shared" si="21"/>
        <v>Action or Drama</v>
      </c>
      <c r="I382" s="21" t="str">
        <f t="shared" si="22"/>
        <v>Not Comedy</v>
      </c>
      <c r="J382" s="21" t="str">
        <f t="shared" si="23"/>
        <v>Old</v>
      </c>
    </row>
    <row r="383" spans="1:10" x14ac:dyDescent="0.35">
      <c r="A383" s="4" t="s">
        <v>381</v>
      </c>
      <c r="B383" s="4" t="s">
        <v>382</v>
      </c>
      <c r="C383" s="4" t="s">
        <v>152</v>
      </c>
      <c r="D383" s="20">
        <v>3.5</v>
      </c>
      <c r="E383" s="4">
        <v>17241</v>
      </c>
      <c r="F383" s="4">
        <v>2014</v>
      </c>
      <c r="G383" s="21" t="str">
        <f t="shared" si="20"/>
        <v>Not Popular</v>
      </c>
      <c r="H383" s="21" t="str">
        <f t="shared" si="21"/>
        <v>Other</v>
      </c>
      <c r="I383" s="21" t="str">
        <f t="shared" si="22"/>
        <v>Comedy</v>
      </c>
      <c r="J383" s="21" t="str">
        <f t="shared" si="23"/>
        <v>Old</v>
      </c>
    </row>
    <row r="384" spans="1:10" x14ac:dyDescent="0.35">
      <c r="A384" s="4" t="s">
        <v>1549</v>
      </c>
      <c r="B384" s="4" t="s">
        <v>1550</v>
      </c>
      <c r="C384" s="4" t="s">
        <v>116</v>
      </c>
      <c r="D384" s="20">
        <v>4.9000000000000004</v>
      </c>
      <c r="E384" s="4">
        <v>55540</v>
      </c>
      <c r="F384" s="4">
        <v>2014</v>
      </c>
      <c r="G384" s="21" t="str">
        <f t="shared" si="20"/>
        <v>Not Popular</v>
      </c>
      <c r="H384" s="21" t="str">
        <f t="shared" si="21"/>
        <v>Other</v>
      </c>
      <c r="I384" s="21" t="str">
        <f t="shared" si="22"/>
        <v>Comedy</v>
      </c>
      <c r="J384" s="21" t="str">
        <f t="shared" si="23"/>
        <v>Old</v>
      </c>
    </row>
    <row r="385" spans="1:10" x14ac:dyDescent="0.35">
      <c r="A385" s="4" t="s">
        <v>602</v>
      </c>
      <c r="B385" s="4" t="s">
        <v>603</v>
      </c>
      <c r="C385" s="4" t="s">
        <v>178</v>
      </c>
      <c r="D385" s="20">
        <v>4</v>
      </c>
      <c r="E385" s="4">
        <v>20873</v>
      </c>
      <c r="F385" s="4">
        <v>2014</v>
      </c>
      <c r="G385" s="21" t="str">
        <f t="shared" si="20"/>
        <v>Not Popular</v>
      </c>
      <c r="H385" s="21" t="str">
        <f t="shared" si="21"/>
        <v>Action or Drama</v>
      </c>
      <c r="I385" s="21" t="str">
        <f t="shared" si="22"/>
        <v>Comedy</v>
      </c>
      <c r="J385" s="21" t="str">
        <f t="shared" si="23"/>
        <v>Old</v>
      </c>
    </row>
    <row r="386" spans="1:10" x14ac:dyDescent="0.35">
      <c r="A386" s="4" t="s">
        <v>1857</v>
      </c>
      <c r="B386" s="4" t="s">
        <v>1858</v>
      </c>
      <c r="C386" s="4" t="s">
        <v>116</v>
      </c>
      <c r="D386" s="20">
        <v>5.0999999999999996</v>
      </c>
      <c r="E386" s="4">
        <v>119263</v>
      </c>
      <c r="F386" s="4">
        <v>2014</v>
      </c>
      <c r="G386" s="21" t="str">
        <f t="shared" si="20"/>
        <v>Popular</v>
      </c>
      <c r="H386" s="21" t="str">
        <f t="shared" si="21"/>
        <v>Other</v>
      </c>
      <c r="I386" s="21" t="str">
        <f t="shared" si="22"/>
        <v>Comedy</v>
      </c>
      <c r="J386" s="21" t="str">
        <f t="shared" si="23"/>
        <v>Old</v>
      </c>
    </row>
    <row r="387" spans="1:10" x14ac:dyDescent="0.35">
      <c r="A387" s="4" t="s">
        <v>498</v>
      </c>
      <c r="B387" s="4" t="s">
        <v>499</v>
      </c>
      <c r="C387" s="4" t="s">
        <v>11</v>
      </c>
      <c r="D387" s="20">
        <v>3.8</v>
      </c>
      <c r="E387" s="4">
        <v>18874</v>
      </c>
      <c r="F387" s="4">
        <v>2014</v>
      </c>
      <c r="G387" s="21" t="str">
        <f t="shared" ref="G387:G450" si="24">IF(AND(D387&gt;5, E387&gt;1000), "Popular", "Not Popular")</f>
        <v>Not Popular</v>
      </c>
      <c r="H387" s="21" t="str">
        <f t="shared" ref="H387:H450" si="25">IF(OR(ISNUMBER(SEARCH("Action", C387)), ISNUMBER(SEARCH("Drama", C387))), "Action or Drama", IF(OR(ISNUMBER(SEARCH("Horror", C387)), ISNUMBER(SEARCH("Thriller", C387))), "Horror or Thriller", "Other"))</f>
        <v>Other</v>
      </c>
      <c r="I387" s="21" t="str">
        <f t="shared" ref="I387:I450" si="26">IF(NOT(ISNUMBER(SEARCH("Comedy", C387))), "Not Comedy", "Comedy")</f>
        <v>Comedy</v>
      </c>
      <c r="J387" s="21" t="str">
        <f t="shared" ref="J387:J450" si="27">IF(F387&gt;2020, "Recent", "Old")</f>
        <v>Old</v>
      </c>
    </row>
    <row r="388" spans="1:10" x14ac:dyDescent="0.35">
      <c r="A388" s="4" t="s">
        <v>1749</v>
      </c>
      <c r="B388" s="4" t="s">
        <v>1750</v>
      </c>
      <c r="C388" s="4" t="s">
        <v>294</v>
      </c>
      <c r="D388" s="20">
        <v>5</v>
      </c>
      <c r="E388" s="4">
        <v>25793</v>
      </c>
      <c r="F388" s="4">
        <v>2014</v>
      </c>
      <c r="G388" s="21" t="str">
        <f t="shared" si="24"/>
        <v>Not Popular</v>
      </c>
      <c r="H388" s="21" t="str">
        <f t="shared" si="25"/>
        <v>Action or Drama</v>
      </c>
      <c r="I388" s="21" t="str">
        <f t="shared" si="26"/>
        <v>Not Comedy</v>
      </c>
      <c r="J388" s="21" t="str">
        <f t="shared" si="27"/>
        <v>Old</v>
      </c>
    </row>
    <row r="389" spans="1:10" x14ac:dyDescent="0.35">
      <c r="A389" s="4" t="s">
        <v>1706</v>
      </c>
      <c r="B389" s="4" t="s">
        <v>1707</v>
      </c>
      <c r="C389" s="4" t="s">
        <v>448</v>
      </c>
      <c r="D389" s="20">
        <v>5</v>
      </c>
      <c r="E389" s="4">
        <v>46139</v>
      </c>
      <c r="F389" s="4">
        <v>2014</v>
      </c>
      <c r="G389" s="21" t="str">
        <f t="shared" si="24"/>
        <v>Not Popular</v>
      </c>
      <c r="H389" s="21" t="str">
        <f t="shared" si="25"/>
        <v>Horror or Thriller</v>
      </c>
      <c r="I389" s="21" t="str">
        <f t="shared" si="26"/>
        <v>Not Comedy</v>
      </c>
      <c r="J389" s="21" t="str">
        <f t="shared" si="27"/>
        <v>Old</v>
      </c>
    </row>
    <row r="390" spans="1:10" x14ac:dyDescent="0.35">
      <c r="A390" s="4" t="s">
        <v>1116</v>
      </c>
      <c r="B390" s="4" t="s">
        <v>1117</v>
      </c>
      <c r="C390" s="4" t="s">
        <v>134</v>
      </c>
      <c r="D390" s="20">
        <v>4.5999999999999996</v>
      </c>
      <c r="E390" s="4">
        <v>14471</v>
      </c>
      <c r="F390" s="4">
        <v>2014</v>
      </c>
      <c r="G390" s="21" t="str">
        <f t="shared" si="24"/>
        <v>Not Popular</v>
      </c>
      <c r="H390" s="21" t="str">
        <f t="shared" si="25"/>
        <v>Action or Drama</v>
      </c>
      <c r="I390" s="21" t="str">
        <f t="shared" si="26"/>
        <v>Not Comedy</v>
      </c>
      <c r="J390" s="21" t="str">
        <f t="shared" si="27"/>
        <v>Old</v>
      </c>
    </row>
    <row r="391" spans="1:10" x14ac:dyDescent="0.35">
      <c r="A391" s="4" t="s">
        <v>940</v>
      </c>
      <c r="B391" s="4" t="s">
        <v>941</v>
      </c>
      <c r="C391" s="4" t="s">
        <v>175</v>
      </c>
      <c r="D391" s="20">
        <v>4.5</v>
      </c>
      <c r="E391" s="4">
        <v>59038</v>
      </c>
      <c r="F391" s="4">
        <v>2014</v>
      </c>
      <c r="G391" s="21" t="str">
        <f t="shared" si="24"/>
        <v>Not Popular</v>
      </c>
      <c r="H391" s="21" t="str">
        <f t="shared" si="25"/>
        <v>Horror or Thriller</v>
      </c>
      <c r="I391" s="21" t="str">
        <f t="shared" si="26"/>
        <v>Not Comedy</v>
      </c>
      <c r="J391" s="21" t="str">
        <f t="shared" si="27"/>
        <v>Old</v>
      </c>
    </row>
    <row r="392" spans="1:10" x14ac:dyDescent="0.35">
      <c r="A392" s="4" t="s">
        <v>2016</v>
      </c>
      <c r="B392" s="4" t="s">
        <v>2017</v>
      </c>
      <c r="C392" s="4" t="s">
        <v>577</v>
      </c>
      <c r="D392" s="20">
        <v>5.0999999999999996</v>
      </c>
      <c r="E392" s="4">
        <v>15261</v>
      </c>
      <c r="F392" s="4">
        <v>2014</v>
      </c>
      <c r="G392" s="21" t="str">
        <f t="shared" si="24"/>
        <v>Popular</v>
      </c>
      <c r="H392" s="21" t="str">
        <f t="shared" si="25"/>
        <v>Horror or Thriller</v>
      </c>
      <c r="I392" s="21" t="str">
        <f t="shared" si="26"/>
        <v>Not Comedy</v>
      </c>
      <c r="J392" s="21" t="str">
        <f t="shared" si="27"/>
        <v>Old</v>
      </c>
    </row>
    <row r="393" spans="1:10" x14ac:dyDescent="0.35">
      <c r="A393" s="4" t="s">
        <v>815</v>
      </c>
      <c r="B393" s="4" t="s">
        <v>816</v>
      </c>
      <c r="C393" s="4" t="s">
        <v>243</v>
      </c>
      <c r="D393" s="20">
        <v>4.3</v>
      </c>
      <c r="E393" s="4">
        <v>11309</v>
      </c>
      <c r="F393" s="4">
        <v>2014</v>
      </c>
      <c r="G393" s="21" t="str">
        <f t="shared" si="24"/>
        <v>Not Popular</v>
      </c>
      <c r="H393" s="21" t="str">
        <f t="shared" si="25"/>
        <v>Action or Drama</v>
      </c>
      <c r="I393" s="21" t="str">
        <f t="shared" si="26"/>
        <v>Not Comedy</v>
      </c>
      <c r="J393" s="21" t="str">
        <f t="shared" si="27"/>
        <v>Old</v>
      </c>
    </row>
    <row r="394" spans="1:10" x14ac:dyDescent="0.35">
      <c r="A394" s="4" t="s">
        <v>704</v>
      </c>
      <c r="B394" s="4" t="s">
        <v>705</v>
      </c>
      <c r="C394" s="4" t="s">
        <v>706</v>
      </c>
      <c r="D394" s="20">
        <v>4.2</v>
      </c>
      <c r="E394" s="4">
        <v>28726</v>
      </c>
      <c r="F394" s="4">
        <v>2014</v>
      </c>
      <c r="G394" s="21" t="str">
        <f t="shared" si="24"/>
        <v>Not Popular</v>
      </c>
      <c r="H394" s="21" t="str">
        <f t="shared" si="25"/>
        <v>Action or Drama</v>
      </c>
      <c r="I394" s="21" t="str">
        <f t="shared" si="26"/>
        <v>Comedy</v>
      </c>
      <c r="J394" s="21" t="str">
        <f t="shared" si="27"/>
        <v>Old</v>
      </c>
    </row>
    <row r="395" spans="1:10" x14ac:dyDescent="0.35">
      <c r="A395" s="4" t="s">
        <v>2098</v>
      </c>
      <c r="B395" s="4" t="s">
        <v>2099</v>
      </c>
      <c r="C395" s="4" t="s">
        <v>181</v>
      </c>
      <c r="D395" s="20">
        <v>5.0999999999999996</v>
      </c>
      <c r="E395" s="4">
        <v>10142</v>
      </c>
      <c r="F395" s="4">
        <v>2014</v>
      </c>
      <c r="G395" s="21" t="str">
        <f t="shared" si="24"/>
        <v>Popular</v>
      </c>
      <c r="H395" s="21" t="str">
        <f t="shared" si="25"/>
        <v>Action or Drama</v>
      </c>
      <c r="I395" s="21" t="str">
        <f t="shared" si="26"/>
        <v>Comedy</v>
      </c>
      <c r="J395" s="21" t="str">
        <f t="shared" si="27"/>
        <v>Old</v>
      </c>
    </row>
    <row r="396" spans="1:10" x14ac:dyDescent="0.35">
      <c r="A396" s="4" t="s">
        <v>282</v>
      </c>
      <c r="B396" s="4" t="s">
        <v>283</v>
      </c>
      <c r="C396" s="4" t="s">
        <v>53</v>
      </c>
      <c r="D396" s="20">
        <v>3.1</v>
      </c>
      <c r="E396" s="4">
        <v>43118</v>
      </c>
      <c r="F396" s="4">
        <v>2014</v>
      </c>
      <c r="G396" s="21" t="str">
        <f t="shared" si="24"/>
        <v>Not Popular</v>
      </c>
      <c r="H396" s="21" t="str">
        <f t="shared" si="25"/>
        <v>Action or Drama</v>
      </c>
      <c r="I396" s="21" t="str">
        <f t="shared" si="26"/>
        <v>Not Comedy</v>
      </c>
      <c r="J396" s="21" t="str">
        <f t="shared" si="27"/>
        <v>Old</v>
      </c>
    </row>
    <row r="397" spans="1:10" x14ac:dyDescent="0.35">
      <c r="A397" s="4" t="s">
        <v>42</v>
      </c>
      <c r="B397" s="4" t="s">
        <v>43</v>
      </c>
      <c r="C397" s="4" t="s">
        <v>44</v>
      </c>
      <c r="D397" s="20">
        <v>1.3</v>
      </c>
      <c r="E397" s="4">
        <v>16868</v>
      </c>
      <c r="F397" s="4">
        <v>2014</v>
      </c>
      <c r="G397" s="21" t="str">
        <f t="shared" si="24"/>
        <v>Not Popular</v>
      </c>
      <c r="H397" s="21" t="str">
        <f t="shared" si="25"/>
        <v>Other</v>
      </c>
      <c r="I397" s="21" t="str">
        <f t="shared" si="26"/>
        <v>Comedy</v>
      </c>
      <c r="J397" s="21" t="str">
        <f t="shared" si="27"/>
        <v>Old</v>
      </c>
    </row>
    <row r="398" spans="1:10" x14ac:dyDescent="0.35">
      <c r="A398" s="4" t="s">
        <v>1765</v>
      </c>
      <c r="B398" s="4" t="s">
        <v>1766</v>
      </c>
      <c r="C398" s="4" t="s">
        <v>26</v>
      </c>
      <c r="D398" s="20">
        <v>5</v>
      </c>
      <c r="E398" s="4">
        <v>21086</v>
      </c>
      <c r="F398" s="4">
        <v>2014</v>
      </c>
      <c r="G398" s="21" t="str">
        <f t="shared" si="24"/>
        <v>Not Popular</v>
      </c>
      <c r="H398" s="21" t="str">
        <f t="shared" si="25"/>
        <v>Action or Drama</v>
      </c>
      <c r="I398" s="21" t="str">
        <f t="shared" si="26"/>
        <v>Not Comedy</v>
      </c>
      <c r="J398" s="21" t="str">
        <f t="shared" si="27"/>
        <v>Old</v>
      </c>
    </row>
    <row r="399" spans="1:10" x14ac:dyDescent="0.35">
      <c r="A399" s="4" t="s">
        <v>1021</v>
      </c>
      <c r="B399" s="4" t="s">
        <v>1022</v>
      </c>
      <c r="C399" s="4" t="s">
        <v>125</v>
      </c>
      <c r="D399" s="20">
        <v>4.5</v>
      </c>
      <c r="E399" s="4">
        <v>10015</v>
      </c>
      <c r="F399" s="4">
        <v>2014</v>
      </c>
      <c r="G399" s="21" t="str">
        <f t="shared" si="24"/>
        <v>Not Popular</v>
      </c>
      <c r="H399" s="21" t="str">
        <f t="shared" si="25"/>
        <v>Action or Drama</v>
      </c>
      <c r="I399" s="21" t="str">
        <f t="shared" si="26"/>
        <v>Comedy</v>
      </c>
      <c r="J399" s="21" t="str">
        <f t="shared" si="27"/>
        <v>Old</v>
      </c>
    </row>
    <row r="400" spans="1:10" x14ac:dyDescent="0.35">
      <c r="A400" s="4" t="s">
        <v>1865</v>
      </c>
      <c r="B400" s="4" t="s">
        <v>1866</v>
      </c>
      <c r="C400" s="4" t="s">
        <v>53</v>
      </c>
      <c r="D400" s="20">
        <v>5.0999999999999996</v>
      </c>
      <c r="E400" s="4">
        <v>84431</v>
      </c>
      <c r="F400" s="4">
        <v>2014</v>
      </c>
      <c r="G400" s="21" t="str">
        <f t="shared" si="24"/>
        <v>Popular</v>
      </c>
      <c r="H400" s="21" t="str">
        <f t="shared" si="25"/>
        <v>Action or Drama</v>
      </c>
      <c r="I400" s="21" t="str">
        <f t="shared" si="26"/>
        <v>Not Comedy</v>
      </c>
      <c r="J400" s="21" t="str">
        <f t="shared" si="27"/>
        <v>Old</v>
      </c>
    </row>
    <row r="401" spans="1:10" x14ac:dyDescent="0.35">
      <c r="A401" s="4" t="s">
        <v>1711</v>
      </c>
      <c r="B401" s="4" t="s">
        <v>1712</v>
      </c>
      <c r="C401" s="4" t="s">
        <v>146</v>
      </c>
      <c r="D401" s="20">
        <v>5</v>
      </c>
      <c r="E401" s="4">
        <v>41785</v>
      </c>
      <c r="F401" s="4">
        <v>2014</v>
      </c>
      <c r="G401" s="21" t="str">
        <f t="shared" si="24"/>
        <v>Not Popular</v>
      </c>
      <c r="H401" s="21" t="str">
        <f t="shared" si="25"/>
        <v>Action or Drama</v>
      </c>
      <c r="I401" s="21" t="str">
        <f t="shared" si="26"/>
        <v>Comedy</v>
      </c>
      <c r="J401" s="21" t="str">
        <f t="shared" si="27"/>
        <v>Old</v>
      </c>
    </row>
    <row r="402" spans="1:10" x14ac:dyDescent="0.35">
      <c r="A402" s="4" t="s">
        <v>203</v>
      </c>
      <c r="B402" s="4" t="s">
        <v>204</v>
      </c>
      <c r="C402" s="4" t="s">
        <v>205</v>
      </c>
      <c r="D402" s="20">
        <v>2.7</v>
      </c>
      <c r="E402" s="4">
        <v>60523</v>
      </c>
      <c r="F402" s="4">
        <v>2014</v>
      </c>
      <c r="G402" s="21" t="str">
        <f t="shared" si="24"/>
        <v>Not Popular</v>
      </c>
      <c r="H402" s="21" t="str">
        <f t="shared" si="25"/>
        <v>Action or Drama</v>
      </c>
      <c r="I402" s="21" t="str">
        <f t="shared" si="26"/>
        <v>Not Comedy</v>
      </c>
      <c r="J402" s="21" t="str">
        <f t="shared" si="27"/>
        <v>Old</v>
      </c>
    </row>
    <row r="403" spans="1:10" x14ac:dyDescent="0.35">
      <c r="A403" s="4" t="s">
        <v>1042</v>
      </c>
      <c r="B403" s="4" t="s">
        <v>1043</v>
      </c>
      <c r="C403" s="4" t="s">
        <v>208</v>
      </c>
      <c r="D403" s="20">
        <v>4.5999999999999996</v>
      </c>
      <c r="E403" s="4">
        <v>45654</v>
      </c>
      <c r="F403" s="4">
        <v>2014</v>
      </c>
      <c r="G403" s="21" t="str">
        <f t="shared" si="24"/>
        <v>Not Popular</v>
      </c>
      <c r="H403" s="21" t="str">
        <f t="shared" si="25"/>
        <v>Action or Drama</v>
      </c>
      <c r="I403" s="21" t="str">
        <f t="shared" si="26"/>
        <v>Not Comedy</v>
      </c>
      <c r="J403" s="21" t="str">
        <f t="shared" si="27"/>
        <v>Old</v>
      </c>
    </row>
    <row r="404" spans="1:10" x14ac:dyDescent="0.35">
      <c r="A404" s="4" t="s">
        <v>1432</v>
      </c>
      <c r="B404" s="4" t="s">
        <v>1433</v>
      </c>
      <c r="C404" s="4" t="s">
        <v>1075</v>
      </c>
      <c r="D404" s="20">
        <v>4.8</v>
      </c>
      <c r="E404" s="4">
        <v>17442</v>
      </c>
      <c r="F404" s="4">
        <v>2014</v>
      </c>
      <c r="G404" s="21" t="str">
        <f t="shared" si="24"/>
        <v>Not Popular</v>
      </c>
      <c r="H404" s="21" t="str">
        <f t="shared" si="25"/>
        <v>Action or Drama</v>
      </c>
      <c r="I404" s="21" t="str">
        <f t="shared" si="26"/>
        <v>Not Comedy</v>
      </c>
      <c r="J404" s="21" t="str">
        <f t="shared" si="27"/>
        <v>Old</v>
      </c>
    </row>
    <row r="405" spans="1:10" x14ac:dyDescent="0.35">
      <c r="A405" s="4" t="s">
        <v>1776</v>
      </c>
      <c r="B405" s="4" t="s">
        <v>1777</v>
      </c>
      <c r="C405" s="4" t="s">
        <v>1778</v>
      </c>
      <c r="D405" s="20">
        <v>5</v>
      </c>
      <c r="E405" s="4">
        <v>16941</v>
      </c>
      <c r="F405" s="4">
        <v>2014</v>
      </c>
      <c r="G405" s="21" t="str">
        <f t="shared" si="24"/>
        <v>Not Popular</v>
      </c>
      <c r="H405" s="21" t="str">
        <f t="shared" si="25"/>
        <v>Action or Drama</v>
      </c>
      <c r="I405" s="21" t="str">
        <f t="shared" si="26"/>
        <v>Not Comedy</v>
      </c>
      <c r="J405" s="21" t="str">
        <f t="shared" si="27"/>
        <v>Old</v>
      </c>
    </row>
    <row r="406" spans="1:10" x14ac:dyDescent="0.35">
      <c r="A406" s="4" t="s">
        <v>1972</v>
      </c>
      <c r="B406" s="4" t="s">
        <v>1973</v>
      </c>
      <c r="C406" s="4" t="s">
        <v>294</v>
      </c>
      <c r="D406" s="20">
        <v>5.0999999999999996</v>
      </c>
      <c r="E406" s="4">
        <v>19659</v>
      </c>
      <c r="F406" s="4">
        <v>2014</v>
      </c>
      <c r="G406" s="21" t="str">
        <f t="shared" si="24"/>
        <v>Popular</v>
      </c>
      <c r="H406" s="21" t="str">
        <f t="shared" si="25"/>
        <v>Action or Drama</v>
      </c>
      <c r="I406" s="21" t="str">
        <f t="shared" si="26"/>
        <v>Not Comedy</v>
      </c>
      <c r="J406" s="21" t="str">
        <f t="shared" si="27"/>
        <v>Old</v>
      </c>
    </row>
    <row r="407" spans="1:10" x14ac:dyDescent="0.35">
      <c r="A407" s="4" t="s">
        <v>1010</v>
      </c>
      <c r="B407" s="4" t="s">
        <v>1011</v>
      </c>
      <c r="C407" s="4" t="s">
        <v>568</v>
      </c>
      <c r="D407" s="20">
        <v>4.5</v>
      </c>
      <c r="E407" s="4">
        <v>11714</v>
      </c>
      <c r="F407" s="4">
        <v>2014</v>
      </c>
      <c r="G407" s="21" t="str">
        <f t="shared" si="24"/>
        <v>Not Popular</v>
      </c>
      <c r="H407" s="21" t="str">
        <f t="shared" si="25"/>
        <v>Action or Drama</v>
      </c>
      <c r="I407" s="21" t="str">
        <f t="shared" si="26"/>
        <v>Not Comedy</v>
      </c>
      <c r="J407" s="21" t="str">
        <f t="shared" si="27"/>
        <v>Old</v>
      </c>
    </row>
    <row r="408" spans="1:10" x14ac:dyDescent="0.35">
      <c r="A408" s="4" t="s">
        <v>716</v>
      </c>
      <c r="B408" s="4" t="s">
        <v>717</v>
      </c>
      <c r="C408" s="4" t="s">
        <v>448</v>
      </c>
      <c r="D408" s="20">
        <v>4.2</v>
      </c>
      <c r="E408" s="4">
        <v>18008</v>
      </c>
      <c r="F408" s="4">
        <v>2014</v>
      </c>
      <c r="G408" s="21" t="str">
        <f t="shared" si="24"/>
        <v>Not Popular</v>
      </c>
      <c r="H408" s="21" t="str">
        <f t="shared" si="25"/>
        <v>Horror or Thriller</v>
      </c>
      <c r="I408" s="21" t="str">
        <f t="shared" si="26"/>
        <v>Not Comedy</v>
      </c>
      <c r="J408" s="21" t="str">
        <f t="shared" si="27"/>
        <v>Old</v>
      </c>
    </row>
    <row r="409" spans="1:10" x14ac:dyDescent="0.35">
      <c r="A409" s="4" t="s">
        <v>906</v>
      </c>
      <c r="B409" s="4" t="s">
        <v>907</v>
      </c>
      <c r="C409" s="4" t="s">
        <v>116</v>
      </c>
      <c r="D409" s="20">
        <v>4.4000000000000004</v>
      </c>
      <c r="E409" s="4">
        <v>12499</v>
      </c>
      <c r="F409" s="4">
        <v>2014</v>
      </c>
      <c r="G409" s="21" t="str">
        <f t="shared" si="24"/>
        <v>Not Popular</v>
      </c>
      <c r="H409" s="21" t="str">
        <f t="shared" si="25"/>
        <v>Other</v>
      </c>
      <c r="I409" s="21" t="str">
        <f t="shared" si="26"/>
        <v>Comedy</v>
      </c>
      <c r="J409" s="21" t="str">
        <f t="shared" si="27"/>
        <v>Old</v>
      </c>
    </row>
    <row r="410" spans="1:10" x14ac:dyDescent="0.35">
      <c r="A410" s="4" t="s">
        <v>1769</v>
      </c>
      <c r="B410" s="4" t="s">
        <v>1770</v>
      </c>
      <c r="C410" s="4" t="s">
        <v>56</v>
      </c>
      <c r="D410" s="20">
        <v>5</v>
      </c>
      <c r="E410" s="4">
        <v>17764</v>
      </c>
      <c r="F410" s="4">
        <v>2014</v>
      </c>
      <c r="G410" s="21" t="str">
        <f t="shared" si="24"/>
        <v>Not Popular</v>
      </c>
      <c r="H410" s="21" t="str">
        <f t="shared" si="25"/>
        <v>Action or Drama</v>
      </c>
      <c r="I410" s="21" t="str">
        <f t="shared" si="26"/>
        <v>Not Comedy</v>
      </c>
      <c r="J410" s="21" t="str">
        <f t="shared" si="27"/>
        <v>Old</v>
      </c>
    </row>
    <row r="411" spans="1:10" x14ac:dyDescent="0.35">
      <c r="A411" s="4" t="s">
        <v>1811</v>
      </c>
      <c r="B411" s="4" t="s">
        <v>1812</v>
      </c>
      <c r="C411" s="4" t="s">
        <v>682</v>
      </c>
      <c r="D411" s="20">
        <v>5</v>
      </c>
      <c r="E411" s="4">
        <v>12499</v>
      </c>
      <c r="F411" s="4">
        <v>2014</v>
      </c>
      <c r="G411" s="21" t="str">
        <f t="shared" si="24"/>
        <v>Not Popular</v>
      </c>
      <c r="H411" s="21" t="str">
        <f t="shared" si="25"/>
        <v>Action or Drama</v>
      </c>
      <c r="I411" s="21" t="str">
        <f t="shared" si="26"/>
        <v>Not Comedy</v>
      </c>
      <c r="J411" s="21" t="str">
        <f t="shared" si="27"/>
        <v>Old</v>
      </c>
    </row>
    <row r="412" spans="1:10" x14ac:dyDescent="0.35">
      <c r="A412" s="4" t="s">
        <v>1239</v>
      </c>
      <c r="B412" s="4" t="s">
        <v>1240</v>
      </c>
      <c r="C412" s="4" t="s">
        <v>270</v>
      </c>
      <c r="D412" s="20">
        <v>4.7</v>
      </c>
      <c r="E412" s="4">
        <v>23931</v>
      </c>
      <c r="F412" s="4">
        <v>2014</v>
      </c>
      <c r="G412" s="21" t="str">
        <f t="shared" si="24"/>
        <v>Not Popular</v>
      </c>
      <c r="H412" s="21" t="str">
        <f t="shared" si="25"/>
        <v>Horror or Thriller</v>
      </c>
      <c r="I412" s="21" t="str">
        <f t="shared" si="26"/>
        <v>Comedy</v>
      </c>
      <c r="J412" s="21" t="str">
        <f t="shared" si="27"/>
        <v>Old</v>
      </c>
    </row>
    <row r="413" spans="1:10" x14ac:dyDescent="0.35">
      <c r="A413" s="4" t="s">
        <v>2036</v>
      </c>
      <c r="B413" s="4" t="s">
        <v>2037</v>
      </c>
      <c r="C413" s="4" t="s">
        <v>175</v>
      </c>
      <c r="D413" s="20">
        <v>5.0999999999999996</v>
      </c>
      <c r="E413" s="4">
        <v>13292</v>
      </c>
      <c r="F413" s="4">
        <v>2013</v>
      </c>
      <c r="G413" s="21" t="str">
        <f t="shared" si="24"/>
        <v>Popular</v>
      </c>
      <c r="H413" s="21" t="str">
        <f t="shared" si="25"/>
        <v>Horror or Thriller</v>
      </c>
      <c r="I413" s="21" t="str">
        <f t="shared" si="26"/>
        <v>Not Comedy</v>
      </c>
      <c r="J413" s="21" t="str">
        <f t="shared" si="27"/>
        <v>Old</v>
      </c>
    </row>
    <row r="414" spans="1:10" x14ac:dyDescent="0.35">
      <c r="A414" s="4" t="s">
        <v>1630</v>
      </c>
      <c r="B414" s="4" t="s">
        <v>1631</v>
      </c>
      <c r="C414" s="4" t="s">
        <v>178</v>
      </c>
      <c r="D414" s="20">
        <v>4.9000000000000004</v>
      </c>
      <c r="E414" s="4">
        <v>14215</v>
      </c>
      <c r="F414" s="4">
        <v>2013</v>
      </c>
      <c r="G414" s="21" t="str">
        <f t="shared" si="24"/>
        <v>Not Popular</v>
      </c>
      <c r="H414" s="21" t="str">
        <f t="shared" si="25"/>
        <v>Action or Drama</v>
      </c>
      <c r="I414" s="21" t="str">
        <f t="shared" si="26"/>
        <v>Comedy</v>
      </c>
      <c r="J414" s="21" t="str">
        <f t="shared" si="27"/>
        <v>Old</v>
      </c>
    </row>
    <row r="415" spans="1:10" x14ac:dyDescent="0.35">
      <c r="A415" s="4" t="s">
        <v>1622</v>
      </c>
      <c r="B415" s="4" t="s">
        <v>1623</v>
      </c>
      <c r="C415" s="4" t="s">
        <v>101</v>
      </c>
      <c r="D415" s="20">
        <v>4.9000000000000004</v>
      </c>
      <c r="E415" s="4">
        <v>16091</v>
      </c>
      <c r="F415" s="4">
        <v>2013</v>
      </c>
      <c r="G415" s="21" t="str">
        <f t="shared" si="24"/>
        <v>Not Popular</v>
      </c>
      <c r="H415" s="21" t="str">
        <f t="shared" si="25"/>
        <v>Action or Drama</v>
      </c>
      <c r="I415" s="21" t="str">
        <f t="shared" si="26"/>
        <v>Not Comedy</v>
      </c>
      <c r="J415" s="21" t="str">
        <f t="shared" si="27"/>
        <v>Old</v>
      </c>
    </row>
    <row r="416" spans="1:10" x14ac:dyDescent="0.35">
      <c r="A416" s="4" t="s">
        <v>297</v>
      </c>
      <c r="B416" s="4" t="s">
        <v>298</v>
      </c>
      <c r="C416" s="4" t="s">
        <v>299</v>
      </c>
      <c r="D416" s="20">
        <v>3.2</v>
      </c>
      <c r="E416" s="4">
        <v>22908</v>
      </c>
      <c r="F416" s="4">
        <v>2013</v>
      </c>
      <c r="G416" s="21" t="str">
        <f t="shared" si="24"/>
        <v>Not Popular</v>
      </c>
      <c r="H416" s="21" t="str">
        <f t="shared" si="25"/>
        <v>Other</v>
      </c>
      <c r="I416" s="21" t="str">
        <f t="shared" si="26"/>
        <v>Comedy</v>
      </c>
      <c r="J416" s="21" t="str">
        <f t="shared" si="27"/>
        <v>Old</v>
      </c>
    </row>
    <row r="417" spans="1:10" x14ac:dyDescent="0.35">
      <c r="A417" s="4" t="s">
        <v>607</v>
      </c>
      <c r="B417" s="4" t="s">
        <v>608</v>
      </c>
      <c r="C417" s="4" t="s">
        <v>82</v>
      </c>
      <c r="D417" s="20">
        <v>4</v>
      </c>
      <c r="E417" s="4">
        <v>17167</v>
      </c>
      <c r="F417" s="4">
        <v>2013</v>
      </c>
      <c r="G417" s="21" t="str">
        <f t="shared" si="24"/>
        <v>Not Popular</v>
      </c>
      <c r="H417" s="21" t="str">
        <f t="shared" si="25"/>
        <v>Horror or Thriller</v>
      </c>
      <c r="I417" s="21" t="str">
        <f t="shared" si="26"/>
        <v>Not Comedy</v>
      </c>
      <c r="J417" s="21" t="str">
        <f t="shared" si="27"/>
        <v>Old</v>
      </c>
    </row>
    <row r="418" spans="1:10" x14ac:dyDescent="0.35">
      <c r="A418" s="4" t="s">
        <v>1835</v>
      </c>
      <c r="B418" s="4" t="s">
        <v>1836</v>
      </c>
      <c r="C418" s="4" t="s">
        <v>169</v>
      </c>
      <c r="D418" s="20">
        <v>5</v>
      </c>
      <c r="E418" s="4">
        <v>11113</v>
      </c>
      <c r="F418" s="4">
        <v>2013</v>
      </c>
      <c r="G418" s="21" t="str">
        <f t="shared" si="24"/>
        <v>Not Popular</v>
      </c>
      <c r="H418" s="21" t="str">
        <f t="shared" si="25"/>
        <v>Action or Drama</v>
      </c>
      <c r="I418" s="21" t="str">
        <f t="shared" si="26"/>
        <v>Comedy</v>
      </c>
      <c r="J418" s="21" t="str">
        <f t="shared" si="27"/>
        <v>Old</v>
      </c>
    </row>
    <row r="419" spans="1:10" x14ac:dyDescent="0.35">
      <c r="A419" s="4" t="s">
        <v>515</v>
      </c>
      <c r="B419" s="4" t="s">
        <v>516</v>
      </c>
      <c r="C419" s="4" t="s">
        <v>31</v>
      </c>
      <c r="D419" s="20">
        <v>3.8</v>
      </c>
      <c r="E419" s="4">
        <v>12096</v>
      </c>
      <c r="F419" s="4">
        <v>2013</v>
      </c>
      <c r="G419" s="21" t="str">
        <f t="shared" si="24"/>
        <v>Not Popular</v>
      </c>
      <c r="H419" s="21" t="str">
        <f t="shared" si="25"/>
        <v>Action or Drama</v>
      </c>
      <c r="I419" s="21" t="str">
        <f t="shared" si="26"/>
        <v>Not Comedy</v>
      </c>
      <c r="J419" s="21" t="str">
        <f t="shared" si="27"/>
        <v>Old</v>
      </c>
    </row>
    <row r="420" spans="1:10" x14ac:dyDescent="0.35">
      <c r="A420" s="4" t="s">
        <v>1336</v>
      </c>
      <c r="B420" s="4" t="s">
        <v>1337</v>
      </c>
      <c r="C420" s="4" t="s">
        <v>82</v>
      </c>
      <c r="D420" s="20">
        <v>4.8</v>
      </c>
      <c r="E420" s="4">
        <v>57264</v>
      </c>
      <c r="F420" s="4">
        <v>2013</v>
      </c>
      <c r="G420" s="21" t="str">
        <f t="shared" si="24"/>
        <v>Not Popular</v>
      </c>
      <c r="H420" s="21" t="str">
        <f t="shared" si="25"/>
        <v>Horror or Thriller</v>
      </c>
      <c r="I420" s="21" t="str">
        <f t="shared" si="26"/>
        <v>Not Comedy</v>
      </c>
      <c r="J420" s="21" t="str">
        <f t="shared" si="27"/>
        <v>Old</v>
      </c>
    </row>
    <row r="421" spans="1:10" x14ac:dyDescent="0.35">
      <c r="A421" s="4" t="s">
        <v>1645</v>
      </c>
      <c r="B421" s="4" t="s">
        <v>1646</v>
      </c>
      <c r="C421" s="4" t="s">
        <v>14</v>
      </c>
      <c r="D421" s="20">
        <v>4.9000000000000004</v>
      </c>
      <c r="E421" s="4">
        <v>12517</v>
      </c>
      <c r="F421" s="4">
        <v>2013</v>
      </c>
      <c r="G421" s="21" t="str">
        <f t="shared" si="24"/>
        <v>Not Popular</v>
      </c>
      <c r="H421" s="21" t="str">
        <f t="shared" si="25"/>
        <v>Action or Drama</v>
      </c>
      <c r="I421" s="21" t="str">
        <f t="shared" si="26"/>
        <v>Not Comedy</v>
      </c>
      <c r="J421" s="21" t="str">
        <f t="shared" si="27"/>
        <v>Old</v>
      </c>
    </row>
    <row r="422" spans="1:10" x14ac:dyDescent="0.35">
      <c r="A422" s="4" t="s">
        <v>1466</v>
      </c>
      <c r="B422" s="4" t="s">
        <v>1467</v>
      </c>
      <c r="C422" s="4" t="s">
        <v>47</v>
      </c>
      <c r="D422" s="20">
        <v>4.8</v>
      </c>
      <c r="E422" s="4">
        <v>13140</v>
      </c>
      <c r="F422" s="4">
        <v>2013</v>
      </c>
      <c r="G422" s="21" t="str">
        <f t="shared" si="24"/>
        <v>Not Popular</v>
      </c>
      <c r="H422" s="21" t="str">
        <f t="shared" si="25"/>
        <v>Action or Drama</v>
      </c>
      <c r="I422" s="21" t="str">
        <f t="shared" si="26"/>
        <v>Not Comedy</v>
      </c>
      <c r="J422" s="21" t="str">
        <f t="shared" si="27"/>
        <v>Old</v>
      </c>
    </row>
    <row r="423" spans="1:10" x14ac:dyDescent="0.35">
      <c r="A423" s="4" t="s">
        <v>321</v>
      </c>
      <c r="B423" s="4" t="s">
        <v>322</v>
      </c>
      <c r="C423" s="4" t="s">
        <v>178</v>
      </c>
      <c r="D423" s="20">
        <v>3.3</v>
      </c>
      <c r="E423" s="4">
        <v>53822</v>
      </c>
      <c r="F423" s="4">
        <v>2013</v>
      </c>
      <c r="G423" s="21" t="str">
        <f t="shared" si="24"/>
        <v>Not Popular</v>
      </c>
      <c r="H423" s="21" t="str">
        <f t="shared" si="25"/>
        <v>Action or Drama</v>
      </c>
      <c r="I423" s="21" t="str">
        <f t="shared" si="26"/>
        <v>Comedy</v>
      </c>
      <c r="J423" s="21" t="str">
        <f t="shared" si="27"/>
        <v>Old</v>
      </c>
    </row>
    <row r="424" spans="1:10" x14ac:dyDescent="0.35">
      <c r="A424" s="4" t="s">
        <v>366</v>
      </c>
      <c r="B424" s="4" t="s">
        <v>367</v>
      </c>
      <c r="C424" s="4" t="s">
        <v>211</v>
      </c>
      <c r="D424" s="20">
        <v>3.5</v>
      </c>
      <c r="E424" s="4">
        <v>78692</v>
      </c>
      <c r="F424" s="4">
        <v>2013</v>
      </c>
      <c r="G424" s="21" t="str">
        <f t="shared" si="24"/>
        <v>Not Popular</v>
      </c>
      <c r="H424" s="21" t="str">
        <f t="shared" si="25"/>
        <v>Horror or Thriller</v>
      </c>
      <c r="I424" s="21" t="str">
        <f t="shared" si="26"/>
        <v>Comedy</v>
      </c>
      <c r="J424" s="21" t="str">
        <f t="shared" si="27"/>
        <v>Old</v>
      </c>
    </row>
    <row r="425" spans="1:10" x14ac:dyDescent="0.35">
      <c r="A425" s="4" t="s">
        <v>1395</v>
      </c>
      <c r="B425" s="4" t="s">
        <v>1396</v>
      </c>
      <c r="C425" s="4" t="s">
        <v>508</v>
      </c>
      <c r="D425" s="20">
        <v>4.8</v>
      </c>
      <c r="E425" s="4">
        <v>23460</v>
      </c>
      <c r="F425" s="4">
        <v>2013</v>
      </c>
      <c r="G425" s="21" t="str">
        <f t="shared" si="24"/>
        <v>Not Popular</v>
      </c>
      <c r="H425" s="21" t="str">
        <f t="shared" si="25"/>
        <v>Action or Drama</v>
      </c>
      <c r="I425" s="21" t="str">
        <f t="shared" si="26"/>
        <v>Not Comedy</v>
      </c>
      <c r="J425" s="21" t="str">
        <f t="shared" si="27"/>
        <v>Old</v>
      </c>
    </row>
    <row r="426" spans="1:10" x14ac:dyDescent="0.35">
      <c r="A426" s="4" t="s">
        <v>767</v>
      </c>
      <c r="B426" s="4" t="s">
        <v>768</v>
      </c>
      <c r="C426" s="4" t="s">
        <v>68</v>
      </c>
      <c r="D426" s="20">
        <v>4.3</v>
      </c>
      <c r="E426" s="4">
        <v>25148</v>
      </c>
      <c r="F426" s="4">
        <v>2013</v>
      </c>
      <c r="G426" s="21" t="str">
        <f t="shared" si="24"/>
        <v>Not Popular</v>
      </c>
      <c r="H426" s="21" t="str">
        <f t="shared" si="25"/>
        <v>Other</v>
      </c>
      <c r="I426" s="21" t="str">
        <f t="shared" si="26"/>
        <v>Not Comedy</v>
      </c>
      <c r="J426" s="21" t="str">
        <f t="shared" si="27"/>
        <v>Old</v>
      </c>
    </row>
    <row r="427" spans="1:10" x14ac:dyDescent="0.35">
      <c r="A427" s="4" t="s">
        <v>1012</v>
      </c>
      <c r="B427" s="4" t="s">
        <v>1013</v>
      </c>
      <c r="C427" s="4" t="s">
        <v>82</v>
      </c>
      <c r="D427" s="20">
        <v>4.5</v>
      </c>
      <c r="E427" s="4">
        <v>11661</v>
      </c>
      <c r="F427" s="4">
        <v>2013</v>
      </c>
      <c r="G427" s="21" t="str">
        <f t="shared" si="24"/>
        <v>Not Popular</v>
      </c>
      <c r="H427" s="21" t="str">
        <f t="shared" si="25"/>
        <v>Horror or Thriller</v>
      </c>
      <c r="I427" s="21" t="str">
        <f t="shared" si="26"/>
        <v>Not Comedy</v>
      </c>
      <c r="J427" s="21" t="str">
        <f t="shared" si="27"/>
        <v>Old</v>
      </c>
    </row>
    <row r="428" spans="1:10" x14ac:dyDescent="0.35">
      <c r="A428" s="4" t="s">
        <v>827</v>
      </c>
      <c r="B428" s="4" t="s">
        <v>828</v>
      </c>
      <c r="C428" s="4" t="s">
        <v>11</v>
      </c>
      <c r="D428" s="20">
        <v>4.4000000000000004</v>
      </c>
      <c r="E428" s="4">
        <v>114465</v>
      </c>
      <c r="F428" s="4">
        <v>2013</v>
      </c>
      <c r="G428" s="21" t="str">
        <f t="shared" si="24"/>
        <v>Not Popular</v>
      </c>
      <c r="H428" s="21" t="str">
        <f t="shared" si="25"/>
        <v>Other</v>
      </c>
      <c r="I428" s="21" t="str">
        <f t="shared" si="26"/>
        <v>Comedy</v>
      </c>
      <c r="J428" s="21" t="str">
        <f t="shared" si="27"/>
        <v>Old</v>
      </c>
    </row>
    <row r="429" spans="1:10" x14ac:dyDescent="0.35">
      <c r="A429" s="4" t="s">
        <v>1843</v>
      </c>
      <c r="B429" s="4" t="s">
        <v>1844</v>
      </c>
      <c r="C429" s="4" t="s">
        <v>31</v>
      </c>
      <c r="D429" s="20">
        <v>5</v>
      </c>
      <c r="E429" s="4">
        <v>10469</v>
      </c>
      <c r="F429" s="4">
        <v>2013</v>
      </c>
      <c r="G429" s="21" t="str">
        <f t="shared" si="24"/>
        <v>Not Popular</v>
      </c>
      <c r="H429" s="21" t="str">
        <f t="shared" si="25"/>
        <v>Action or Drama</v>
      </c>
      <c r="I429" s="21" t="str">
        <f t="shared" si="26"/>
        <v>Not Comedy</v>
      </c>
      <c r="J429" s="21" t="str">
        <f t="shared" si="27"/>
        <v>Old</v>
      </c>
    </row>
    <row r="430" spans="1:10" x14ac:dyDescent="0.35">
      <c r="A430" s="4" t="s">
        <v>66</v>
      </c>
      <c r="B430" s="4" t="s">
        <v>67</v>
      </c>
      <c r="C430" s="4" t="s">
        <v>68</v>
      </c>
      <c r="D430" s="20">
        <v>1.6</v>
      </c>
      <c r="E430" s="4">
        <v>17938</v>
      </c>
      <c r="F430" s="4">
        <v>2013</v>
      </c>
      <c r="G430" s="21" t="str">
        <f t="shared" si="24"/>
        <v>Not Popular</v>
      </c>
      <c r="H430" s="21" t="str">
        <f t="shared" si="25"/>
        <v>Other</v>
      </c>
      <c r="I430" s="21" t="str">
        <f t="shared" si="26"/>
        <v>Not Comedy</v>
      </c>
      <c r="J430" s="21" t="str">
        <f t="shared" si="27"/>
        <v>Old</v>
      </c>
    </row>
    <row r="431" spans="1:10" x14ac:dyDescent="0.35">
      <c r="A431" s="4" t="s">
        <v>1672</v>
      </c>
      <c r="B431" s="4" t="s">
        <v>1673</v>
      </c>
      <c r="C431" s="4" t="s">
        <v>211</v>
      </c>
      <c r="D431" s="20">
        <v>4.9000000000000004</v>
      </c>
      <c r="E431" s="4">
        <v>10203</v>
      </c>
      <c r="F431" s="4">
        <v>2013</v>
      </c>
      <c r="G431" s="21" t="str">
        <f t="shared" si="24"/>
        <v>Not Popular</v>
      </c>
      <c r="H431" s="21" t="str">
        <f t="shared" si="25"/>
        <v>Horror or Thriller</v>
      </c>
      <c r="I431" s="21" t="str">
        <f t="shared" si="26"/>
        <v>Comedy</v>
      </c>
      <c r="J431" s="21" t="str">
        <f t="shared" si="27"/>
        <v>Old</v>
      </c>
    </row>
    <row r="432" spans="1:10" x14ac:dyDescent="0.35">
      <c r="A432" s="4" t="s">
        <v>866</v>
      </c>
      <c r="B432" s="4" t="s">
        <v>867</v>
      </c>
      <c r="C432" s="4" t="s">
        <v>294</v>
      </c>
      <c r="D432" s="20">
        <v>4.4000000000000004</v>
      </c>
      <c r="E432" s="4">
        <v>25450</v>
      </c>
      <c r="F432" s="4">
        <v>2013</v>
      </c>
      <c r="G432" s="21" t="str">
        <f t="shared" si="24"/>
        <v>Not Popular</v>
      </c>
      <c r="H432" s="21" t="str">
        <f t="shared" si="25"/>
        <v>Action or Drama</v>
      </c>
      <c r="I432" s="21" t="str">
        <f t="shared" si="26"/>
        <v>Not Comedy</v>
      </c>
      <c r="J432" s="21" t="str">
        <f t="shared" si="27"/>
        <v>Old</v>
      </c>
    </row>
    <row r="433" spans="1:10" x14ac:dyDescent="0.35">
      <c r="A433" s="4" t="s">
        <v>2091</v>
      </c>
      <c r="B433" s="4" t="s">
        <v>2092</v>
      </c>
      <c r="C433" s="4" t="s">
        <v>2093</v>
      </c>
      <c r="D433" s="20">
        <v>5.0999999999999996</v>
      </c>
      <c r="E433" s="4">
        <v>10183</v>
      </c>
      <c r="F433" s="4">
        <v>2013</v>
      </c>
      <c r="G433" s="21" t="str">
        <f t="shared" si="24"/>
        <v>Popular</v>
      </c>
      <c r="H433" s="21" t="str">
        <f t="shared" si="25"/>
        <v>Action or Drama</v>
      </c>
      <c r="I433" s="21" t="str">
        <f t="shared" si="26"/>
        <v>Comedy</v>
      </c>
      <c r="J433" s="21" t="str">
        <f t="shared" si="27"/>
        <v>Old</v>
      </c>
    </row>
    <row r="434" spans="1:10" x14ac:dyDescent="0.35">
      <c r="A434" s="4" t="s">
        <v>295</v>
      </c>
      <c r="B434" s="4" t="s">
        <v>296</v>
      </c>
      <c r="C434" s="4" t="s">
        <v>116</v>
      </c>
      <c r="D434" s="20">
        <v>3.2</v>
      </c>
      <c r="E434" s="4">
        <v>44004</v>
      </c>
      <c r="F434" s="4">
        <v>2013</v>
      </c>
      <c r="G434" s="21" t="str">
        <f t="shared" si="24"/>
        <v>Not Popular</v>
      </c>
      <c r="H434" s="21" t="str">
        <f t="shared" si="25"/>
        <v>Other</v>
      </c>
      <c r="I434" s="21" t="str">
        <f t="shared" si="26"/>
        <v>Comedy</v>
      </c>
      <c r="J434" s="21" t="str">
        <f t="shared" si="27"/>
        <v>Old</v>
      </c>
    </row>
    <row r="435" spans="1:10" x14ac:dyDescent="0.35">
      <c r="A435" s="4" t="s">
        <v>2046</v>
      </c>
      <c r="B435" s="4" t="s">
        <v>2047</v>
      </c>
      <c r="C435" s="4" t="s">
        <v>146</v>
      </c>
      <c r="D435" s="20">
        <v>5.0999999999999996</v>
      </c>
      <c r="E435" s="4">
        <v>12223</v>
      </c>
      <c r="F435" s="4">
        <v>2013</v>
      </c>
      <c r="G435" s="21" t="str">
        <f t="shared" si="24"/>
        <v>Popular</v>
      </c>
      <c r="H435" s="21" t="str">
        <f t="shared" si="25"/>
        <v>Action or Drama</v>
      </c>
      <c r="I435" s="21" t="str">
        <f t="shared" si="26"/>
        <v>Comedy</v>
      </c>
      <c r="J435" s="21" t="str">
        <f t="shared" si="27"/>
        <v>Old</v>
      </c>
    </row>
    <row r="436" spans="1:10" x14ac:dyDescent="0.35">
      <c r="A436" s="4" t="s">
        <v>1323</v>
      </c>
      <c r="B436" s="4" t="s">
        <v>1324</v>
      </c>
      <c r="C436" s="4" t="s">
        <v>163</v>
      </c>
      <c r="D436" s="20">
        <v>4.8</v>
      </c>
      <c r="E436" s="4">
        <v>211275</v>
      </c>
      <c r="F436" s="4">
        <v>2013</v>
      </c>
      <c r="G436" s="21" t="str">
        <f t="shared" si="24"/>
        <v>Not Popular</v>
      </c>
      <c r="H436" s="21" t="str">
        <f t="shared" si="25"/>
        <v>Action or Drama</v>
      </c>
      <c r="I436" s="21" t="str">
        <f t="shared" si="26"/>
        <v>Not Comedy</v>
      </c>
      <c r="J436" s="21" t="str">
        <f t="shared" si="27"/>
        <v>Old</v>
      </c>
    </row>
    <row r="437" spans="1:10" x14ac:dyDescent="0.35">
      <c r="A437" s="4" t="s">
        <v>1696</v>
      </c>
      <c r="B437" s="4" t="s">
        <v>1697</v>
      </c>
      <c r="C437" s="4" t="s">
        <v>270</v>
      </c>
      <c r="D437" s="20">
        <v>5</v>
      </c>
      <c r="E437" s="4">
        <v>50899</v>
      </c>
      <c r="F437" s="4">
        <v>2013</v>
      </c>
      <c r="G437" s="21" t="str">
        <f t="shared" si="24"/>
        <v>Not Popular</v>
      </c>
      <c r="H437" s="21" t="str">
        <f t="shared" si="25"/>
        <v>Horror or Thriller</v>
      </c>
      <c r="I437" s="21" t="str">
        <f t="shared" si="26"/>
        <v>Comedy</v>
      </c>
      <c r="J437" s="21" t="str">
        <f t="shared" si="27"/>
        <v>Old</v>
      </c>
    </row>
    <row r="438" spans="1:10" x14ac:dyDescent="0.35">
      <c r="A438" s="4" t="s">
        <v>2100</v>
      </c>
      <c r="B438" s="4" t="s">
        <v>2101</v>
      </c>
      <c r="C438" s="4" t="s">
        <v>294</v>
      </c>
      <c r="D438" s="20">
        <v>5.2</v>
      </c>
      <c r="E438" s="4">
        <v>217048</v>
      </c>
      <c r="F438" s="4">
        <v>2013</v>
      </c>
      <c r="G438" s="21" t="str">
        <f t="shared" si="24"/>
        <v>Popular</v>
      </c>
      <c r="H438" s="21" t="str">
        <f t="shared" si="25"/>
        <v>Action or Drama</v>
      </c>
      <c r="I438" s="21" t="str">
        <f t="shared" si="26"/>
        <v>Not Comedy</v>
      </c>
      <c r="J438" s="21" t="str">
        <f t="shared" si="27"/>
        <v>Old</v>
      </c>
    </row>
    <row r="439" spans="1:10" x14ac:dyDescent="0.35">
      <c r="A439" s="4" t="s">
        <v>647</v>
      </c>
      <c r="B439" s="4" t="s">
        <v>648</v>
      </c>
      <c r="C439" s="4" t="s">
        <v>649</v>
      </c>
      <c r="D439" s="20">
        <v>4.0999999999999996</v>
      </c>
      <c r="E439" s="4">
        <v>23717</v>
      </c>
      <c r="F439" s="4">
        <v>2012</v>
      </c>
      <c r="G439" s="21" t="str">
        <f t="shared" si="24"/>
        <v>Not Popular</v>
      </c>
      <c r="H439" s="21" t="str">
        <f t="shared" si="25"/>
        <v>Horror or Thriller</v>
      </c>
      <c r="I439" s="21" t="str">
        <f t="shared" si="26"/>
        <v>Not Comedy</v>
      </c>
      <c r="J439" s="21" t="str">
        <f t="shared" si="27"/>
        <v>Old</v>
      </c>
    </row>
    <row r="440" spans="1:10" x14ac:dyDescent="0.35">
      <c r="A440" s="4" t="s">
        <v>1959</v>
      </c>
      <c r="B440" s="4" t="s">
        <v>1960</v>
      </c>
      <c r="C440" s="4" t="s">
        <v>1778</v>
      </c>
      <c r="D440" s="20">
        <v>5.0999999999999996</v>
      </c>
      <c r="E440" s="4">
        <v>21613</v>
      </c>
      <c r="F440" s="4">
        <v>2012</v>
      </c>
      <c r="G440" s="21" t="str">
        <f t="shared" si="24"/>
        <v>Popular</v>
      </c>
      <c r="H440" s="21" t="str">
        <f t="shared" si="25"/>
        <v>Action or Drama</v>
      </c>
      <c r="I440" s="21" t="str">
        <f t="shared" si="26"/>
        <v>Not Comedy</v>
      </c>
      <c r="J440" s="21" t="str">
        <f t="shared" si="27"/>
        <v>Old</v>
      </c>
    </row>
    <row r="441" spans="1:10" x14ac:dyDescent="0.35">
      <c r="A441" s="4" t="s">
        <v>1919</v>
      </c>
      <c r="B441" s="4" t="s">
        <v>1920</v>
      </c>
      <c r="C441" s="4" t="s">
        <v>44</v>
      </c>
      <c r="D441" s="20">
        <v>5.0999999999999996</v>
      </c>
      <c r="E441" s="4">
        <v>33518</v>
      </c>
      <c r="F441" s="4">
        <v>2012</v>
      </c>
      <c r="G441" s="21" t="str">
        <f t="shared" si="24"/>
        <v>Popular</v>
      </c>
      <c r="H441" s="21" t="str">
        <f t="shared" si="25"/>
        <v>Other</v>
      </c>
      <c r="I441" s="21" t="str">
        <f t="shared" si="26"/>
        <v>Comedy</v>
      </c>
      <c r="J441" s="21" t="str">
        <f t="shared" si="27"/>
        <v>Old</v>
      </c>
    </row>
    <row r="442" spans="1:10" x14ac:dyDescent="0.35">
      <c r="A442" s="4" t="s">
        <v>88</v>
      </c>
      <c r="B442" s="4" t="s">
        <v>89</v>
      </c>
      <c r="C442" s="4" t="s">
        <v>90</v>
      </c>
      <c r="D442" s="20">
        <v>1.7</v>
      </c>
      <c r="E442" s="4">
        <v>15518</v>
      </c>
      <c r="F442" s="4">
        <v>2012</v>
      </c>
      <c r="G442" s="21" t="str">
        <f t="shared" si="24"/>
        <v>Not Popular</v>
      </c>
      <c r="H442" s="21" t="str">
        <f t="shared" si="25"/>
        <v>Other</v>
      </c>
      <c r="I442" s="21" t="str">
        <f t="shared" si="26"/>
        <v>Not Comedy</v>
      </c>
      <c r="J442" s="21" t="str">
        <f t="shared" si="27"/>
        <v>Old</v>
      </c>
    </row>
    <row r="443" spans="1:10" x14ac:dyDescent="0.35">
      <c r="A443" s="4" t="s">
        <v>2192</v>
      </c>
      <c r="B443" s="4" t="s">
        <v>2193</v>
      </c>
      <c r="C443" s="4" t="s">
        <v>82</v>
      </c>
      <c r="D443" s="20">
        <v>5.2</v>
      </c>
      <c r="E443" s="4">
        <v>33002</v>
      </c>
      <c r="F443" s="4">
        <v>2012</v>
      </c>
      <c r="G443" s="21" t="str">
        <f t="shared" si="24"/>
        <v>Popular</v>
      </c>
      <c r="H443" s="21" t="str">
        <f t="shared" si="25"/>
        <v>Horror or Thriller</v>
      </c>
      <c r="I443" s="21" t="str">
        <f t="shared" si="26"/>
        <v>Not Comedy</v>
      </c>
      <c r="J443" s="21" t="str">
        <f t="shared" si="27"/>
        <v>Old</v>
      </c>
    </row>
    <row r="444" spans="1:10" x14ac:dyDescent="0.35">
      <c r="A444" s="4" t="s">
        <v>698</v>
      </c>
      <c r="B444" s="4" t="s">
        <v>699</v>
      </c>
      <c r="C444" s="4" t="s">
        <v>76</v>
      </c>
      <c r="D444" s="20">
        <v>4.2</v>
      </c>
      <c r="E444" s="4">
        <v>37863</v>
      </c>
      <c r="F444" s="4">
        <v>2012</v>
      </c>
      <c r="G444" s="21" t="str">
        <f t="shared" si="24"/>
        <v>Not Popular</v>
      </c>
      <c r="H444" s="21" t="str">
        <f t="shared" si="25"/>
        <v>Horror or Thriller</v>
      </c>
      <c r="I444" s="21" t="str">
        <f t="shared" si="26"/>
        <v>Not Comedy</v>
      </c>
      <c r="J444" s="21" t="str">
        <f t="shared" si="27"/>
        <v>Old</v>
      </c>
    </row>
    <row r="445" spans="1:10" x14ac:dyDescent="0.35">
      <c r="A445" s="4" t="s">
        <v>1569</v>
      </c>
      <c r="B445" s="4" t="s">
        <v>1570</v>
      </c>
      <c r="C445" s="4" t="s">
        <v>294</v>
      </c>
      <c r="D445" s="20">
        <v>4.9000000000000004</v>
      </c>
      <c r="E445" s="4">
        <v>40151</v>
      </c>
      <c r="F445" s="4">
        <v>2012</v>
      </c>
      <c r="G445" s="21" t="str">
        <f t="shared" si="24"/>
        <v>Not Popular</v>
      </c>
      <c r="H445" s="21" t="str">
        <f t="shared" si="25"/>
        <v>Action or Drama</v>
      </c>
      <c r="I445" s="21" t="str">
        <f t="shared" si="26"/>
        <v>Not Comedy</v>
      </c>
      <c r="J445" s="21" t="str">
        <f t="shared" si="27"/>
        <v>Old</v>
      </c>
    </row>
    <row r="446" spans="1:10" x14ac:dyDescent="0.35">
      <c r="A446" s="4" t="s">
        <v>655</v>
      </c>
      <c r="B446" s="4" t="s">
        <v>656</v>
      </c>
      <c r="C446" s="4" t="s">
        <v>82</v>
      </c>
      <c r="D446" s="20">
        <v>4.0999999999999996</v>
      </c>
      <c r="E446" s="4">
        <v>20797</v>
      </c>
      <c r="F446" s="4">
        <v>2012</v>
      </c>
      <c r="G446" s="21" t="str">
        <f t="shared" si="24"/>
        <v>Not Popular</v>
      </c>
      <c r="H446" s="21" t="str">
        <f t="shared" si="25"/>
        <v>Horror or Thriller</v>
      </c>
      <c r="I446" s="21" t="str">
        <f t="shared" si="26"/>
        <v>Not Comedy</v>
      </c>
      <c r="J446" s="21" t="str">
        <f t="shared" si="27"/>
        <v>Old</v>
      </c>
    </row>
    <row r="447" spans="1:10" x14ac:dyDescent="0.35">
      <c r="A447" s="4" t="s">
        <v>1248</v>
      </c>
      <c r="B447" s="4" t="s">
        <v>1249</v>
      </c>
      <c r="C447" s="4" t="s">
        <v>211</v>
      </c>
      <c r="D447" s="20">
        <v>4.7</v>
      </c>
      <c r="E447" s="4">
        <v>20720</v>
      </c>
      <c r="F447" s="4">
        <v>2012</v>
      </c>
      <c r="G447" s="21" t="str">
        <f t="shared" si="24"/>
        <v>Not Popular</v>
      </c>
      <c r="H447" s="21" t="str">
        <f t="shared" si="25"/>
        <v>Horror or Thriller</v>
      </c>
      <c r="I447" s="21" t="str">
        <f t="shared" si="26"/>
        <v>Comedy</v>
      </c>
      <c r="J447" s="21" t="str">
        <f t="shared" si="27"/>
        <v>Old</v>
      </c>
    </row>
    <row r="448" spans="1:10" x14ac:dyDescent="0.35">
      <c r="A448" s="4" t="s">
        <v>741</v>
      </c>
      <c r="B448" s="4" t="s">
        <v>742</v>
      </c>
      <c r="C448" s="4" t="s">
        <v>181</v>
      </c>
      <c r="D448" s="20">
        <v>4.2</v>
      </c>
      <c r="E448" s="4">
        <v>10869</v>
      </c>
      <c r="F448" s="4">
        <v>2012</v>
      </c>
      <c r="G448" s="21" t="str">
        <f t="shared" si="24"/>
        <v>Not Popular</v>
      </c>
      <c r="H448" s="21" t="str">
        <f t="shared" si="25"/>
        <v>Action or Drama</v>
      </c>
      <c r="I448" s="21" t="str">
        <f t="shared" si="26"/>
        <v>Comedy</v>
      </c>
      <c r="J448" s="21" t="str">
        <f t="shared" si="27"/>
        <v>Old</v>
      </c>
    </row>
    <row r="449" spans="1:10" x14ac:dyDescent="0.35">
      <c r="A449" s="4" t="s">
        <v>1759</v>
      </c>
      <c r="B449" s="4" t="s">
        <v>1760</v>
      </c>
      <c r="C449" s="4" t="s">
        <v>146</v>
      </c>
      <c r="D449" s="20">
        <v>5</v>
      </c>
      <c r="E449" s="4">
        <v>21455</v>
      </c>
      <c r="F449" s="4">
        <v>2012</v>
      </c>
      <c r="G449" s="21" t="str">
        <f t="shared" si="24"/>
        <v>Not Popular</v>
      </c>
      <c r="H449" s="21" t="str">
        <f t="shared" si="25"/>
        <v>Action or Drama</v>
      </c>
      <c r="I449" s="21" t="str">
        <f t="shared" si="26"/>
        <v>Comedy</v>
      </c>
      <c r="J449" s="21" t="str">
        <f t="shared" si="27"/>
        <v>Old</v>
      </c>
    </row>
    <row r="450" spans="1:10" x14ac:dyDescent="0.35">
      <c r="A450" s="4" t="s">
        <v>1537</v>
      </c>
      <c r="B450" s="4" t="s">
        <v>1538</v>
      </c>
      <c r="C450" s="4" t="s">
        <v>175</v>
      </c>
      <c r="D450" s="20">
        <v>4.9000000000000004</v>
      </c>
      <c r="E450" s="4">
        <v>67763</v>
      </c>
      <c r="F450" s="4">
        <v>2012</v>
      </c>
      <c r="G450" s="21" t="str">
        <f t="shared" si="24"/>
        <v>Not Popular</v>
      </c>
      <c r="H450" s="21" t="str">
        <f t="shared" si="25"/>
        <v>Horror or Thriller</v>
      </c>
      <c r="I450" s="21" t="str">
        <f t="shared" si="26"/>
        <v>Not Comedy</v>
      </c>
      <c r="J450" s="21" t="str">
        <f t="shared" si="27"/>
        <v>Old</v>
      </c>
    </row>
    <row r="451" spans="1:10" x14ac:dyDescent="0.35">
      <c r="A451" s="4" t="s">
        <v>486</v>
      </c>
      <c r="B451" s="4" t="s">
        <v>487</v>
      </c>
      <c r="C451" s="4" t="s">
        <v>137</v>
      </c>
      <c r="D451" s="20">
        <v>3.8</v>
      </c>
      <c r="E451" s="4">
        <v>46165</v>
      </c>
      <c r="F451" s="4">
        <v>2012</v>
      </c>
      <c r="G451" s="21" t="str">
        <f t="shared" ref="G451:G514" si="28">IF(AND(D451&gt;5, E451&gt;1000), "Popular", "Not Popular")</f>
        <v>Not Popular</v>
      </c>
      <c r="H451" s="21" t="str">
        <f t="shared" ref="H451:H514" si="29">IF(OR(ISNUMBER(SEARCH("Action", C451)), ISNUMBER(SEARCH("Drama", C451))), "Action or Drama", IF(OR(ISNUMBER(SEARCH("Horror", C451)), ISNUMBER(SEARCH("Thriller", C451))), "Horror or Thriller", "Other"))</f>
        <v>Horror or Thriller</v>
      </c>
      <c r="I451" s="21" t="str">
        <f t="shared" ref="I451:I514" si="30">IF(NOT(ISNUMBER(SEARCH("Comedy", C451))), "Not Comedy", "Comedy")</f>
        <v>Comedy</v>
      </c>
      <c r="J451" s="21" t="str">
        <f t="shared" ref="J451:J514" si="31">IF(F451&gt;2020, "Recent", "Old")</f>
        <v>Old</v>
      </c>
    </row>
    <row r="452" spans="1:10" x14ac:dyDescent="0.35">
      <c r="A452" s="4" t="s">
        <v>1029</v>
      </c>
      <c r="B452" s="4" t="s">
        <v>1030</v>
      </c>
      <c r="C452" s="4" t="s">
        <v>448</v>
      </c>
      <c r="D452" s="20">
        <v>4.5999999999999996</v>
      </c>
      <c r="E452" s="4">
        <v>71282</v>
      </c>
      <c r="F452" s="4">
        <v>2012</v>
      </c>
      <c r="G452" s="21" t="str">
        <f t="shared" si="28"/>
        <v>Not Popular</v>
      </c>
      <c r="H452" s="21" t="str">
        <f t="shared" si="29"/>
        <v>Horror or Thriller</v>
      </c>
      <c r="I452" s="21" t="str">
        <f t="shared" si="30"/>
        <v>Not Comedy</v>
      </c>
      <c r="J452" s="21" t="str">
        <f t="shared" si="31"/>
        <v>Old</v>
      </c>
    </row>
    <row r="453" spans="1:10" x14ac:dyDescent="0.35">
      <c r="A453" s="4" t="s">
        <v>1823</v>
      </c>
      <c r="B453" s="4" t="s">
        <v>1824</v>
      </c>
      <c r="C453" s="4" t="s">
        <v>1039</v>
      </c>
      <c r="D453" s="20">
        <v>5</v>
      </c>
      <c r="E453" s="4">
        <v>11511</v>
      </c>
      <c r="F453" s="4">
        <v>2012</v>
      </c>
      <c r="G453" s="21" t="str">
        <f t="shared" si="28"/>
        <v>Not Popular</v>
      </c>
      <c r="H453" s="21" t="str">
        <f t="shared" si="29"/>
        <v>Action or Drama</v>
      </c>
      <c r="I453" s="21" t="str">
        <f t="shared" si="30"/>
        <v>Comedy</v>
      </c>
      <c r="J453" s="21" t="str">
        <f t="shared" si="31"/>
        <v>Old</v>
      </c>
    </row>
    <row r="454" spans="1:10" x14ac:dyDescent="0.35">
      <c r="A454" s="4" t="s">
        <v>837</v>
      </c>
      <c r="B454" s="4" t="s">
        <v>838</v>
      </c>
      <c r="C454" s="4" t="s">
        <v>128</v>
      </c>
      <c r="D454" s="20">
        <v>4.4000000000000004</v>
      </c>
      <c r="E454" s="4">
        <v>58611</v>
      </c>
      <c r="F454" s="4">
        <v>2012</v>
      </c>
      <c r="G454" s="21" t="str">
        <f t="shared" si="28"/>
        <v>Not Popular</v>
      </c>
      <c r="H454" s="21" t="str">
        <f t="shared" si="29"/>
        <v>Action or Drama</v>
      </c>
      <c r="I454" s="21" t="str">
        <f t="shared" si="30"/>
        <v>Comedy</v>
      </c>
      <c r="J454" s="21" t="str">
        <f t="shared" si="31"/>
        <v>Old</v>
      </c>
    </row>
    <row r="455" spans="1:10" x14ac:dyDescent="0.35">
      <c r="A455" s="4" t="s">
        <v>1477</v>
      </c>
      <c r="B455" s="4" t="s">
        <v>1478</v>
      </c>
      <c r="C455" s="4" t="s">
        <v>128</v>
      </c>
      <c r="D455" s="20">
        <v>4.8</v>
      </c>
      <c r="E455" s="4">
        <v>12205</v>
      </c>
      <c r="F455" s="4">
        <v>2012</v>
      </c>
      <c r="G455" s="21" t="str">
        <f t="shared" si="28"/>
        <v>Not Popular</v>
      </c>
      <c r="H455" s="21" t="str">
        <f t="shared" si="29"/>
        <v>Action or Drama</v>
      </c>
      <c r="I455" s="21" t="str">
        <f t="shared" si="30"/>
        <v>Comedy</v>
      </c>
      <c r="J455" s="21" t="str">
        <f t="shared" si="31"/>
        <v>Old</v>
      </c>
    </row>
    <row r="456" spans="1:10" x14ac:dyDescent="0.35">
      <c r="A456" s="4" t="s">
        <v>389</v>
      </c>
      <c r="B456" s="4" t="s">
        <v>390</v>
      </c>
      <c r="C456" s="4" t="s">
        <v>193</v>
      </c>
      <c r="D456" s="20">
        <v>3.5</v>
      </c>
      <c r="E456" s="4">
        <v>12946</v>
      </c>
      <c r="F456" s="4">
        <v>2012</v>
      </c>
      <c r="G456" s="21" t="str">
        <f t="shared" si="28"/>
        <v>Not Popular</v>
      </c>
      <c r="H456" s="21" t="str">
        <f t="shared" si="29"/>
        <v>Other</v>
      </c>
      <c r="I456" s="21" t="str">
        <f t="shared" si="30"/>
        <v>Comedy</v>
      </c>
      <c r="J456" s="21" t="str">
        <f t="shared" si="31"/>
        <v>Old</v>
      </c>
    </row>
    <row r="457" spans="1:10" x14ac:dyDescent="0.35">
      <c r="A457" s="4" t="s">
        <v>1929</v>
      </c>
      <c r="B457" s="4" t="s">
        <v>1930</v>
      </c>
      <c r="C457" s="4" t="s">
        <v>448</v>
      </c>
      <c r="D457" s="20">
        <v>5.0999999999999996</v>
      </c>
      <c r="E457" s="4">
        <v>28225</v>
      </c>
      <c r="F457" s="4">
        <v>2012</v>
      </c>
      <c r="G457" s="21" t="str">
        <f t="shared" si="28"/>
        <v>Popular</v>
      </c>
      <c r="H457" s="21" t="str">
        <f t="shared" si="29"/>
        <v>Horror or Thriller</v>
      </c>
      <c r="I457" s="21" t="str">
        <f t="shared" si="30"/>
        <v>Not Comedy</v>
      </c>
      <c r="J457" s="21" t="str">
        <f t="shared" si="31"/>
        <v>Old</v>
      </c>
    </row>
    <row r="458" spans="1:10" x14ac:dyDescent="0.35">
      <c r="A458" s="4" t="s">
        <v>1312</v>
      </c>
      <c r="B458" s="4" t="s">
        <v>1313</v>
      </c>
      <c r="C458" s="4" t="s">
        <v>56</v>
      </c>
      <c r="D458" s="20">
        <v>4.7</v>
      </c>
      <c r="E458" s="4">
        <v>10813</v>
      </c>
      <c r="F458" s="4">
        <v>2012</v>
      </c>
      <c r="G458" s="21" t="str">
        <f t="shared" si="28"/>
        <v>Not Popular</v>
      </c>
      <c r="H458" s="21" t="str">
        <f t="shared" si="29"/>
        <v>Action or Drama</v>
      </c>
      <c r="I458" s="21" t="str">
        <f t="shared" si="30"/>
        <v>Not Comedy</v>
      </c>
      <c r="J458" s="21" t="str">
        <f t="shared" si="31"/>
        <v>Old</v>
      </c>
    </row>
    <row r="459" spans="1:10" x14ac:dyDescent="0.35">
      <c r="A459" s="4" t="s">
        <v>45</v>
      </c>
      <c r="B459" s="4" t="s">
        <v>46</v>
      </c>
      <c r="C459" s="4" t="s">
        <v>47</v>
      </c>
      <c r="D459" s="20">
        <v>1.3</v>
      </c>
      <c r="E459" s="4">
        <v>12128</v>
      </c>
      <c r="F459" s="4">
        <v>2012</v>
      </c>
      <c r="G459" s="21" t="str">
        <f t="shared" si="28"/>
        <v>Not Popular</v>
      </c>
      <c r="H459" s="21" t="str">
        <f t="shared" si="29"/>
        <v>Action or Drama</v>
      </c>
      <c r="I459" s="21" t="str">
        <f t="shared" si="30"/>
        <v>Not Comedy</v>
      </c>
      <c r="J459" s="21" t="str">
        <f t="shared" si="31"/>
        <v>Old</v>
      </c>
    </row>
    <row r="460" spans="1:10" x14ac:dyDescent="0.35">
      <c r="A460" s="4" t="s">
        <v>1412</v>
      </c>
      <c r="B460" s="4" t="s">
        <v>1413</v>
      </c>
      <c r="C460" s="4" t="s">
        <v>146</v>
      </c>
      <c r="D460" s="20">
        <v>4.8</v>
      </c>
      <c r="E460" s="4">
        <v>20256</v>
      </c>
      <c r="F460" s="4">
        <v>2012</v>
      </c>
      <c r="G460" s="21" t="str">
        <f t="shared" si="28"/>
        <v>Not Popular</v>
      </c>
      <c r="H460" s="21" t="str">
        <f t="shared" si="29"/>
        <v>Action or Drama</v>
      </c>
      <c r="I460" s="21" t="str">
        <f t="shared" si="30"/>
        <v>Comedy</v>
      </c>
      <c r="J460" s="21" t="str">
        <f t="shared" si="31"/>
        <v>Old</v>
      </c>
    </row>
    <row r="461" spans="1:10" x14ac:dyDescent="0.35">
      <c r="A461" s="4" t="s">
        <v>1888</v>
      </c>
      <c r="B461" s="4" t="s">
        <v>1889</v>
      </c>
      <c r="C461" s="4" t="s">
        <v>926</v>
      </c>
      <c r="D461" s="20">
        <v>5.0999999999999996</v>
      </c>
      <c r="E461" s="4">
        <v>50711</v>
      </c>
      <c r="F461" s="4">
        <v>2012</v>
      </c>
      <c r="G461" s="21" t="str">
        <f t="shared" si="28"/>
        <v>Popular</v>
      </c>
      <c r="H461" s="21" t="str">
        <f t="shared" si="29"/>
        <v>Action or Drama</v>
      </c>
      <c r="I461" s="21" t="str">
        <f t="shared" si="30"/>
        <v>Not Comedy</v>
      </c>
      <c r="J461" s="21" t="str">
        <f t="shared" si="31"/>
        <v>Old</v>
      </c>
    </row>
    <row r="462" spans="1:10" x14ac:dyDescent="0.35">
      <c r="A462" s="4" t="s">
        <v>1690</v>
      </c>
      <c r="B462" s="4" t="s">
        <v>1691</v>
      </c>
      <c r="C462" s="4" t="s">
        <v>175</v>
      </c>
      <c r="D462" s="20">
        <v>5</v>
      </c>
      <c r="E462" s="4">
        <v>69104</v>
      </c>
      <c r="F462" s="4">
        <v>2012</v>
      </c>
      <c r="G462" s="21" t="str">
        <f t="shared" si="28"/>
        <v>Not Popular</v>
      </c>
      <c r="H462" s="21" t="str">
        <f t="shared" si="29"/>
        <v>Horror or Thriller</v>
      </c>
      <c r="I462" s="21" t="str">
        <f t="shared" si="30"/>
        <v>Not Comedy</v>
      </c>
      <c r="J462" s="21" t="str">
        <f t="shared" si="31"/>
        <v>Old</v>
      </c>
    </row>
    <row r="463" spans="1:10" x14ac:dyDescent="0.35">
      <c r="A463" s="4" t="s">
        <v>1229</v>
      </c>
      <c r="B463" s="4" t="s">
        <v>1230</v>
      </c>
      <c r="C463" s="4" t="s">
        <v>175</v>
      </c>
      <c r="D463" s="20">
        <v>4.7</v>
      </c>
      <c r="E463" s="4">
        <v>25702</v>
      </c>
      <c r="F463" s="4">
        <v>2012</v>
      </c>
      <c r="G463" s="21" t="str">
        <f t="shared" si="28"/>
        <v>Not Popular</v>
      </c>
      <c r="H463" s="21" t="str">
        <f t="shared" si="29"/>
        <v>Horror or Thriller</v>
      </c>
      <c r="I463" s="21" t="str">
        <f t="shared" si="30"/>
        <v>Not Comedy</v>
      </c>
      <c r="J463" s="21" t="str">
        <f t="shared" si="31"/>
        <v>Old</v>
      </c>
    </row>
    <row r="464" spans="1:10" x14ac:dyDescent="0.35">
      <c r="A464" s="4" t="s">
        <v>2188</v>
      </c>
      <c r="B464" s="4" t="s">
        <v>2189</v>
      </c>
      <c r="C464" s="4" t="s">
        <v>462</v>
      </c>
      <c r="D464" s="20">
        <v>5.2</v>
      </c>
      <c r="E464" s="4">
        <v>35728</v>
      </c>
      <c r="F464" s="4">
        <v>2012</v>
      </c>
      <c r="G464" s="21" t="str">
        <f t="shared" si="28"/>
        <v>Popular</v>
      </c>
      <c r="H464" s="21" t="str">
        <f t="shared" si="29"/>
        <v>Action or Drama</v>
      </c>
      <c r="I464" s="21" t="str">
        <f t="shared" si="30"/>
        <v>Not Comedy</v>
      </c>
      <c r="J464" s="21" t="str">
        <f t="shared" si="31"/>
        <v>Old</v>
      </c>
    </row>
    <row r="465" spans="1:10" x14ac:dyDescent="0.35">
      <c r="A465" s="4" t="s">
        <v>1471</v>
      </c>
      <c r="B465" s="4" t="s">
        <v>1472</v>
      </c>
      <c r="C465" s="4" t="s">
        <v>122</v>
      </c>
      <c r="D465" s="20">
        <v>4.8</v>
      </c>
      <c r="E465" s="4">
        <v>12573</v>
      </c>
      <c r="F465" s="4">
        <v>2012</v>
      </c>
      <c r="G465" s="21" t="str">
        <f t="shared" si="28"/>
        <v>Not Popular</v>
      </c>
      <c r="H465" s="21" t="str">
        <f t="shared" si="29"/>
        <v>Action or Drama</v>
      </c>
      <c r="I465" s="21" t="str">
        <f t="shared" si="30"/>
        <v>Not Comedy</v>
      </c>
      <c r="J465" s="21" t="str">
        <f t="shared" si="31"/>
        <v>Old</v>
      </c>
    </row>
    <row r="466" spans="1:10" x14ac:dyDescent="0.35">
      <c r="A466" s="4" t="s">
        <v>1506</v>
      </c>
      <c r="B466" s="4" t="s">
        <v>1507</v>
      </c>
      <c r="C466" s="4" t="s">
        <v>14</v>
      </c>
      <c r="D466" s="20">
        <v>4.8</v>
      </c>
      <c r="E466" s="4">
        <v>11045</v>
      </c>
      <c r="F466" s="4">
        <v>2012</v>
      </c>
      <c r="G466" s="21" t="str">
        <f t="shared" si="28"/>
        <v>Not Popular</v>
      </c>
      <c r="H466" s="21" t="str">
        <f t="shared" si="29"/>
        <v>Action or Drama</v>
      </c>
      <c r="I466" s="21" t="str">
        <f t="shared" si="30"/>
        <v>Not Comedy</v>
      </c>
      <c r="J466" s="21" t="str">
        <f t="shared" si="31"/>
        <v>Old</v>
      </c>
    </row>
    <row r="467" spans="1:10" x14ac:dyDescent="0.35">
      <c r="A467" s="4" t="s">
        <v>1504</v>
      </c>
      <c r="B467" s="4" t="s">
        <v>1505</v>
      </c>
      <c r="C467" s="4" t="s">
        <v>467</v>
      </c>
      <c r="D467" s="20">
        <v>4.8</v>
      </c>
      <c r="E467" s="4">
        <v>11052</v>
      </c>
      <c r="F467" s="4">
        <v>2012</v>
      </c>
      <c r="G467" s="21" t="str">
        <f t="shared" si="28"/>
        <v>Not Popular</v>
      </c>
      <c r="H467" s="21" t="str">
        <f t="shared" si="29"/>
        <v>Other</v>
      </c>
      <c r="I467" s="21" t="str">
        <f t="shared" si="30"/>
        <v>Not Comedy</v>
      </c>
      <c r="J467" s="21" t="str">
        <f t="shared" si="31"/>
        <v>Old</v>
      </c>
    </row>
    <row r="468" spans="1:10" x14ac:dyDescent="0.35">
      <c r="A468" s="4" t="s">
        <v>1713</v>
      </c>
      <c r="B468" s="4" t="s">
        <v>1714</v>
      </c>
      <c r="C468" s="4" t="s">
        <v>571</v>
      </c>
      <c r="D468" s="20">
        <v>5</v>
      </c>
      <c r="E468" s="4">
        <v>38974</v>
      </c>
      <c r="F468" s="4">
        <v>2012</v>
      </c>
      <c r="G468" s="21" t="str">
        <f t="shared" si="28"/>
        <v>Not Popular</v>
      </c>
      <c r="H468" s="21" t="str">
        <f t="shared" si="29"/>
        <v>Action or Drama</v>
      </c>
      <c r="I468" s="21" t="str">
        <f t="shared" si="30"/>
        <v>Not Comedy</v>
      </c>
      <c r="J468" s="21" t="str">
        <f t="shared" si="31"/>
        <v>Old</v>
      </c>
    </row>
    <row r="469" spans="1:10" x14ac:dyDescent="0.35">
      <c r="A469" s="4" t="s">
        <v>2148</v>
      </c>
      <c r="B469" s="4" t="s">
        <v>2149</v>
      </c>
      <c r="C469" s="4" t="s">
        <v>140</v>
      </c>
      <c r="D469" s="20">
        <v>5.2</v>
      </c>
      <c r="E469" s="4">
        <v>66227</v>
      </c>
      <c r="F469" s="4">
        <v>2011</v>
      </c>
      <c r="G469" s="21" t="str">
        <f t="shared" si="28"/>
        <v>Popular</v>
      </c>
      <c r="H469" s="21" t="str">
        <f t="shared" si="29"/>
        <v>Other</v>
      </c>
      <c r="I469" s="21" t="str">
        <f t="shared" si="30"/>
        <v>Comedy</v>
      </c>
      <c r="J469" s="21" t="str">
        <f t="shared" si="31"/>
        <v>Old</v>
      </c>
    </row>
    <row r="470" spans="1:10" x14ac:dyDescent="0.35">
      <c r="A470" s="4" t="s">
        <v>962</v>
      </c>
      <c r="B470" s="4" t="s">
        <v>963</v>
      </c>
      <c r="C470" s="4" t="s">
        <v>649</v>
      </c>
      <c r="D470" s="20">
        <v>4.5</v>
      </c>
      <c r="E470" s="4">
        <v>28833</v>
      </c>
      <c r="F470" s="4">
        <v>2011</v>
      </c>
      <c r="G470" s="21" t="str">
        <f t="shared" si="28"/>
        <v>Not Popular</v>
      </c>
      <c r="H470" s="21" t="str">
        <f t="shared" si="29"/>
        <v>Horror or Thriller</v>
      </c>
      <c r="I470" s="21" t="str">
        <f t="shared" si="30"/>
        <v>Not Comedy</v>
      </c>
      <c r="J470" s="21" t="str">
        <f t="shared" si="31"/>
        <v>Old</v>
      </c>
    </row>
    <row r="471" spans="1:10" x14ac:dyDescent="0.35">
      <c r="A471" s="4" t="s">
        <v>1479</v>
      </c>
      <c r="B471" s="4" t="s">
        <v>1480</v>
      </c>
      <c r="C471" s="4" t="s">
        <v>270</v>
      </c>
      <c r="D471" s="20">
        <v>4.8</v>
      </c>
      <c r="E471" s="4">
        <v>12111</v>
      </c>
      <c r="F471" s="4">
        <v>2011</v>
      </c>
      <c r="G471" s="21" t="str">
        <f t="shared" si="28"/>
        <v>Not Popular</v>
      </c>
      <c r="H471" s="21" t="str">
        <f t="shared" si="29"/>
        <v>Horror or Thriller</v>
      </c>
      <c r="I471" s="21" t="str">
        <f t="shared" si="30"/>
        <v>Comedy</v>
      </c>
      <c r="J471" s="21" t="str">
        <f t="shared" si="31"/>
        <v>Old</v>
      </c>
    </row>
    <row r="472" spans="1:10" x14ac:dyDescent="0.35">
      <c r="A472" s="4" t="s">
        <v>1727</v>
      </c>
      <c r="B472" s="4" t="s">
        <v>1728</v>
      </c>
      <c r="C472" s="4" t="s">
        <v>1160</v>
      </c>
      <c r="D472" s="20">
        <v>5</v>
      </c>
      <c r="E472" s="4">
        <v>32368</v>
      </c>
      <c r="F472" s="4">
        <v>2011</v>
      </c>
      <c r="G472" s="21" t="str">
        <f t="shared" si="28"/>
        <v>Not Popular</v>
      </c>
      <c r="H472" s="21" t="str">
        <f t="shared" si="29"/>
        <v>Action or Drama</v>
      </c>
      <c r="I472" s="21" t="str">
        <f t="shared" si="30"/>
        <v>Comedy</v>
      </c>
      <c r="J472" s="21" t="str">
        <f t="shared" si="31"/>
        <v>Old</v>
      </c>
    </row>
    <row r="473" spans="1:10" x14ac:dyDescent="0.35">
      <c r="A473" s="4" t="s">
        <v>1521</v>
      </c>
      <c r="B473" s="4" t="s">
        <v>1522</v>
      </c>
      <c r="C473" s="4" t="s">
        <v>1322</v>
      </c>
      <c r="D473" s="20">
        <v>4.9000000000000004</v>
      </c>
      <c r="E473" s="4">
        <v>258475</v>
      </c>
      <c r="F473" s="4">
        <v>2011</v>
      </c>
      <c r="G473" s="21" t="str">
        <f t="shared" si="28"/>
        <v>Not Popular</v>
      </c>
      <c r="H473" s="21" t="str">
        <f t="shared" si="29"/>
        <v>Action or Drama</v>
      </c>
      <c r="I473" s="21" t="str">
        <f t="shared" si="30"/>
        <v>Not Comedy</v>
      </c>
      <c r="J473" s="21" t="str">
        <f t="shared" si="31"/>
        <v>Old</v>
      </c>
    </row>
    <row r="474" spans="1:10" x14ac:dyDescent="0.35">
      <c r="A474" s="4" t="s">
        <v>411</v>
      </c>
      <c r="B474" s="4" t="s">
        <v>412</v>
      </c>
      <c r="C474" s="4" t="s">
        <v>178</v>
      </c>
      <c r="D474" s="20">
        <v>3.6</v>
      </c>
      <c r="E474" s="4">
        <v>29008</v>
      </c>
      <c r="F474" s="4">
        <v>2011</v>
      </c>
      <c r="G474" s="21" t="str">
        <f t="shared" si="28"/>
        <v>Not Popular</v>
      </c>
      <c r="H474" s="21" t="str">
        <f t="shared" si="29"/>
        <v>Action or Drama</v>
      </c>
      <c r="I474" s="21" t="str">
        <f t="shared" si="30"/>
        <v>Comedy</v>
      </c>
      <c r="J474" s="21" t="str">
        <f t="shared" si="31"/>
        <v>Old</v>
      </c>
    </row>
    <row r="475" spans="1:10" x14ac:dyDescent="0.35">
      <c r="A475" s="4" t="s">
        <v>1984</v>
      </c>
      <c r="B475" s="4" t="s">
        <v>1985</v>
      </c>
      <c r="C475" s="4" t="s">
        <v>56</v>
      </c>
      <c r="D475" s="20">
        <v>5.0999999999999996</v>
      </c>
      <c r="E475" s="4">
        <v>18161</v>
      </c>
      <c r="F475" s="4">
        <v>2011</v>
      </c>
      <c r="G475" s="21" t="str">
        <f t="shared" si="28"/>
        <v>Popular</v>
      </c>
      <c r="H475" s="21" t="str">
        <f t="shared" si="29"/>
        <v>Action or Drama</v>
      </c>
      <c r="I475" s="21" t="str">
        <f t="shared" si="30"/>
        <v>Not Comedy</v>
      </c>
      <c r="J475" s="21" t="str">
        <f t="shared" si="31"/>
        <v>Old</v>
      </c>
    </row>
    <row r="476" spans="1:10" x14ac:dyDescent="0.35">
      <c r="A476" s="4" t="s">
        <v>1355</v>
      </c>
      <c r="B476" s="4" t="s">
        <v>1356</v>
      </c>
      <c r="C476" s="4" t="s">
        <v>584</v>
      </c>
      <c r="D476" s="20">
        <v>4.8</v>
      </c>
      <c r="E476" s="4">
        <v>41990</v>
      </c>
      <c r="F476" s="4">
        <v>2011</v>
      </c>
      <c r="G476" s="21" t="str">
        <f t="shared" si="28"/>
        <v>Not Popular</v>
      </c>
      <c r="H476" s="21" t="str">
        <f t="shared" si="29"/>
        <v>Action or Drama</v>
      </c>
      <c r="I476" s="21" t="str">
        <f t="shared" si="30"/>
        <v>Not Comedy</v>
      </c>
      <c r="J476" s="21" t="str">
        <f t="shared" si="31"/>
        <v>Old</v>
      </c>
    </row>
    <row r="477" spans="1:10" x14ac:dyDescent="0.35">
      <c r="A477" s="4" t="s">
        <v>492</v>
      </c>
      <c r="B477" s="4" t="s">
        <v>493</v>
      </c>
      <c r="C477" s="4" t="s">
        <v>76</v>
      </c>
      <c r="D477" s="20">
        <v>3.8</v>
      </c>
      <c r="E477" s="4">
        <v>44268</v>
      </c>
      <c r="F477" s="4">
        <v>2011</v>
      </c>
      <c r="G477" s="21" t="str">
        <f t="shared" si="28"/>
        <v>Not Popular</v>
      </c>
      <c r="H477" s="21" t="str">
        <f t="shared" si="29"/>
        <v>Horror or Thriller</v>
      </c>
      <c r="I477" s="21" t="str">
        <f t="shared" si="30"/>
        <v>Not Comedy</v>
      </c>
      <c r="J477" s="21" t="str">
        <f t="shared" si="31"/>
        <v>Old</v>
      </c>
    </row>
    <row r="478" spans="1:10" x14ac:dyDescent="0.35">
      <c r="A478" s="4" t="s">
        <v>1539</v>
      </c>
      <c r="B478" s="4" t="s">
        <v>1540</v>
      </c>
      <c r="C478" s="4" t="s">
        <v>122</v>
      </c>
      <c r="D478" s="20">
        <v>4.9000000000000004</v>
      </c>
      <c r="E478" s="4">
        <v>64438</v>
      </c>
      <c r="F478" s="4">
        <v>2011</v>
      </c>
      <c r="G478" s="21" t="str">
        <f t="shared" si="28"/>
        <v>Not Popular</v>
      </c>
      <c r="H478" s="21" t="str">
        <f t="shared" si="29"/>
        <v>Action or Drama</v>
      </c>
      <c r="I478" s="21" t="str">
        <f t="shared" si="30"/>
        <v>Not Comedy</v>
      </c>
      <c r="J478" s="21" t="str">
        <f t="shared" si="31"/>
        <v>Old</v>
      </c>
    </row>
    <row r="479" spans="1:10" x14ac:dyDescent="0.35">
      <c r="A479" s="4" t="s">
        <v>642</v>
      </c>
      <c r="B479" s="4" t="s">
        <v>643</v>
      </c>
      <c r="C479" s="4" t="s">
        <v>571</v>
      </c>
      <c r="D479" s="20">
        <v>4.0999999999999996</v>
      </c>
      <c r="E479" s="4">
        <v>27444</v>
      </c>
      <c r="F479" s="4">
        <v>2011</v>
      </c>
      <c r="G479" s="21" t="str">
        <f t="shared" si="28"/>
        <v>Not Popular</v>
      </c>
      <c r="H479" s="21" t="str">
        <f t="shared" si="29"/>
        <v>Action or Drama</v>
      </c>
      <c r="I479" s="21" t="str">
        <f t="shared" si="30"/>
        <v>Not Comedy</v>
      </c>
      <c r="J479" s="21" t="str">
        <f t="shared" si="31"/>
        <v>Old</v>
      </c>
    </row>
    <row r="480" spans="1:10" x14ac:dyDescent="0.35">
      <c r="A480" s="4" t="s">
        <v>876</v>
      </c>
      <c r="B480" s="4" t="s">
        <v>877</v>
      </c>
      <c r="C480" s="4" t="s">
        <v>56</v>
      </c>
      <c r="D480" s="20">
        <v>4.4000000000000004</v>
      </c>
      <c r="E480" s="4">
        <v>21913</v>
      </c>
      <c r="F480" s="4">
        <v>2011</v>
      </c>
      <c r="G480" s="21" t="str">
        <f t="shared" si="28"/>
        <v>Not Popular</v>
      </c>
      <c r="H480" s="21" t="str">
        <f t="shared" si="29"/>
        <v>Action or Drama</v>
      </c>
      <c r="I480" s="21" t="str">
        <f t="shared" si="30"/>
        <v>Not Comedy</v>
      </c>
      <c r="J480" s="21" t="str">
        <f t="shared" si="31"/>
        <v>Old</v>
      </c>
    </row>
    <row r="481" spans="1:10" x14ac:dyDescent="0.35">
      <c r="A481" s="4" t="s">
        <v>1608</v>
      </c>
      <c r="B481" s="4" t="s">
        <v>1609</v>
      </c>
      <c r="C481" s="4" t="s">
        <v>181</v>
      </c>
      <c r="D481" s="20">
        <v>4.9000000000000004</v>
      </c>
      <c r="E481" s="4">
        <v>20168</v>
      </c>
      <c r="F481" s="4">
        <v>2011</v>
      </c>
      <c r="G481" s="21" t="str">
        <f t="shared" si="28"/>
        <v>Not Popular</v>
      </c>
      <c r="H481" s="21" t="str">
        <f t="shared" si="29"/>
        <v>Action or Drama</v>
      </c>
      <c r="I481" s="21" t="str">
        <f t="shared" si="30"/>
        <v>Comedy</v>
      </c>
      <c r="J481" s="21" t="str">
        <f t="shared" si="31"/>
        <v>Old</v>
      </c>
    </row>
    <row r="482" spans="1:10" x14ac:dyDescent="0.35">
      <c r="A482" s="4" t="s">
        <v>1559</v>
      </c>
      <c r="B482" s="4" t="s">
        <v>1560</v>
      </c>
      <c r="C482" s="4" t="s">
        <v>163</v>
      </c>
      <c r="D482" s="20">
        <v>4.9000000000000004</v>
      </c>
      <c r="E482" s="4">
        <v>47785</v>
      </c>
      <c r="F482" s="4">
        <v>2011</v>
      </c>
      <c r="G482" s="21" t="str">
        <f t="shared" si="28"/>
        <v>Not Popular</v>
      </c>
      <c r="H482" s="21" t="str">
        <f t="shared" si="29"/>
        <v>Action or Drama</v>
      </c>
      <c r="I482" s="21" t="str">
        <f t="shared" si="30"/>
        <v>Not Comedy</v>
      </c>
      <c r="J482" s="21" t="str">
        <f t="shared" si="31"/>
        <v>Old</v>
      </c>
    </row>
    <row r="483" spans="1:10" x14ac:dyDescent="0.35">
      <c r="A483" s="4" t="s">
        <v>1105</v>
      </c>
      <c r="B483" s="4" t="s">
        <v>1106</v>
      </c>
      <c r="C483" s="4" t="s">
        <v>584</v>
      </c>
      <c r="D483" s="20">
        <v>4.5999999999999996</v>
      </c>
      <c r="E483" s="4">
        <v>16961</v>
      </c>
      <c r="F483" s="4">
        <v>2011</v>
      </c>
      <c r="G483" s="21" t="str">
        <f t="shared" si="28"/>
        <v>Not Popular</v>
      </c>
      <c r="H483" s="21" t="str">
        <f t="shared" si="29"/>
        <v>Action or Drama</v>
      </c>
      <c r="I483" s="21" t="str">
        <f t="shared" si="30"/>
        <v>Not Comedy</v>
      </c>
      <c r="J483" s="21" t="str">
        <f t="shared" si="31"/>
        <v>Old</v>
      </c>
    </row>
    <row r="484" spans="1:10" x14ac:dyDescent="0.35">
      <c r="A484" s="4" t="s">
        <v>644</v>
      </c>
      <c r="B484" s="4" t="s">
        <v>645</v>
      </c>
      <c r="C484" s="4" t="s">
        <v>646</v>
      </c>
      <c r="D484" s="20">
        <v>4.0999999999999996</v>
      </c>
      <c r="E484" s="4">
        <v>26229</v>
      </c>
      <c r="F484" s="4">
        <v>2011</v>
      </c>
      <c r="G484" s="21" t="str">
        <f t="shared" si="28"/>
        <v>Not Popular</v>
      </c>
      <c r="H484" s="21" t="str">
        <f t="shared" si="29"/>
        <v>Action or Drama</v>
      </c>
      <c r="I484" s="21" t="str">
        <f t="shared" si="30"/>
        <v>Comedy</v>
      </c>
      <c r="J484" s="21" t="str">
        <f t="shared" si="31"/>
        <v>Old</v>
      </c>
    </row>
    <row r="485" spans="1:10" x14ac:dyDescent="0.35">
      <c r="A485" s="4" t="s">
        <v>72</v>
      </c>
      <c r="B485" s="4" t="s">
        <v>73</v>
      </c>
      <c r="C485" s="4" t="s">
        <v>68</v>
      </c>
      <c r="D485" s="20">
        <v>1.7</v>
      </c>
      <c r="E485" s="4">
        <v>76481</v>
      </c>
      <c r="F485" s="4">
        <v>2011</v>
      </c>
      <c r="G485" s="21" t="str">
        <f t="shared" si="28"/>
        <v>Not Popular</v>
      </c>
      <c r="H485" s="21" t="str">
        <f t="shared" si="29"/>
        <v>Other</v>
      </c>
      <c r="I485" s="21" t="str">
        <f t="shared" si="30"/>
        <v>Not Comedy</v>
      </c>
      <c r="J485" s="21" t="str">
        <f t="shared" si="31"/>
        <v>Old</v>
      </c>
    </row>
    <row r="486" spans="1:10" x14ac:dyDescent="0.35">
      <c r="A486" s="4" t="s">
        <v>319</v>
      </c>
      <c r="B486" s="4" t="s">
        <v>320</v>
      </c>
      <c r="C486" s="4" t="s">
        <v>11</v>
      </c>
      <c r="D486" s="20">
        <v>3.3</v>
      </c>
      <c r="E486" s="4">
        <v>91775</v>
      </c>
      <c r="F486" s="4">
        <v>2011</v>
      </c>
      <c r="G486" s="21" t="str">
        <f t="shared" si="28"/>
        <v>Not Popular</v>
      </c>
      <c r="H486" s="21" t="str">
        <f t="shared" si="29"/>
        <v>Other</v>
      </c>
      <c r="I486" s="21" t="str">
        <f t="shared" si="30"/>
        <v>Comedy</v>
      </c>
      <c r="J486" s="21" t="str">
        <f t="shared" si="31"/>
        <v>Old</v>
      </c>
    </row>
    <row r="487" spans="1:10" x14ac:dyDescent="0.35">
      <c r="A487" s="4" t="s">
        <v>1202</v>
      </c>
      <c r="B487" s="4" t="s">
        <v>1203</v>
      </c>
      <c r="C487" s="4" t="s">
        <v>1204</v>
      </c>
      <c r="D487" s="20">
        <v>4.7</v>
      </c>
      <c r="E487" s="4">
        <v>34737</v>
      </c>
      <c r="F487" s="4">
        <v>2011</v>
      </c>
      <c r="G487" s="21" t="str">
        <f t="shared" si="28"/>
        <v>Not Popular</v>
      </c>
      <c r="H487" s="21" t="str">
        <f t="shared" si="29"/>
        <v>Action or Drama</v>
      </c>
      <c r="I487" s="21" t="str">
        <f t="shared" si="30"/>
        <v>Not Comedy</v>
      </c>
      <c r="J487" s="21" t="str">
        <f t="shared" si="31"/>
        <v>Old</v>
      </c>
    </row>
    <row r="488" spans="1:10" x14ac:dyDescent="0.35">
      <c r="A488" s="4" t="s">
        <v>1761</v>
      </c>
      <c r="B488" s="4" t="s">
        <v>1762</v>
      </c>
      <c r="C488" s="4" t="s">
        <v>116</v>
      </c>
      <c r="D488" s="20">
        <v>5</v>
      </c>
      <c r="E488" s="4">
        <v>21350</v>
      </c>
      <c r="F488" s="4">
        <v>2011</v>
      </c>
      <c r="G488" s="21" t="str">
        <f t="shared" si="28"/>
        <v>Not Popular</v>
      </c>
      <c r="H488" s="21" t="str">
        <f t="shared" si="29"/>
        <v>Other</v>
      </c>
      <c r="I488" s="21" t="str">
        <f t="shared" si="30"/>
        <v>Comedy</v>
      </c>
      <c r="J488" s="21" t="str">
        <f t="shared" si="31"/>
        <v>Old</v>
      </c>
    </row>
    <row r="489" spans="1:10" x14ac:dyDescent="0.35">
      <c r="A489" s="4" t="s">
        <v>2070</v>
      </c>
      <c r="B489" s="4" t="s">
        <v>2071</v>
      </c>
      <c r="C489" s="4" t="s">
        <v>82</v>
      </c>
      <c r="D489" s="20">
        <v>5.0999999999999996</v>
      </c>
      <c r="E489" s="4">
        <v>10850</v>
      </c>
      <c r="F489" s="4">
        <v>2011</v>
      </c>
      <c r="G489" s="21" t="str">
        <f t="shared" si="28"/>
        <v>Popular</v>
      </c>
      <c r="H489" s="21" t="str">
        <f t="shared" si="29"/>
        <v>Horror or Thriller</v>
      </c>
      <c r="I489" s="21" t="str">
        <f t="shared" si="30"/>
        <v>Not Comedy</v>
      </c>
      <c r="J489" s="21" t="str">
        <f t="shared" si="31"/>
        <v>Old</v>
      </c>
    </row>
    <row r="490" spans="1:10" x14ac:dyDescent="0.35">
      <c r="A490" s="4" t="s">
        <v>1053</v>
      </c>
      <c r="B490" s="4" t="s">
        <v>1054</v>
      </c>
      <c r="C490" s="4" t="s">
        <v>76</v>
      </c>
      <c r="D490" s="20">
        <v>4.5999999999999996</v>
      </c>
      <c r="E490" s="4">
        <v>36499</v>
      </c>
      <c r="F490" s="4">
        <v>2011</v>
      </c>
      <c r="G490" s="21" t="str">
        <f t="shared" si="28"/>
        <v>Not Popular</v>
      </c>
      <c r="H490" s="21" t="str">
        <f t="shared" si="29"/>
        <v>Horror or Thriller</v>
      </c>
      <c r="I490" s="21" t="str">
        <f t="shared" si="30"/>
        <v>Not Comedy</v>
      </c>
      <c r="J490" s="21" t="str">
        <f t="shared" si="31"/>
        <v>Old</v>
      </c>
    </row>
    <row r="491" spans="1:10" x14ac:dyDescent="0.35">
      <c r="A491" s="4" t="s">
        <v>1282</v>
      </c>
      <c r="B491" s="4" t="s">
        <v>1283</v>
      </c>
      <c r="C491" s="4" t="s">
        <v>65</v>
      </c>
      <c r="D491" s="20">
        <v>4.7</v>
      </c>
      <c r="E491" s="4">
        <v>14191</v>
      </c>
      <c r="F491" s="4">
        <v>2011</v>
      </c>
      <c r="G491" s="21" t="str">
        <f t="shared" si="28"/>
        <v>Not Popular</v>
      </c>
      <c r="H491" s="21" t="str">
        <f t="shared" si="29"/>
        <v>Other</v>
      </c>
      <c r="I491" s="21" t="str">
        <f t="shared" si="30"/>
        <v>Comedy</v>
      </c>
      <c r="J491" s="21" t="str">
        <f t="shared" si="31"/>
        <v>Old</v>
      </c>
    </row>
    <row r="492" spans="1:10" x14ac:dyDescent="0.35">
      <c r="A492" s="4" t="s">
        <v>223</v>
      </c>
      <c r="B492" s="4" t="s">
        <v>224</v>
      </c>
      <c r="C492" s="4" t="s">
        <v>76</v>
      </c>
      <c r="D492" s="20">
        <v>2.7</v>
      </c>
      <c r="E492" s="4">
        <v>10209</v>
      </c>
      <c r="F492" s="4">
        <v>2011</v>
      </c>
      <c r="G492" s="21" t="str">
        <f t="shared" si="28"/>
        <v>Not Popular</v>
      </c>
      <c r="H492" s="21" t="str">
        <f t="shared" si="29"/>
        <v>Horror or Thriller</v>
      </c>
      <c r="I492" s="21" t="str">
        <f t="shared" si="30"/>
        <v>Not Comedy</v>
      </c>
      <c r="J492" s="21" t="str">
        <f t="shared" si="31"/>
        <v>Old</v>
      </c>
    </row>
    <row r="493" spans="1:10" x14ac:dyDescent="0.35">
      <c r="A493" s="4" t="s">
        <v>752</v>
      </c>
      <c r="B493" s="4" t="s">
        <v>753</v>
      </c>
      <c r="C493" s="4" t="s">
        <v>754</v>
      </c>
      <c r="D493" s="20">
        <v>4.3</v>
      </c>
      <c r="E493" s="4">
        <v>128358</v>
      </c>
      <c r="F493" s="4">
        <v>2011</v>
      </c>
      <c r="G493" s="21" t="str">
        <f t="shared" si="28"/>
        <v>Not Popular</v>
      </c>
      <c r="H493" s="21" t="str">
        <f t="shared" si="29"/>
        <v>Action or Drama</v>
      </c>
      <c r="I493" s="21" t="str">
        <f t="shared" si="30"/>
        <v>Not Comedy</v>
      </c>
      <c r="J493" s="21" t="str">
        <f t="shared" si="31"/>
        <v>Old</v>
      </c>
    </row>
    <row r="494" spans="1:10" x14ac:dyDescent="0.35">
      <c r="A494" s="4" t="s">
        <v>1833</v>
      </c>
      <c r="B494" s="4" t="s">
        <v>1834</v>
      </c>
      <c r="C494" s="4" t="s">
        <v>101</v>
      </c>
      <c r="D494" s="20">
        <v>5</v>
      </c>
      <c r="E494" s="4">
        <v>11176</v>
      </c>
      <c r="F494" s="4">
        <v>2011</v>
      </c>
      <c r="G494" s="21" t="str">
        <f t="shared" si="28"/>
        <v>Not Popular</v>
      </c>
      <c r="H494" s="21" t="str">
        <f t="shared" si="29"/>
        <v>Action or Drama</v>
      </c>
      <c r="I494" s="21" t="str">
        <f t="shared" si="30"/>
        <v>Not Comedy</v>
      </c>
      <c r="J494" s="21" t="str">
        <f t="shared" si="31"/>
        <v>Old</v>
      </c>
    </row>
    <row r="495" spans="1:10" x14ac:dyDescent="0.35">
      <c r="A495" s="4" t="s">
        <v>558</v>
      </c>
      <c r="B495" s="4" t="s">
        <v>559</v>
      </c>
      <c r="C495" s="4" t="s">
        <v>560</v>
      </c>
      <c r="D495" s="20">
        <v>3.9</v>
      </c>
      <c r="E495" s="4">
        <v>20749</v>
      </c>
      <c r="F495" s="4">
        <v>2011</v>
      </c>
      <c r="G495" s="21" t="str">
        <f t="shared" si="28"/>
        <v>Not Popular</v>
      </c>
      <c r="H495" s="21" t="str">
        <f t="shared" si="29"/>
        <v>Action or Drama</v>
      </c>
      <c r="I495" s="21" t="str">
        <f t="shared" si="30"/>
        <v>Not Comedy</v>
      </c>
      <c r="J495" s="21" t="str">
        <f t="shared" si="31"/>
        <v>Old</v>
      </c>
    </row>
    <row r="496" spans="1:10" x14ac:dyDescent="0.35">
      <c r="A496" s="4" t="s">
        <v>2118</v>
      </c>
      <c r="B496" s="4" t="s">
        <v>2119</v>
      </c>
      <c r="C496" s="4" t="s">
        <v>166</v>
      </c>
      <c r="D496" s="20">
        <v>5.2</v>
      </c>
      <c r="E496" s="4">
        <v>103537</v>
      </c>
      <c r="F496" s="4">
        <v>2011</v>
      </c>
      <c r="G496" s="21" t="str">
        <f t="shared" si="28"/>
        <v>Popular</v>
      </c>
      <c r="H496" s="21" t="str">
        <f t="shared" si="29"/>
        <v>Action or Drama</v>
      </c>
      <c r="I496" s="21" t="str">
        <f t="shared" si="30"/>
        <v>Not Comedy</v>
      </c>
      <c r="J496" s="21" t="str">
        <f t="shared" si="31"/>
        <v>Old</v>
      </c>
    </row>
    <row r="497" spans="1:10" x14ac:dyDescent="0.35">
      <c r="A497" s="4" t="s">
        <v>1094</v>
      </c>
      <c r="B497" s="4" t="s">
        <v>1095</v>
      </c>
      <c r="C497" s="4" t="s">
        <v>294</v>
      </c>
      <c r="D497" s="20">
        <v>4.5999999999999996</v>
      </c>
      <c r="E497" s="4">
        <v>18020</v>
      </c>
      <c r="F497" s="4">
        <v>2011</v>
      </c>
      <c r="G497" s="21" t="str">
        <f t="shared" si="28"/>
        <v>Not Popular</v>
      </c>
      <c r="H497" s="21" t="str">
        <f t="shared" si="29"/>
        <v>Action or Drama</v>
      </c>
      <c r="I497" s="21" t="str">
        <f t="shared" si="30"/>
        <v>Not Comedy</v>
      </c>
      <c r="J497" s="21" t="str">
        <f t="shared" si="31"/>
        <v>Old</v>
      </c>
    </row>
    <row r="498" spans="1:10" x14ac:dyDescent="0.35">
      <c r="A498" s="4" t="s">
        <v>331</v>
      </c>
      <c r="B498" s="4" t="s">
        <v>332</v>
      </c>
      <c r="C498" s="4" t="s">
        <v>11</v>
      </c>
      <c r="D498" s="20">
        <v>3.3</v>
      </c>
      <c r="E498" s="4">
        <v>13023</v>
      </c>
      <c r="F498" s="4">
        <v>2011</v>
      </c>
      <c r="G498" s="21" t="str">
        <f t="shared" si="28"/>
        <v>Not Popular</v>
      </c>
      <c r="H498" s="21" t="str">
        <f t="shared" si="29"/>
        <v>Other</v>
      </c>
      <c r="I498" s="21" t="str">
        <f t="shared" si="30"/>
        <v>Comedy</v>
      </c>
      <c r="J498" s="21" t="str">
        <f t="shared" si="31"/>
        <v>Old</v>
      </c>
    </row>
    <row r="499" spans="1:10" x14ac:dyDescent="0.35">
      <c r="A499" s="4" t="s">
        <v>1218</v>
      </c>
      <c r="B499" s="4" t="s">
        <v>1219</v>
      </c>
      <c r="C499" s="4" t="s">
        <v>125</v>
      </c>
      <c r="D499" s="20">
        <v>4.7</v>
      </c>
      <c r="E499" s="4">
        <v>28381</v>
      </c>
      <c r="F499" s="4">
        <v>2011</v>
      </c>
      <c r="G499" s="21" t="str">
        <f t="shared" si="28"/>
        <v>Not Popular</v>
      </c>
      <c r="H499" s="21" t="str">
        <f t="shared" si="29"/>
        <v>Action or Drama</v>
      </c>
      <c r="I499" s="21" t="str">
        <f t="shared" si="30"/>
        <v>Comedy</v>
      </c>
      <c r="J499" s="21" t="str">
        <f t="shared" si="31"/>
        <v>Old</v>
      </c>
    </row>
    <row r="500" spans="1:10" x14ac:dyDescent="0.35">
      <c r="A500" s="4" t="s">
        <v>960</v>
      </c>
      <c r="B500" s="4" t="s">
        <v>961</v>
      </c>
      <c r="C500" s="4" t="s">
        <v>146</v>
      </c>
      <c r="D500" s="20">
        <v>4.5</v>
      </c>
      <c r="E500" s="4">
        <v>29987</v>
      </c>
      <c r="F500" s="4">
        <v>2011</v>
      </c>
      <c r="G500" s="21" t="str">
        <f t="shared" si="28"/>
        <v>Not Popular</v>
      </c>
      <c r="H500" s="21" t="str">
        <f t="shared" si="29"/>
        <v>Action or Drama</v>
      </c>
      <c r="I500" s="21" t="str">
        <f t="shared" si="30"/>
        <v>Comedy</v>
      </c>
      <c r="J500" s="21" t="str">
        <f t="shared" si="31"/>
        <v>Old</v>
      </c>
    </row>
    <row r="501" spans="1:10" x14ac:dyDescent="0.35">
      <c r="A501" s="4" t="s">
        <v>1288</v>
      </c>
      <c r="B501" s="4" t="s">
        <v>1289</v>
      </c>
      <c r="C501" s="4" t="s">
        <v>294</v>
      </c>
      <c r="D501" s="20">
        <v>4.7</v>
      </c>
      <c r="E501" s="4">
        <v>12465</v>
      </c>
      <c r="F501" s="4">
        <v>2011</v>
      </c>
      <c r="G501" s="21" t="str">
        <f t="shared" si="28"/>
        <v>Not Popular</v>
      </c>
      <c r="H501" s="21" t="str">
        <f t="shared" si="29"/>
        <v>Action or Drama</v>
      </c>
      <c r="I501" s="21" t="str">
        <f t="shared" si="30"/>
        <v>Not Comedy</v>
      </c>
      <c r="J501" s="21" t="str">
        <f t="shared" si="31"/>
        <v>Old</v>
      </c>
    </row>
    <row r="502" spans="1:10" x14ac:dyDescent="0.35">
      <c r="A502" s="4" t="s">
        <v>2156</v>
      </c>
      <c r="B502" s="4" t="s">
        <v>2157</v>
      </c>
      <c r="C502" s="4" t="s">
        <v>804</v>
      </c>
      <c r="D502" s="20">
        <v>5.2</v>
      </c>
      <c r="E502" s="4">
        <v>58607</v>
      </c>
      <c r="F502" s="4">
        <v>2011</v>
      </c>
      <c r="G502" s="21" t="str">
        <f t="shared" si="28"/>
        <v>Popular</v>
      </c>
      <c r="H502" s="21" t="str">
        <f t="shared" si="29"/>
        <v>Horror or Thriller</v>
      </c>
      <c r="I502" s="21" t="str">
        <f t="shared" si="30"/>
        <v>Not Comedy</v>
      </c>
      <c r="J502" s="21" t="str">
        <f t="shared" si="31"/>
        <v>Old</v>
      </c>
    </row>
    <row r="503" spans="1:10" x14ac:dyDescent="0.35">
      <c r="A503" s="4" t="s">
        <v>1817</v>
      </c>
      <c r="B503" s="4" t="s">
        <v>1818</v>
      </c>
      <c r="C503" s="4" t="s">
        <v>82</v>
      </c>
      <c r="D503" s="20">
        <v>5</v>
      </c>
      <c r="E503" s="4">
        <v>11884</v>
      </c>
      <c r="F503" s="4">
        <v>2011</v>
      </c>
      <c r="G503" s="21" t="str">
        <f t="shared" si="28"/>
        <v>Not Popular</v>
      </c>
      <c r="H503" s="21" t="str">
        <f t="shared" si="29"/>
        <v>Horror or Thriller</v>
      </c>
      <c r="I503" s="21" t="str">
        <f t="shared" si="30"/>
        <v>Not Comedy</v>
      </c>
      <c r="J503" s="21" t="str">
        <f t="shared" si="31"/>
        <v>Old</v>
      </c>
    </row>
    <row r="504" spans="1:10" x14ac:dyDescent="0.35">
      <c r="A504" s="4" t="s">
        <v>849</v>
      </c>
      <c r="B504" s="4" t="s">
        <v>850</v>
      </c>
      <c r="C504" s="4" t="s">
        <v>217</v>
      </c>
      <c r="D504" s="20">
        <v>4.4000000000000004</v>
      </c>
      <c r="E504" s="4">
        <v>40753</v>
      </c>
      <c r="F504" s="4">
        <v>2011</v>
      </c>
      <c r="G504" s="21" t="str">
        <f t="shared" si="28"/>
        <v>Not Popular</v>
      </c>
      <c r="H504" s="21" t="str">
        <f t="shared" si="29"/>
        <v>Other</v>
      </c>
      <c r="I504" s="21" t="str">
        <f t="shared" si="30"/>
        <v>Comedy</v>
      </c>
      <c r="J504" s="21" t="str">
        <f t="shared" si="31"/>
        <v>Old</v>
      </c>
    </row>
    <row r="505" spans="1:10" x14ac:dyDescent="0.35">
      <c r="A505" s="4" t="s">
        <v>1867</v>
      </c>
      <c r="B505" s="4" t="s">
        <v>1868</v>
      </c>
      <c r="C505" s="4" t="s">
        <v>1869</v>
      </c>
      <c r="D505" s="20">
        <v>5.0999999999999996</v>
      </c>
      <c r="E505" s="4">
        <v>84009</v>
      </c>
      <c r="F505" s="4">
        <v>2011</v>
      </c>
      <c r="G505" s="21" t="str">
        <f t="shared" si="28"/>
        <v>Popular</v>
      </c>
      <c r="H505" s="21" t="str">
        <f t="shared" si="29"/>
        <v>Action or Drama</v>
      </c>
      <c r="I505" s="21" t="str">
        <f t="shared" si="30"/>
        <v>Not Comedy</v>
      </c>
      <c r="J505" s="21" t="str">
        <f t="shared" si="31"/>
        <v>Old</v>
      </c>
    </row>
    <row r="506" spans="1:10" x14ac:dyDescent="0.35">
      <c r="A506" s="4" t="s">
        <v>247</v>
      </c>
      <c r="B506" s="4" t="s">
        <v>248</v>
      </c>
      <c r="C506" s="4" t="s">
        <v>249</v>
      </c>
      <c r="D506" s="20">
        <v>2.9</v>
      </c>
      <c r="E506" s="4">
        <v>34925</v>
      </c>
      <c r="F506" s="4">
        <v>2011</v>
      </c>
      <c r="G506" s="21" t="str">
        <f t="shared" si="28"/>
        <v>Not Popular</v>
      </c>
      <c r="H506" s="21" t="str">
        <f t="shared" si="29"/>
        <v>Horror or Thriller</v>
      </c>
      <c r="I506" s="21" t="str">
        <f t="shared" si="30"/>
        <v>Not Comedy</v>
      </c>
      <c r="J506" s="21" t="str">
        <f t="shared" si="31"/>
        <v>Old</v>
      </c>
    </row>
    <row r="507" spans="1:10" x14ac:dyDescent="0.35">
      <c r="A507" s="4" t="s">
        <v>574</v>
      </c>
      <c r="B507" s="5">
        <v>40858</v>
      </c>
      <c r="C507" s="4" t="s">
        <v>175</v>
      </c>
      <c r="D507" s="20">
        <v>3.9</v>
      </c>
      <c r="E507" s="4">
        <v>12653</v>
      </c>
      <c r="F507" s="4">
        <v>2011</v>
      </c>
      <c r="G507" s="21" t="str">
        <f t="shared" si="28"/>
        <v>Not Popular</v>
      </c>
      <c r="H507" s="21" t="str">
        <f t="shared" si="29"/>
        <v>Horror or Thriller</v>
      </c>
      <c r="I507" s="21" t="str">
        <f t="shared" si="30"/>
        <v>Not Comedy</v>
      </c>
      <c r="J507" s="21" t="str">
        <f t="shared" si="31"/>
        <v>Old</v>
      </c>
    </row>
    <row r="508" spans="1:10" x14ac:dyDescent="0.35">
      <c r="A508" s="4" t="s">
        <v>1076</v>
      </c>
      <c r="B508" s="4" t="s">
        <v>1077</v>
      </c>
      <c r="C508" s="4" t="s">
        <v>65</v>
      </c>
      <c r="D508" s="20">
        <v>4.5999999999999996</v>
      </c>
      <c r="E508" s="4">
        <v>23739</v>
      </c>
      <c r="F508" s="4">
        <v>2010</v>
      </c>
      <c r="G508" s="21" t="str">
        <f t="shared" si="28"/>
        <v>Not Popular</v>
      </c>
      <c r="H508" s="21" t="str">
        <f t="shared" si="29"/>
        <v>Other</v>
      </c>
      <c r="I508" s="21" t="str">
        <f t="shared" si="30"/>
        <v>Comedy</v>
      </c>
      <c r="J508" s="21" t="str">
        <f t="shared" si="31"/>
        <v>Old</v>
      </c>
    </row>
    <row r="509" spans="1:10" x14ac:dyDescent="0.35">
      <c r="A509" s="4" t="s">
        <v>1318</v>
      </c>
      <c r="B509" s="4" t="s">
        <v>1319</v>
      </c>
      <c r="C509" s="4" t="s">
        <v>128</v>
      </c>
      <c r="D509" s="20">
        <v>4.7</v>
      </c>
      <c r="E509" s="4">
        <v>10423</v>
      </c>
      <c r="F509" s="4">
        <v>2010</v>
      </c>
      <c r="G509" s="21" t="str">
        <f t="shared" si="28"/>
        <v>Not Popular</v>
      </c>
      <c r="H509" s="21" t="str">
        <f t="shared" si="29"/>
        <v>Action or Drama</v>
      </c>
      <c r="I509" s="21" t="str">
        <f t="shared" si="30"/>
        <v>Comedy</v>
      </c>
      <c r="J509" s="21" t="str">
        <f t="shared" si="31"/>
        <v>Old</v>
      </c>
    </row>
    <row r="510" spans="1:10" x14ac:dyDescent="0.35">
      <c r="A510" s="4" t="s">
        <v>1585</v>
      </c>
      <c r="B510" s="4" t="s">
        <v>1586</v>
      </c>
      <c r="C510" s="4" t="s">
        <v>175</v>
      </c>
      <c r="D510" s="20">
        <v>4.9000000000000004</v>
      </c>
      <c r="E510" s="4">
        <v>27687</v>
      </c>
      <c r="F510" s="4">
        <v>2010</v>
      </c>
      <c r="G510" s="21" t="str">
        <f t="shared" si="28"/>
        <v>Not Popular</v>
      </c>
      <c r="H510" s="21" t="str">
        <f t="shared" si="29"/>
        <v>Horror or Thriller</v>
      </c>
      <c r="I510" s="21" t="str">
        <f t="shared" si="30"/>
        <v>Not Comedy</v>
      </c>
      <c r="J510" s="21" t="str">
        <f t="shared" si="31"/>
        <v>Old</v>
      </c>
    </row>
    <row r="511" spans="1:10" x14ac:dyDescent="0.35">
      <c r="A511" s="4" t="s">
        <v>341</v>
      </c>
      <c r="B511" s="4" t="s">
        <v>342</v>
      </c>
      <c r="C511" s="4" t="s">
        <v>211</v>
      </c>
      <c r="D511" s="20">
        <v>3.4</v>
      </c>
      <c r="E511" s="4">
        <v>52393</v>
      </c>
      <c r="F511" s="4">
        <v>2010</v>
      </c>
      <c r="G511" s="21" t="str">
        <f t="shared" si="28"/>
        <v>Not Popular</v>
      </c>
      <c r="H511" s="21" t="str">
        <f t="shared" si="29"/>
        <v>Horror or Thriller</v>
      </c>
      <c r="I511" s="21" t="str">
        <f t="shared" si="30"/>
        <v>Comedy</v>
      </c>
      <c r="J511" s="21" t="str">
        <f t="shared" si="31"/>
        <v>Old</v>
      </c>
    </row>
    <row r="512" spans="1:10" x14ac:dyDescent="0.35">
      <c r="A512" s="4" t="s">
        <v>1700</v>
      </c>
      <c r="B512" s="4" t="s">
        <v>1701</v>
      </c>
      <c r="C512" s="4" t="s">
        <v>140</v>
      </c>
      <c r="D512" s="20">
        <v>5</v>
      </c>
      <c r="E512" s="4">
        <v>50577</v>
      </c>
      <c r="F512" s="4">
        <v>2010</v>
      </c>
      <c r="G512" s="21" t="str">
        <f t="shared" si="28"/>
        <v>Not Popular</v>
      </c>
      <c r="H512" s="21" t="str">
        <f t="shared" si="29"/>
        <v>Other</v>
      </c>
      <c r="I512" s="21" t="str">
        <f t="shared" si="30"/>
        <v>Comedy</v>
      </c>
      <c r="J512" s="21" t="str">
        <f t="shared" si="31"/>
        <v>Old</v>
      </c>
    </row>
    <row r="513" spans="1:10" x14ac:dyDescent="0.35">
      <c r="A513" s="4" t="s">
        <v>91</v>
      </c>
      <c r="B513" s="4" t="s">
        <v>92</v>
      </c>
      <c r="C513" s="4" t="s">
        <v>93</v>
      </c>
      <c r="D513" s="20">
        <v>1.7</v>
      </c>
      <c r="E513" s="4">
        <v>13142</v>
      </c>
      <c r="F513" s="4">
        <v>2010</v>
      </c>
      <c r="G513" s="21" t="str">
        <f t="shared" si="28"/>
        <v>Not Popular</v>
      </c>
      <c r="H513" s="21" t="str">
        <f t="shared" si="29"/>
        <v>Action or Drama</v>
      </c>
      <c r="I513" s="21" t="str">
        <f t="shared" si="30"/>
        <v>Not Comedy</v>
      </c>
      <c r="J513" s="21" t="str">
        <f t="shared" si="31"/>
        <v>Old</v>
      </c>
    </row>
    <row r="514" spans="1:10" x14ac:dyDescent="0.35">
      <c r="A514" s="4" t="s">
        <v>1847</v>
      </c>
      <c r="B514" s="4" t="s">
        <v>1848</v>
      </c>
      <c r="C514" s="4" t="s">
        <v>93</v>
      </c>
      <c r="D514" s="20">
        <v>5.0999999999999996</v>
      </c>
      <c r="E514" s="4">
        <v>265386</v>
      </c>
      <c r="F514" s="4">
        <v>2010</v>
      </c>
      <c r="G514" s="21" t="str">
        <f t="shared" si="28"/>
        <v>Popular</v>
      </c>
      <c r="H514" s="21" t="str">
        <f t="shared" si="29"/>
        <v>Action or Drama</v>
      </c>
      <c r="I514" s="21" t="str">
        <f t="shared" si="30"/>
        <v>Not Comedy</v>
      </c>
      <c r="J514" s="21" t="str">
        <f t="shared" si="31"/>
        <v>Old</v>
      </c>
    </row>
    <row r="515" spans="1:10" x14ac:dyDescent="0.35">
      <c r="A515" s="4" t="s">
        <v>1807</v>
      </c>
      <c r="B515" s="4" t="s">
        <v>1808</v>
      </c>
      <c r="C515" s="4" t="s">
        <v>128</v>
      </c>
      <c r="D515" s="20">
        <v>5</v>
      </c>
      <c r="E515" s="4">
        <v>12596</v>
      </c>
      <c r="F515" s="4">
        <v>2010</v>
      </c>
      <c r="G515" s="21" t="str">
        <f t="shared" ref="G515:G578" si="32">IF(AND(D515&gt;5, E515&gt;1000), "Popular", "Not Popular")</f>
        <v>Not Popular</v>
      </c>
      <c r="H515" s="21" t="str">
        <f t="shared" ref="H515:H578" si="33">IF(OR(ISNUMBER(SEARCH("Action", C515)), ISNUMBER(SEARCH("Drama", C515))), "Action or Drama", IF(OR(ISNUMBER(SEARCH("Horror", C515)), ISNUMBER(SEARCH("Thriller", C515))), "Horror or Thriller", "Other"))</f>
        <v>Action or Drama</v>
      </c>
      <c r="I515" s="21" t="str">
        <f t="shared" ref="I515:I578" si="34">IF(NOT(ISNUMBER(SEARCH("Comedy", C515))), "Not Comedy", "Comedy")</f>
        <v>Comedy</v>
      </c>
      <c r="J515" s="21" t="str">
        <f t="shared" ref="J515:J578" si="35">IF(F515&gt;2020, "Recent", "Old")</f>
        <v>Old</v>
      </c>
    </row>
    <row r="516" spans="1:10" x14ac:dyDescent="0.35">
      <c r="A516" s="4" t="s">
        <v>589</v>
      </c>
      <c r="B516" s="4" t="s">
        <v>590</v>
      </c>
      <c r="C516" s="4" t="s">
        <v>477</v>
      </c>
      <c r="D516" s="20">
        <v>4</v>
      </c>
      <c r="E516" s="4">
        <v>176827</v>
      </c>
      <c r="F516" s="4">
        <v>2010</v>
      </c>
      <c r="G516" s="21" t="str">
        <f t="shared" si="32"/>
        <v>Not Popular</v>
      </c>
      <c r="H516" s="21" t="str">
        <f t="shared" si="33"/>
        <v>Action or Drama</v>
      </c>
      <c r="I516" s="21" t="str">
        <f t="shared" si="34"/>
        <v>Not Comedy</v>
      </c>
      <c r="J516" s="21" t="str">
        <f t="shared" si="35"/>
        <v>Old</v>
      </c>
    </row>
    <row r="517" spans="1:10" x14ac:dyDescent="0.35">
      <c r="A517" s="4" t="s">
        <v>1379</v>
      </c>
      <c r="B517" s="4" t="s">
        <v>1380</v>
      </c>
      <c r="C517" s="4" t="s">
        <v>56</v>
      </c>
      <c r="D517" s="20">
        <v>4.8</v>
      </c>
      <c r="E517" s="4">
        <v>28817</v>
      </c>
      <c r="F517" s="4">
        <v>2010</v>
      </c>
      <c r="G517" s="21" t="str">
        <f t="shared" si="32"/>
        <v>Not Popular</v>
      </c>
      <c r="H517" s="21" t="str">
        <f t="shared" si="33"/>
        <v>Action or Drama</v>
      </c>
      <c r="I517" s="21" t="str">
        <f t="shared" si="34"/>
        <v>Not Comedy</v>
      </c>
      <c r="J517" s="21" t="str">
        <f t="shared" si="35"/>
        <v>Old</v>
      </c>
    </row>
    <row r="518" spans="1:10" x14ac:dyDescent="0.35">
      <c r="A518" s="4" t="s">
        <v>212</v>
      </c>
      <c r="B518" s="4" t="s">
        <v>213</v>
      </c>
      <c r="C518" s="4" t="s">
        <v>214</v>
      </c>
      <c r="D518" s="20">
        <v>2.7</v>
      </c>
      <c r="E518" s="4">
        <v>14689</v>
      </c>
      <c r="F518" s="4">
        <v>2010</v>
      </c>
      <c r="G518" s="21" t="str">
        <f t="shared" si="32"/>
        <v>Not Popular</v>
      </c>
      <c r="H518" s="21" t="str">
        <f t="shared" si="33"/>
        <v>Other</v>
      </c>
      <c r="I518" s="21" t="str">
        <f t="shared" si="34"/>
        <v>Comedy</v>
      </c>
      <c r="J518" s="21" t="str">
        <f t="shared" si="35"/>
        <v>Old</v>
      </c>
    </row>
    <row r="519" spans="1:10" x14ac:dyDescent="0.35">
      <c r="A519" s="4" t="s">
        <v>1792</v>
      </c>
      <c r="B519" s="4" t="s">
        <v>1793</v>
      </c>
      <c r="C519" s="4" t="s">
        <v>146</v>
      </c>
      <c r="D519" s="20">
        <v>5</v>
      </c>
      <c r="E519" s="4">
        <v>14433</v>
      </c>
      <c r="F519" s="4">
        <v>2010</v>
      </c>
      <c r="G519" s="21" t="str">
        <f t="shared" si="32"/>
        <v>Not Popular</v>
      </c>
      <c r="H519" s="21" t="str">
        <f t="shared" si="33"/>
        <v>Action or Drama</v>
      </c>
      <c r="I519" s="21" t="str">
        <f t="shared" si="34"/>
        <v>Comedy</v>
      </c>
      <c r="J519" s="21" t="str">
        <f t="shared" si="35"/>
        <v>Old</v>
      </c>
    </row>
    <row r="520" spans="1:10" x14ac:dyDescent="0.35">
      <c r="A520" s="4" t="s">
        <v>922</v>
      </c>
      <c r="B520" s="4" t="s">
        <v>923</v>
      </c>
      <c r="C520" s="4" t="s">
        <v>143</v>
      </c>
      <c r="D520" s="20">
        <v>4.5</v>
      </c>
      <c r="E520" s="4">
        <v>92778</v>
      </c>
      <c r="F520" s="4">
        <v>2010</v>
      </c>
      <c r="G520" s="21" t="str">
        <f t="shared" si="32"/>
        <v>Not Popular</v>
      </c>
      <c r="H520" s="21" t="str">
        <f t="shared" si="33"/>
        <v>Action or Drama</v>
      </c>
      <c r="I520" s="21" t="str">
        <f t="shared" si="34"/>
        <v>Not Comedy</v>
      </c>
      <c r="J520" s="21" t="str">
        <f t="shared" si="35"/>
        <v>Old</v>
      </c>
    </row>
    <row r="521" spans="1:10" x14ac:dyDescent="0.35">
      <c r="A521" s="4" t="s">
        <v>313</v>
      </c>
      <c r="B521" s="4" t="s">
        <v>314</v>
      </c>
      <c r="C521" s="4" t="s">
        <v>178</v>
      </c>
      <c r="D521" s="20">
        <v>3.2</v>
      </c>
      <c r="E521" s="4">
        <v>12070</v>
      </c>
      <c r="F521" s="4">
        <v>2010</v>
      </c>
      <c r="G521" s="21" t="str">
        <f t="shared" si="32"/>
        <v>Not Popular</v>
      </c>
      <c r="H521" s="21" t="str">
        <f t="shared" si="33"/>
        <v>Action or Drama</v>
      </c>
      <c r="I521" s="21" t="str">
        <f t="shared" si="34"/>
        <v>Comedy</v>
      </c>
      <c r="J521" s="21" t="str">
        <f t="shared" si="35"/>
        <v>Old</v>
      </c>
    </row>
    <row r="522" spans="1:10" x14ac:dyDescent="0.35">
      <c r="A522" s="4" t="s">
        <v>1790</v>
      </c>
      <c r="B522" s="4" t="s">
        <v>1791</v>
      </c>
      <c r="C522" s="4" t="s">
        <v>44</v>
      </c>
      <c r="D522" s="20">
        <v>5</v>
      </c>
      <c r="E522" s="4">
        <v>14771</v>
      </c>
      <c r="F522" s="4">
        <v>2010</v>
      </c>
      <c r="G522" s="21" t="str">
        <f t="shared" si="32"/>
        <v>Not Popular</v>
      </c>
      <c r="H522" s="21" t="str">
        <f t="shared" si="33"/>
        <v>Other</v>
      </c>
      <c r="I522" s="21" t="str">
        <f t="shared" si="34"/>
        <v>Comedy</v>
      </c>
      <c r="J522" s="21" t="str">
        <f t="shared" si="35"/>
        <v>Old</v>
      </c>
    </row>
    <row r="523" spans="1:10" x14ac:dyDescent="0.35">
      <c r="A523" s="4" t="s">
        <v>927</v>
      </c>
      <c r="B523" s="4" t="s">
        <v>928</v>
      </c>
      <c r="C523" s="4" t="s">
        <v>128</v>
      </c>
      <c r="D523" s="20">
        <v>4.5</v>
      </c>
      <c r="E523" s="4">
        <v>85258</v>
      </c>
      <c r="F523" s="4">
        <v>2010</v>
      </c>
      <c r="G523" s="21" t="str">
        <f t="shared" si="32"/>
        <v>Not Popular</v>
      </c>
      <c r="H523" s="21" t="str">
        <f t="shared" si="33"/>
        <v>Action or Drama</v>
      </c>
      <c r="I523" s="21" t="str">
        <f t="shared" si="34"/>
        <v>Comedy</v>
      </c>
      <c r="J523" s="21" t="str">
        <f t="shared" si="35"/>
        <v>Old</v>
      </c>
    </row>
    <row r="524" spans="1:10" x14ac:dyDescent="0.35">
      <c r="A524" s="4" t="s">
        <v>778</v>
      </c>
      <c r="B524" s="4" t="s">
        <v>779</v>
      </c>
      <c r="C524" s="4" t="s">
        <v>11</v>
      </c>
      <c r="D524" s="20">
        <v>4.3</v>
      </c>
      <c r="E524" s="4">
        <v>21719</v>
      </c>
      <c r="F524" s="4">
        <v>2010</v>
      </c>
      <c r="G524" s="21" t="str">
        <f t="shared" si="32"/>
        <v>Not Popular</v>
      </c>
      <c r="H524" s="21" t="str">
        <f t="shared" si="33"/>
        <v>Other</v>
      </c>
      <c r="I524" s="21" t="str">
        <f t="shared" si="34"/>
        <v>Comedy</v>
      </c>
      <c r="J524" s="21" t="str">
        <f t="shared" si="35"/>
        <v>Old</v>
      </c>
    </row>
    <row r="525" spans="1:10" x14ac:dyDescent="0.35">
      <c r="A525" s="4" t="s">
        <v>1665</v>
      </c>
      <c r="B525" s="4" t="s">
        <v>1666</v>
      </c>
      <c r="C525" s="4" t="s">
        <v>843</v>
      </c>
      <c r="D525" s="20">
        <v>4.9000000000000004</v>
      </c>
      <c r="E525" s="4">
        <v>10955</v>
      </c>
      <c r="F525" s="4">
        <v>2010</v>
      </c>
      <c r="G525" s="21" t="str">
        <f t="shared" si="32"/>
        <v>Not Popular</v>
      </c>
      <c r="H525" s="21" t="str">
        <f t="shared" si="33"/>
        <v>Action or Drama</v>
      </c>
      <c r="I525" s="21" t="str">
        <f t="shared" si="34"/>
        <v>Comedy</v>
      </c>
      <c r="J525" s="21" t="str">
        <f t="shared" si="35"/>
        <v>Old</v>
      </c>
    </row>
    <row r="526" spans="1:10" x14ac:dyDescent="0.35">
      <c r="A526" s="4" t="s">
        <v>1799</v>
      </c>
      <c r="B526" s="4" t="s">
        <v>1800</v>
      </c>
      <c r="C526" s="4" t="s">
        <v>65</v>
      </c>
      <c r="D526" s="20">
        <v>5</v>
      </c>
      <c r="E526" s="4">
        <v>13651</v>
      </c>
      <c r="F526" s="4">
        <v>2010</v>
      </c>
      <c r="G526" s="21" t="str">
        <f t="shared" si="32"/>
        <v>Not Popular</v>
      </c>
      <c r="H526" s="21" t="str">
        <f t="shared" si="33"/>
        <v>Other</v>
      </c>
      <c r="I526" s="21" t="str">
        <f t="shared" si="34"/>
        <v>Comedy</v>
      </c>
      <c r="J526" s="21" t="str">
        <f t="shared" si="35"/>
        <v>Old</v>
      </c>
    </row>
    <row r="527" spans="1:10" x14ac:dyDescent="0.35">
      <c r="A527" s="4" t="s">
        <v>1624</v>
      </c>
      <c r="B527" s="4" t="s">
        <v>1625</v>
      </c>
      <c r="C527" s="4" t="s">
        <v>441</v>
      </c>
      <c r="D527" s="20">
        <v>4.9000000000000004</v>
      </c>
      <c r="E527" s="4">
        <v>14900</v>
      </c>
      <c r="F527" s="4">
        <v>2010</v>
      </c>
      <c r="G527" s="21" t="str">
        <f t="shared" si="32"/>
        <v>Not Popular</v>
      </c>
      <c r="H527" s="21" t="str">
        <f t="shared" si="33"/>
        <v>Action or Drama</v>
      </c>
      <c r="I527" s="21" t="str">
        <f t="shared" si="34"/>
        <v>Not Comedy</v>
      </c>
      <c r="J527" s="21" t="str">
        <f t="shared" si="35"/>
        <v>Old</v>
      </c>
    </row>
    <row r="528" spans="1:10" x14ac:dyDescent="0.35">
      <c r="A528" s="4" t="s">
        <v>1406</v>
      </c>
      <c r="B528" s="4" t="s">
        <v>1407</v>
      </c>
      <c r="C528" s="4" t="s">
        <v>175</v>
      </c>
      <c r="D528" s="20">
        <v>4.8</v>
      </c>
      <c r="E528" s="4">
        <v>21937</v>
      </c>
      <c r="F528" s="4">
        <v>2010</v>
      </c>
      <c r="G528" s="21" t="str">
        <f t="shared" si="32"/>
        <v>Not Popular</v>
      </c>
      <c r="H528" s="21" t="str">
        <f t="shared" si="33"/>
        <v>Horror or Thriller</v>
      </c>
      <c r="I528" s="21" t="str">
        <f t="shared" si="34"/>
        <v>Not Comedy</v>
      </c>
      <c r="J528" s="21" t="str">
        <f t="shared" si="35"/>
        <v>Old</v>
      </c>
    </row>
    <row r="529" spans="1:10" x14ac:dyDescent="0.35">
      <c r="A529" s="4" t="s">
        <v>244</v>
      </c>
      <c r="B529" s="4" t="s">
        <v>245</v>
      </c>
      <c r="C529" s="4" t="s">
        <v>246</v>
      </c>
      <c r="D529" s="20">
        <v>2.9</v>
      </c>
      <c r="E529" s="4">
        <v>43598</v>
      </c>
      <c r="F529" s="4">
        <v>2010</v>
      </c>
      <c r="G529" s="21" t="str">
        <f t="shared" si="32"/>
        <v>Not Popular</v>
      </c>
      <c r="H529" s="21" t="str">
        <f t="shared" si="33"/>
        <v>Action or Drama</v>
      </c>
      <c r="I529" s="21" t="str">
        <f t="shared" si="34"/>
        <v>Not Comedy</v>
      </c>
      <c r="J529" s="21" t="str">
        <f t="shared" si="35"/>
        <v>Old</v>
      </c>
    </row>
    <row r="530" spans="1:10" x14ac:dyDescent="0.35">
      <c r="A530" s="4" t="s">
        <v>1462</v>
      </c>
      <c r="B530" s="4" t="s">
        <v>1463</v>
      </c>
      <c r="C530" s="4" t="s">
        <v>448</v>
      </c>
      <c r="D530" s="20">
        <v>4.8</v>
      </c>
      <c r="E530" s="4">
        <v>13742</v>
      </c>
      <c r="F530" s="4">
        <v>2010</v>
      </c>
      <c r="G530" s="21" t="str">
        <f t="shared" si="32"/>
        <v>Not Popular</v>
      </c>
      <c r="H530" s="21" t="str">
        <f t="shared" si="33"/>
        <v>Horror or Thriller</v>
      </c>
      <c r="I530" s="21" t="str">
        <f t="shared" si="34"/>
        <v>Not Comedy</v>
      </c>
      <c r="J530" s="21" t="str">
        <f t="shared" si="35"/>
        <v>Old</v>
      </c>
    </row>
    <row r="531" spans="1:10" x14ac:dyDescent="0.35">
      <c r="A531" s="4" t="s">
        <v>785</v>
      </c>
      <c r="B531" s="4" t="s">
        <v>786</v>
      </c>
      <c r="C531" s="4" t="s">
        <v>44</v>
      </c>
      <c r="D531" s="20">
        <v>4.3</v>
      </c>
      <c r="E531" s="4">
        <v>17863</v>
      </c>
      <c r="F531" s="4">
        <v>2010</v>
      </c>
      <c r="G531" s="21" t="str">
        <f t="shared" si="32"/>
        <v>Not Popular</v>
      </c>
      <c r="H531" s="21" t="str">
        <f t="shared" si="33"/>
        <v>Other</v>
      </c>
      <c r="I531" s="21" t="str">
        <f t="shared" si="34"/>
        <v>Comedy</v>
      </c>
      <c r="J531" s="21" t="str">
        <f t="shared" si="35"/>
        <v>Old</v>
      </c>
    </row>
    <row r="532" spans="1:10" x14ac:dyDescent="0.35">
      <c r="A532" s="4" t="s">
        <v>2054</v>
      </c>
      <c r="B532" s="4" t="s">
        <v>2055</v>
      </c>
      <c r="C532" s="4" t="s">
        <v>11</v>
      </c>
      <c r="D532" s="20">
        <v>5.0999999999999996</v>
      </c>
      <c r="E532" s="4">
        <v>11665</v>
      </c>
      <c r="F532" s="4">
        <v>2010</v>
      </c>
      <c r="G532" s="21" t="str">
        <f t="shared" si="32"/>
        <v>Popular</v>
      </c>
      <c r="H532" s="21" t="str">
        <f t="shared" si="33"/>
        <v>Other</v>
      </c>
      <c r="I532" s="21" t="str">
        <f t="shared" si="34"/>
        <v>Comedy</v>
      </c>
      <c r="J532" s="21" t="str">
        <f t="shared" si="35"/>
        <v>Old</v>
      </c>
    </row>
    <row r="533" spans="1:10" x14ac:dyDescent="0.35">
      <c r="A533" s="4" t="s">
        <v>1173</v>
      </c>
      <c r="B533" s="4" t="s">
        <v>1174</v>
      </c>
      <c r="C533" s="4" t="s">
        <v>376</v>
      </c>
      <c r="D533" s="20">
        <v>4.7</v>
      </c>
      <c r="E533" s="4">
        <v>62557</v>
      </c>
      <c r="F533" s="4">
        <v>2010</v>
      </c>
      <c r="G533" s="21" t="str">
        <f t="shared" si="32"/>
        <v>Not Popular</v>
      </c>
      <c r="H533" s="21" t="str">
        <f t="shared" si="33"/>
        <v>Action or Drama</v>
      </c>
      <c r="I533" s="21" t="str">
        <f t="shared" si="34"/>
        <v>Not Comedy</v>
      </c>
      <c r="J533" s="21" t="str">
        <f t="shared" si="35"/>
        <v>Old</v>
      </c>
    </row>
    <row r="534" spans="1:10" x14ac:dyDescent="0.35">
      <c r="A534" s="4" t="s">
        <v>1533</v>
      </c>
      <c r="B534" s="4" t="s">
        <v>1534</v>
      </c>
      <c r="C534" s="4" t="s">
        <v>217</v>
      </c>
      <c r="D534" s="20">
        <v>4.9000000000000004</v>
      </c>
      <c r="E534" s="4">
        <v>74697</v>
      </c>
      <c r="F534" s="4">
        <v>2010</v>
      </c>
      <c r="G534" s="21" t="str">
        <f t="shared" si="32"/>
        <v>Not Popular</v>
      </c>
      <c r="H534" s="21" t="str">
        <f t="shared" si="33"/>
        <v>Other</v>
      </c>
      <c r="I534" s="21" t="str">
        <f t="shared" si="34"/>
        <v>Comedy</v>
      </c>
      <c r="J534" s="21" t="str">
        <f t="shared" si="35"/>
        <v>Old</v>
      </c>
    </row>
    <row r="535" spans="1:10" x14ac:dyDescent="0.35">
      <c r="A535" s="4" t="s">
        <v>561</v>
      </c>
      <c r="B535" s="4" t="s">
        <v>562</v>
      </c>
      <c r="C535" s="4" t="s">
        <v>44</v>
      </c>
      <c r="D535" s="20">
        <v>3.9</v>
      </c>
      <c r="E535" s="4">
        <v>18521</v>
      </c>
      <c r="F535" s="4">
        <v>2010</v>
      </c>
      <c r="G535" s="21" t="str">
        <f t="shared" si="32"/>
        <v>Not Popular</v>
      </c>
      <c r="H535" s="21" t="str">
        <f t="shared" si="33"/>
        <v>Other</v>
      </c>
      <c r="I535" s="21" t="str">
        <f t="shared" si="34"/>
        <v>Comedy</v>
      </c>
      <c r="J535" s="21" t="str">
        <f t="shared" si="35"/>
        <v>Old</v>
      </c>
    </row>
    <row r="536" spans="1:10" x14ac:dyDescent="0.35">
      <c r="A536" s="4" t="s">
        <v>2006</v>
      </c>
      <c r="B536" s="4" t="s">
        <v>2007</v>
      </c>
      <c r="C536" s="4" t="s">
        <v>146</v>
      </c>
      <c r="D536" s="20">
        <v>5.0999999999999996</v>
      </c>
      <c r="E536" s="4">
        <v>15773</v>
      </c>
      <c r="F536" s="4">
        <v>2010</v>
      </c>
      <c r="G536" s="21" t="str">
        <f t="shared" si="32"/>
        <v>Popular</v>
      </c>
      <c r="H536" s="21" t="str">
        <f t="shared" si="33"/>
        <v>Action or Drama</v>
      </c>
      <c r="I536" s="21" t="str">
        <f t="shared" si="34"/>
        <v>Comedy</v>
      </c>
      <c r="J536" s="21" t="str">
        <f t="shared" si="35"/>
        <v>Old</v>
      </c>
    </row>
    <row r="537" spans="1:10" x14ac:dyDescent="0.35">
      <c r="A537" s="4" t="s">
        <v>890</v>
      </c>
      <c r="B537" s="4" t="s">
        <v>891</v>
      </c>
      <c r="C537" s="4" t="s">
        <v>524</v>
      </c>
      <c r="D537" s="20">
        <v>4.4000000000000004</v>
      </c>
      <c r="E537" s="4">
        <v>16501</v>
      </c>
      <c r="F537" s="4">
        <v>2010</v>
      </c>
      <c r="G537" s="21" t="str">
        <f t="shared" si="32"/>
        <v>Not Popular</v>
      </c>
      <c r="H537" s="21" t="str">
        <f t="shared" si="33"/>
        <v>Action or Drama</v>
      </c>
      <c r="I537" s="21" t="str">
        <f t="shared" si="34"/>
        <v>Comedy</v>
      </c>
      <c r="J537" s="21" t="str">
        <f t="shared" si="35"/>
        <v>Old</v>
      </c>
    </row>
    <row r="538" spans="1:10" x14ac:dyDescent="0.35">
      <c r="A538" s="4" t="s">
        <v>80</v>
      </c>
      <c r="B538" s="4" t="s">
        <v>81</v>
      </c>
      <c r="C538" s="4" t="s">
        <v>82</v>
      </c>
      <c r="D538" s="20">
        <v>1.7</v>
      </c>
      <c r="E538" s="4">
        <v>25843</v>
      </c>
      <c r="F538" s="4">
        <v>2010</v>
      </c>
      <c r="G538" s="21" t="str">
        <f t="shared" si="32"/>
        <v>Not Popular</v>
      </c>
      <c r="H538" s="21" t="str">
        <f t="shared" si="33"/>
        <v>Horror or Thriller</v>
      </c>
      <c r="I538" s="21" t="str">
        <f t="shared" si="34"/>
        <v>Not Comedy</v>
      </c>
      <c r="J538" s="21" t="str">
        <f t="shared" si="35"/>
        <v>Old</v>
      </c>
    </row>
    <row r="539" spans="1:10" x14ac:dyDescent="0.35">
      <c r="A539" s="4" t="s">
        <v>1980</v>
      </c>
      <c r="B539" s="4" t="s">
        <v>1981</v>
      </c>
      <c r="C539" s="4" t="s">
        <v>565</v>
      </c>
      <c r="D539" s="20">
        <v>5.0999999999999996</v>
      </c>
      <c r="E539" s="4">
        <v>18991</v>
      </c>
      <c r="F539" s="4">
        <v>2010</v>
      </c>
      <c r="G539" s="21" t="str">
        <f t="shared" si="32"/>
        <v>Popular</v>
      </c>
      <c r="H539" s="21" t="str">
        <f t="shared" si="33"/>
        <v>Action or Drama</v>
      </c>
      <c r="I539" s="21" t="str">
        <f t="shared" si="34"/>
        <v>Not Comedy</v>
      </c>
      <c r="J539" s="21" t="str">
        <f t="shared" si="35"/>
        <v>Old</v>
      </c>
    </row>
    <row r="540" spans="1:10" x14ac:dyDescent="0.35">
      <c r="A540" s="4" t="s">
        <v>1510</v>
      </c>
      <c r="B540" s="4" t="s">
        <v>1511</v>
      </c>
      <c r="C540" s="4" t="s">
        <v>804</v>
      </c>
      <c r="D540" s="20">
        <v>4.8</v>
      </c>
      <c r="E540" s="4">
        <v>10710</v>
      </c>
      <c r="F540" s="4">
        <v>2010</v>
      </c>
      <c r="G540" s="21" t="str">
        <f t="shared" si="32"/>
        <v>Not Popular</v>
      </c>
      <c r="H540" s="21" t="str">
        <f t="shared" si="33"/>
        <v>Horror or Thriller</v>
      </c>
      <c r="I540" s="21" t="str">
        <f t="shared" si="34"/>
        <v>Not Comedy</v>
      </c>
      <c r="J540" s="21" t="str">
        <f t="shared" si="35"/>
        <v>Old</v>
      </c>
    </row>
    <row r="541" spans="1:10" x14ac:dyDescent="0.35">
      <c r="A541" s="4" t="s">
        <v>2012</v>
      </c>
      <c r="B541" s="4" t="s">
        <v>2013</v>
      </c>
      <c r="C541" s="4" t="s">
        <v>65</v>
      </c>
      <c r="D541" s="20">
        <v>5.0999999999999996</v>
      </c>
      <c r="E541" s="4">
        <v>15440</v>
      </c>
      <c r="F541" s="4">
        <v>2010</v>
      </c>
      <c r="G541" s="21" t="str">
        <f t="shared" si="32"/>
        <v>Popular</v>
      </c>
      <c r="H541" s="21" t="str">
        <f t="shared" si="33"/>
        <v>Other</v>
      </c>
      <c r="I541" s="21" t="str">
        <f t="shared" si="34"/>
        <v>Comedy</v>
      </c>
      <c r="J541" s="21" t="str">
        <f t="shared" si="35"/>
        <v>Old</v>
      </c>
    </row>
    <row r="542" spans="1:10" x14ac:dyDescent="0.35">
      <c r="A542" s="4" t="s">
        <v>1535</v>
      </c>
      <c r="B542" s="4" t="s">
        <v>1536</v>
      </c>
      <c r="C542" s="4" t="s">
        <v>175</v>
      </c>
      <c r="D542" s="20">
        <v>4.9000000000000004</v>
      </c>
      <c r="E542" s="4">
        <v>74084</v>
      </c>
      <c r="F542" s="4">
        <v>2010</v>
      </c>
      <c r="G542" s="21" t="str">
        <f t="shared" si="32"/>
        <v>Not Popular</v>
      </c>
      <c r="H542" s="21" t="str">
        <f t="shared" si="33"/>
        <v>Horror or Thriller</v>
      </c>
      <c r="I542" s="21" t="str">
        <f t="shared" si="34"/>
        <v>Not Comedy</v>
      </c>
      <c r="J542" s="21" t="str">
        <f t="shared" si="35"/>
        <v>Old</v>
      </c>
    </row>
    <row r="543" spans="1:10" x14ac:dyDescent="0.35">
      <c r="A543" s="4" t="s">
        <v>2116</v>
      </c>
      <c r="B543" s="4" t="s">
        <v>2117</v>
      </c>
      <c r="C543" s="4" t="s">
        <v>669</v>
      </c>
      <c r="D543" s="20">
        <v>5.2</v>
      </c>
      <c r="E543" s="4">
        <v>109586</v>
      </c>
      <c r="F543" s="4">
        <v>2010</v>
      </c>
      <c r="G543" s="21" t="str">
        <f t="shared" si="32"/>
        <v>Popular</v>
      </c>
      <c r="H543" s="21" t="str">
        <f t="shared" si="33"/>
        <v>Action or Drama</v>
      </c>
      <c r="I543" s="21" t="str">
        <f t="shared" si="34"/>
        <v>Not Comedy</v>
      </c>
      <c r="J543" s="21" t="str">
        <f t="shared" si="35"/>
        <v>Old</v>
      </c>
    </row>
    <row r="544" spans="1:10" x14ac:dyDescent="0.35">
      <c r="A544" s="4" t="s">
        <v>807</v>
      </c>
      <c r="B544" s="4" t="s">
        <v>808</v>
      </c>
      <c r="C544" s="4" t="s">
        <v>82</v>
      </c>
      <c r="D544" s="20">
        <v>4.3</v>
      </c>
      <c r="E544" s="4">
        <v>14517</v>
      </c>
      <c r="F544" s="4">
        <v>2010</v>
      </c>
      <c r="G544" s="21" t="str">
        <f t="shared" si="32"/>
        <v>Not Popular</v>
      </c>
      <c r="H544" s="21" t="str">
        <f t="shared" si="33"/>
        <v>Horror or Thriller</v>
      </c>
      <c r="I544" s="21" t="str">
        <f t="shared" si="34"/>
        <v>Not Comedy</v>
      </c>
      <c r="J544" s="21" t="str">
        <f t="shared" si="35"/>
        <v>Old</v>
      </c>
    </row>
    <row r="545" spans="1:10" x14ac:dyDescent="0.35">
      <c r="A545" s="4" t="s">
        <v>1531</v>
      </c>
      <c r="B545" s="4" t="s">
        <v>1532</v>
      </c>
      <c r="C545" s="4" t="s">
        <v>11</v>
      </c>
      <c r="D545" s="20">
        <v>4.9000000000000004</v>
      </c>
      <c r="E545" s="4">
        <v>105010</v>
      </c>
      <c r="F545" s="4">
        <v>2009</v>
      </c>
      <c r="G545" s="21" t="str">
        <f t="shared" si="32"/>
        <v>Not Popular</v>
      </c>
      <c r="H545" s="21" t="str">
        <f t="shared" si="33"/>
        <v>Other</v>
      </c>
      <c r="I545" s="21" t="str">
        <f t="shared" si="34"/>
        <v>Comedy</v>
      </c>
      <c r="J545" s="21" t="str">
        <f t="shared" si="35"/>
        <v>Old</v>
      </c>
    </row>
    <row r="546" spans="1:10" x14ac:dyDescent="0.35">
      <c r="A546" s="4" t="s">
        <v>1064</v>
      </c>
      <c r="B546" s="4" t="s">
        <v>1065</v>
      </c>
      <c r="C546" s="4" t="s">
        <v>597</v>
      </c>
      <c r="D546" s="20">
        <v>4.5999999999999996</v>
      </c>
      <c r="E546" s="4">
        <v>29806</v>
      </c>
      <c r="F546" s="4">
        <v>2009</v>
      </c>
      <c r="G546" s="21" t="str">
        <f t="shared" si="32"/>
        <v>Not Popular</v>
      </c>
      <c r="H546" s="21" t="str">
        <f t="shared" si="33"/>
        <v>Horror or Thriller</v>
      </c>
      <c r="I546" s="21" t="str">
        <f t="shared" si="34"/>
        <v>Not Comedy</v>
      </c>
      <c r="J546" s="21" t="str">
        <f t="shared" si="35"/>
        <v>Old</v>
      </c>
    </row>
    <row r="547" spans="1:10" x14ac:dyDescent="0.35">
      <c r="A547" s="4" t="s">
        <v>2014</v>
      </c>
      <c r="B547" s="4" t="s">
        <v>2015</v>
      </c>
      <c r="C547" s="4" t="s">
        <v>116</v>
      </c>
      <c r="D547" s="20">
        <v>5.0999999999999996</v>
      </c>
      <c r="E547" s="4">
        <v>15272</v>
      </c>
      <c r="F547" s="4">
        <v>2009</v>
      </c>
      <c r="G547" s="21" t="str">
        <f t="shared" si="32"/>
        <v>Popular</v>
      </c>
      <c r="H547" s="21" t="str">
        <f t="shared" si="33"/>
        <v>Other</v>
      </c>
      <c r="I547" s="21" t="str">
        <f t="shared" si="34"/>
        <v>Comedy</v>
      </c>
      <c r="J547" s="21" t="str">
        <f t="shared" si="35"/>
        <v>Old</v>
      </c>
    </row>
    <row r="548" spans="1:10" x14ac:dyDescent="0.35">
      <c r="A548" s="4" t="s">
        <v>1965</v>
      </c>
      <c r="B548" s="4" t="s">
        <v>1966</v>
      </c>
      <c r="C548" s="4" t="s">
        <v>1967</v>
      </c>
      <c r="D548" s="20">
        <v>5.0999999999999996</v>
      </c>
      <c r="E548" s="4">
        <v>21067</v>
      </c>
      <c r="F548" s="4">
        <v>2009</v>
      </c>
      <c r="G548" s="21" t="str">
        <f t="shared" si="32"/>
        <v>Popular</v>
      </c>
      <c r="H548" s="21" t="str">
        <f t="shared" si="33"/>
        <v>Action or Drama</v>
      </c>
      <c r="I548" s="21" t="str">
        <f t="shared" si="34"/>
        <v>Comedy</v>
      </c>
      <c r="J548" s="21" t="str">
        <f t="shared" si="35"/>
        <v>Old</v>
      </c>
    </row>
    <row r="549" spans="1:10" x14ac:dyDescent="0.35">
      <c r="A549" s="4" t="s">
        <v>1179</v>
      </c>
      <c r="B549" s="4" t="s">
        <v>1180</v>
      </c>
      <c r="C549" s="4" t="s">
        <v>175</v>
      </c>
      <c r="D549" s="20">
        <v>4.7</v>
      </c>
      <c r="E549" s="4">
        <v>53769</v>
      </c>
      <c r="F549" s="4">
        <v>2009</v>
      </c>
      <c r="G549" s="21" t="str">
        <f t="shared" si="32"/>
        <v>Not Popular</v>
      </c>
      <c r="H549" s="21" t="str">
        <f t="shared" si="33"/>
        <v>Horror or Thriller</v>
      </c>
      <c r="I549" s="21" t="str">
        <f t="shared" si="34"/>
        <v>Not Comedy</v>
      </c>
      <c r="J549" s="21" t="str">
        <f t="shared" si="35"/>
        <v>Old</v>
      </c>
    </row>
    <row r="550" spans="1:10" x14ac:dyDescent="0.35">
      <c r="A550" s="4" t="s">
        <v>1320</v>
      </c>
      <c r="B550" s="4" t="s">
        <v>1321</v>
      </c>
      <c r="C550" s="4" t="s">
        <v>1322</v>
      </c>
      <c r="D550" s="20">
        <v>4.8</v>
      </c>
      <c r="E550" s="4">
        <v>304888</v>
      </c>
      <c r="F550" s="4">
        <v>2009</v>
      </c>
      <c r="G550" s="21" t="str">
        <f t="shared" si="32"/>
        <v>Not Popular</v>
      </c>
      <c r="H550" s="21" t="str">
        <f t="shared" si="33"/>
        <v>Action or Drama</v>
      </c>
      <c r="I550" s="21" t="str">
        <f t="shared" si="34"/>
        <v>Not Comedy</v>
      </c>
      <c r="J550" s="21" t="str">
        <f t="shared" si="35"/>
        <v>Old</v>
      </c>
    </row>
    <row r="551" spans="1:10" x14ac:dyDescent="0.35">
      <c r="A551" s="4" t="s">
        <v>831</v>
      </c>
      <c r="B551" s="4" t="s">
        <v>832</v>
      </c>
      <c r="C551" s="4" t="s">
        <v>76</v>
      </c>
      <c r="D551" s="20">
        <v>4.4000000000000004</v>
      </c>
      <c r="E551" s="4">
        <v>90037</v>
      </c>
      <c r="F551" s="4">
        <v>2009</v>
      </c>
      <c r="G551" s="21" t="str">
        <f t="shared" si="32"/>
        <v>Not Popular</v>
      </c>
      <c r="H551" s="21" t="str">
        <f t="shared" si="33"/>
        <v>Horror or Thriller</v>
      </c>
      <c r="I551" s="21" t="str">
        <f t="shared" si="34"/>
        <v>Not Comedy</v>
      </c>
      <c r="J551" s="21" t="str">
        <f t="shared" si="35"/>
        <v>Old</v>
      </c>
    </row>
    <row r="552" spans="1:10" x14ac:dyDescent="0.35">
      <c r="A552" s="4" t="s">
        <v>1088</v>
      </c>
      <c r="B552" s="4" t="s">
        <v>1089</v>
      </c>
      <c r="C552" s="4" t="s">
        <v>175</v>
      </c>
      <c r="D552" s="20">
        <v>4.5999999999999996</v>
      </c>
      <c r="E552" s="4">
        <v>19971</v>
      </c>
      <c r="F552" s="4">
        <v>2009</v>
      </c>
      <c r="G552" s="21" t="str">
        <f t="shared" si="32"/>
        <v>Not Popular</v>
      </c>
      <c r="H552" s="21" t="str">
        <f t="shared" si="33"/>
        <v>Horror or Thriller</v>
      </c>
      <c r="I552" s="21" t="str">
        <f t="shared" si="34"/>
        <v>Not Comedy</v>
      </c>
      <c r="J552" s="21" t="str">
        <f t="shared" si="35"/>
        <v>Old</v>
      </c>
    </row>
    <row r="553" spans="1:10" x14ac:dyDescent="0.35">
      <c r="A553" s="4" t="s">
        <v>1859</v>
      </c>
      <c r="B553" s="4" t="s">
        <v>1860</v>
      </c>
      <c r="C553" s="4" t="s">
        <v>82</v>
      </c>
      <c r="D553" s="20">
        <v>5.0999999999999996</v>
      </c>
      <c r="E553" s="4">
        <v>118563</v>
      </c>
      <c r="F553" s="4">
        <v>2009</v>
      </c>
      <c r="G553" s="21" t="str">
        <f t="shared" si="32"/>
        <v>Popular</v>
      </c>
      <c r="H553" s="21" t="str">
        <f t="shared" si="33"/>
        <v>Horror or Thriller</v>
      </c>
      <c r="I553" s="21" t="str">
        <f t="shared" si="34"/>
        <v>Not Comedy</v>
      </c>
      <c r="J553" s="21" t="str">
        <f t="shared" si="35"/>
        <v>Old</v>
      </c>
    </row>
    <row r="554" spans="1:10" x14ac:dyDescent="0.35">
      <c r="A554" s="4" t="s">
        <v>1401</v>
      </c>
      <c r="B554" s="4" t="s">
        <v>1402</v>
      </c>
      <c r="C554" s="4" t="s">
        <v>1403</v>
      </c>
      <c r="D554" s="20">
        <v>4.8</v>
      </c>
      <c r="E554" s="4">
        <v>22810</v>
      </c>
      <c r="F554" s="4">
        <v>2009</v>
      </c>
      <c r="G554" s="21" t="str">
        <f t="shared" si="32"/>
        <v>Not Popular</v>
      </c>
      <c r="H554" s="21" t="str">
        <f t="shared" si="33"/>
        <v>Action or Drama</v>
      </c>
      <c r="I554" s="21" t="str">
        <f t="shared" si="34"/>
        <v>Comedy</v>
      </c>
      <c r="J554" s="21" t="str">
        <f t="shared" si="35"/>
        <v>Old</v>
      </c>
    </row>
    <row r="555" spans="1:10" x14ac:dyDescent="0.35">
      <c r="A555" s="4" t="s">
        <v>458</v>
      </c>
      <c r="B555" s="4" t="s">
        <v>459</v>
      </c>
      <c r="C555" s="4" t="s">
        <v>338</v>
      </c>
      <c r="D555" s="20">
        <v>3.7</v>
      </c>
      <c r="E555" s="4">
        <v>25594</v>
      </c>
      <c r="F555" s="4">
        <v>2009</v>
      </c>
      <c r="G555" s="21" t="str">
        <f t="shared" si="32"/>
        <v>Not Popular</v>
      </c>
      <c r="H555" s="21" t="str">
        <f t="shared" si="33"/>
        <v>Action or Drama</v>
      </c>
      <c r="I555" s="21" t="str">
        <f t="shared" si="34"/>
        <v>Not Comedy</v>
      </c>
      <c r="J555" s="21" t="str">
        <f t="shared" si="35"/>
        <v>Old</v>
      </c>
    </row>
    <row r="556" spans="1:10" x14ac:dyDescent="0.35">
      <c r="A556" s="4" t="s">
        <v>423</v>
      </c>
      <c r="B556" s="4" t="s">
        <v>424</v>
      </c>
      <c r="C556" s="4" t="s">
        <v>270</v>
      </c>
      <c r="D556" s="20">
        <v>3.6</v>
      </c>
      <c r="E556" s="4">
        <v>15154</v>
      </c>
      <c r="F556" s="4">
        <v>2009</v>
      </c>
      <c r="G556" s="21" t="str">
        <f t="shared" si="32"/>
        <v>Not Popular</v>
      </c>
      <c r="H556" s="21" t="str">
        <f t="shared" si="33"/>
        <v>Horror or Thriller</v>
      </c>
      <c r="I556" s="21" t="str">
        <f t="shared" si="34"/>
        <v>Comedy</v>
      </c>
      <c r="J556" s="21" t="str">
        <f t="shared" si="35"/>
        <v>Old</v>
      </c>
    </row>
    <row r="557" spans="1:10" x14ac:dyDescent="0.35">
      <c r="A557" s="4" t="s">
        <v>1923</v>
      </c>
      <c r="B557" s="4" t="s">
        <v>1924</v>
      </c>
      <c r="C557" s="4" t="s">
        <v>448</v>
      </c>
      <c r="D557" s="20">
        <v>5.0999999999999996</v>
      </c>
      <c r="E557" s="4">
        <v>32865</v>
      </c>
      <c r="F557" s="4">
        <v>2009</v>
      </c>
      <c r="G557" s="21" t="str">
        <f t="shared" si="32"/>
        <v>Popular</v>
      </c>
      <c r="H557" s="21" t="str">
        <f t="shared" si="33"/>
        <v>Horror or Thriller</v>
      </c>
      <c r="I557" s="21" t="str">
        <f t="shared" si="34"/>
        <v>Not Comedy</v>
      </c>
      <c r="J557" s="21" t="str">
        <f t="shared" si="35"/>
        <v>Old</v>
      </c>
    </row>
    <row r="558" spans="1:10" x14ac:dyDescent="0.35">
      <c r="A558" s="4" t="s">
        <v>425</v>
      </c>
      <c r="B558" s="4" t="s">
        <v>426</v>
      </c>
      <c r="C558" s="4" t="s">
        <v>427</v>
      </c>
      <c r="D558" s="20">
        <v>3.6</v>
      </c>
      <c r="E558" s="4">
        <v>14619</v>
      </c>
      <c r="F558" s="4">
        <v>2009</v>
      </c>
      <c r="G558" s="21" t="str">
        <f t="shared" si="32"/>
        <v>Not Popular</v>
      </c>
      <c r="H558" s="21" t="str">
        <f t="shared" si="33"/>
        <v>Action or Drama</v>
      </c>
      <c r="I558" s="21" t="str">
        <f t="shared" si="34"/>
        <v>Not Comedy</v>
      </c>
      <c r="J558" s="21" t="str">
        <f t="shared" si="35"/>
        <v>Old</v>
      </c>
    </row>
    <row r="559" spans="1:10" x14ac:dyDescent="0.35">
      <c r="A559" s="4" t="s">
        <v>1473</v>
      </c>
      <c r="B559" s="4" t="s">
        <v>1474</v>
      </c>
      <c r="C559" s="4" t="s">
        <v>11</v>
      </c>
      <c r="D559" s="20">
        <v>4.8</v>
      </c>
      <c r="E559" s="4">
        <v>12496</v>
      </c>
      <c r="F559" s="4">
        <v>2009</v>
      </c>
      <c r="G559" s="21" t="str">
        <f t="shared" si="32"/>
        <v>Not Popular</v>
      </c>
      <c r="H559" s="21" t="str">
        <f t="shared" si="33"/>
        <v>Other</v>
      </c>
      <c r="I559" s="21" t="str">
        <f t="shared" si="34"/>
        <v>Comedy</v>
      </c>
      <c r="J559" s="21" t="str">
        <f t="shared" si="35"/>
        <v>Old</v>
      </c>
    </row>
    <row r="560" spans="1:10" x14ac:dyDescent="0.35">
      <c r="A560" s="4" t="s">
        <v>972</v>
      </c>
      <c r="B560" s="4" t="s">
        <v>973</v>
      </c>
      <c r="C560" s="4" t="s">
        <v>11</v>
      </c>
      <c r="D560" s="20">
        <v>4.5</v>
      </c>
      <c r="E560" s="4">
        <v>23286</v>
      </c>
      <c r="F560" s="4">
        <v>2009</v>
      </c>
      <c r="G560" s="21" t="str">
        <f t="shared" si="32"/>
        <v>Not Popular</v>
      </c>
      <c r="H560" s="21" t="str">
        <f t="shared" si="33"/>
        <v>Other</v>
      </c>
      <c r="I560" s="21" t="str">
        <f t="shared" si="34"/>
        <v>Comedy</v>
      </c>
      <c r="J560" s="21" t="str">
        <f t="shared" si="35"/>
        <v>Old</v>
      </c>
    </row>
    <row r="561" spans="1:10" x14ac:dyDescent="0.35">
      <c r="A561" s="4" t="s">
        <v>1719</v>
      </c>
      <c r="B561" s="4" t="s">
        <v>1720</v>
      </c>
      <c r="C561" s="4" t="s">
        <v>682</v>
      </c>
      <c r="D561" s="20">
        <v>5</v>
      </c>
      <c r="E561" s="4">
        <v>34756</v>
      </c>
      <c r="F561" s="4">
        <v>2009</v>
      </c>
      <c r="G561" s="21" t="str">
        <f t="shared" si="32"/>
        <v>Not Popular</v>
      </c>
      <c r="H561" s="21" t="str">
        <f t="shared" si="33"/>
        <v>Action or Drama</v>
      </c>
      <c r="I561" s="21" t="str">
        <f t="shared" si="34"/>
        <v>Not Comedy</v>
      </c>
      <c r="J561" s="21" t="str">
        <f t="shared" si="35"/>
        <v>Old</v>
      </c>
    </row>
    <row r="562" spans="1:10" x14ac:dyDescent="0.35">
      <c r="A562" s="4" t="s">
        <v>1757</v>
      </c>
      <c r="B562" s="4" t="s">
        <v>1758</v>
      </c>
      <c r="C562" s="4" t="s">
        <v>116</v>
      </c>
      <c r="D562" s="20">
        <v>5</v>
      </c>
      <c r="E562" s="4">
        <v>22425</v>
      </c>
      <c r="F562" s="4">
        <v>2009</v>
      </c>
      <c r="G562" s="21" t="str">
        <f t="shared" si="32"/>
        <v>Not Popular</v>
      </c>
      <c r="H562" s="21" t="str">
        <f t="shared" si="33"/>
        <v>Other</v>
      </c>
      <c r="I562" s="21" t="str">
        <f t="shared" si="34"/>
        <v>Comedy</v>
      </c>
      <c r="J562" s="21" t="str">
        <f t="shared" si="35"/>
        <v>Old</v>
      </c>
    </row>
    <row r="563" spans="1:10" x14ac:dyDescent="0.35">
      <c r="A563" s="4" t="s">
        <v>176</v>
      </c>
      <c r="B563" s="4" t="s">
        <v>177</v>
      </c>
      <c r="C563" s="4" t="s">
        <v>178</v>
      </c>
      <c r="D563" s="20">
        <v>2.5</v>
      </c>
      <c r="E563" s="4">
        <v>11371</v>
      </c>
      <c r="F563" s="4">
        <v>2009</v>
      </c>
      <c r="G563" s="21" t="str">
        <f t="shared" si="32"/>
        <v>Not Popular</v>
      </c>
      <c r="H563" s="21" t="str">
        <f t="shared" si="33"/>
        <v>Action or Drama</v>
      </c>
      <c r="I563" s="21" t="str">
        <f t="shared" si="34"/>
        <v>Comedy</v>
      </c>
      <c r="J563" s="21" t="str">
        <f t="shared" si="35"/>
        <v>Old</v>
      </c>
    </row>
    <row r="564" spans="1:10" x14ac:dyDescent="0.35">
      <c r="A564" s="4" t="s">
        <v>1120</v>
      </c>
      <c r="B564" s="4" t="s">
        <v>1121</v>
      </c>
      <c r="C564" s="4" t="s">
        <v>1039</v>
      </c>
      <c r="D564" s="20">
        <v>4.5999999999999996</v>
      </c>
      <c r="E564" s="4">
        <v>13130</v>
      </c>
      <c r="F564" s="4">
        <v>2009</v>
      </c>
      <c r="G564" s="21" t="str">
        <f t="shared" si="32"/>
        <v>Not Popular</v>
      </c>
      <c r="H564" s="21" t="str">
        <f t="shared" si="33"/>
        <v>Action or Drama</v>
      </c>
      <c r="I564" s="21" t="str">
        <f t="shared" si="34"/>
        <v>Comedy</v>
      </c>
      <c r="J564" s="21" t="str">
        <f t="shared" si="35"/>
        <v>Old</v>
      </c>
    </row>
    <row r="565" spans="1:10" x14ac:dyDescent="0.35">
      <c r="A565" s="4" t="s">
        <v>1475</v>
      </c>
      <c r="B565" s="4" t="s">
        <v>1476</v>
      </c>
      <c r="C565" s="4" t="s">
        <v>116</v>
      </c>
      <c r="D565" s="20">
        <v>4.8</v>
      </c>
      <c r="E565" s="4">
        <v>12235</v>
      </c>
      <c r="F565" s="4">
        <v>2009</v>
      </c>
      <c r="G565" s="21" t="str">
        <f t="shared" si="32"/>
        <v>Not Popular</v>
      </c>
      <c r="H565" s="21" t="str">
        <f t="shared" si="33"/>
        <v>Other</v>
      </c>
      <c r="I565" s="21" t="str">
        <f t="shared" si="34"/>
        <v>Comedy</v>
      </c>
      <c r="J565" s="21" t="str">
        <f t="shared" si="35"/>
        <v>Old</v>
      </c>
    </row>
    <row r="566" spans="1:10" x14ac:dyDescent="0.35">
      <c r="A566" s="4" t="s">
        <v>69</v>
      </c>
      <c r="B566" s="4" t="s">
        <v>70</v>
      </c>
      <c r="C566" s="4" t="s">
        <v>71</v>
      </c>
      <c r="D566" s="20">
        <v>1.6</v>
      </c>
      <c r="E566" s="4">
        <v>17559</v>
      </c>
      <c r="F566" s="4">
        <v>2009</v>
      </c>
      <c r="G566" s="21" t="str">
        <f t="shared" si="32"/>
        <v>Not Popular</v>
      </c>
      <c r="H566" s="21" t="str">
        <f t="shared" si="33"/>
        <v>Other</v>
      </c>
      <c r="I566" s="21" t="str">
        <f t="shared" si="34"/>
        <v>Not Comedy</v>
      </c>
      <c r="J566" s="21" t="str">
        <f t="shared" si="35"/>
        <v>Old</v>
      </c>
    </row>
    <row r="567" spans="1:10" x14ac:dyDescent="0.35">
      <c r="A567" s="4" t="s">
        <v>552</v>
      </c>
      <c r="B567" s="4" t="s">
        <v>553</v>
      </c>
      <c r="C567" s="4" t="s">
        <v>554</v>
      </c>
      <c r="D567" s="20">
        <v>3.9</v>
      </c>
      <c r="E567" s="4">
        <v>24718</v>
      </c>
      <c r="F567" s="4">
        <v>2009</v>
      </c>
      <c r="G567" s="21" t="str">
        <f t="shared" si="32"/>
        <v>Not Popular</v>
      </c>
      <c r="H567" s="21" t="str">
        <f t="shared" si="33"/>
        <v>Other</v>
      </c>
      <c r="I567" s="21" t="str">
        <f t="shared" si="34"/>
        <v>Comedy</v>
      </c>
      <c r="J567" s="21" t="str">
        <f t="shared" si="35"/>
        <v>Old</v>
      </c>
    </row>
    <row r="568" spans="1:10" x14ac:dyDescent="0.35">
      <c r="A568" s="4" t="s">
        <v>1314</v>
      </c>
      <c r="B568" s="4" t="s">
        <v>1315</v>
      </c>
      <c r="C568" s="4" t="s">
        <v>646</v>
      </c>
      <c r="D568" s="20">
        <v>4.7</v>
      </c>
      <c r="E568" s="4">
        <v>10802</v>
      </c>
      <c r="F568" s="4">
        <v>2009</v>
      </c>
      <c r="G568" s="21" t="str">
        <f t="shared" si="32"/>
        <v>Not Popular</v>
      </c>
      <c r="H568" s="21" t="str">
        <f t="shared" si="33"/>
        <v>Action or Drama</v>
      </c>
      <c r="I568" s="21" t="str">
        <f t="shared" si="34"/>
        <v>Comedy</v>
      </c>
      <c r="J568" s="21" t="str">
        <f t="shared" si="35"/>
        <v>Old</v>
      </c>
    </row>
    <row r="569" spans="1:10" x14ac:dyDescent="0.35">
      <c r="A569" s="4" t="s">
        <v>1196</v>
      </c>
      <c r="B569" s="4" t="s">
        <v>1197</v>
      </c>
      <c r="C569" s="4" t="s">
        <v>232</v>
      </c>
      <c r="D569" s="20">
        <v>4.7</v>
      </c>
      <c r="E569" s="4">
        <v>46518</v>
      </c>
      <c r="F569" s="4">
        <v>2009</v>
      </c>
      <c r="G569" s="21" t="str">
        <f t="shared" si="32"/>
        <v>Not Popular</v>
      </c>
      <c r="H569" s="21" t="str">
        <f t="shared" si="33"/>
        <v>Action or Drama</v>
      </c>
      <c r="I569" s="21" t="str">
        <f t="shared" si="34"/>
        <v>Comedy</v>
      </c>
      <c r="J569" s="21" t="str">
        <f t="shared" si="35"/>
        <v>Old</v>
      </c>
    </row>
    <row r="570" spans="1:10" x14ac:dyDescent="0.35">
      <c r="A570" s="4" t="s">
        <v>1334</v>
      </c>
      <c r="B570" s="4" t="s">
        <v>1335</v>
      </c>
      <c r="C570" s="4" t="s">
        <v>76</v>
      </c>
      <c r="D570" s="20">
        <v>4.8</v>
      </c>
      <c r="E570" s="4">
        <v>61288</v>
      </c>
      <c r="F570" s="4">
        <v>2009</v>
      </c>
      <c r="G570" s="21" t="str">
        <f t="shared" si="32"/>
        <v>Not Popular</v>
      </c>
      <c r="H570" s="21" t="str">
        <f t="shared" si="33"/>
        <v>Horror or Thriller</v>
      </c>
      <c r="I570" s="21" t="str">
        <f t="shared" si="34"/>
        <v>Not Comedy</v>
      </c>
      <c r="J570" s="21" t="str">
        <f t="shared" si="35"/>
        <v>Old</v>
      </c>
    </row>
    <row r="571" spans="1:10" x14ac:dyDescent="0.35">
      <c r="A571" s="4" t="s">
        <v>1275</v>
      </c>
      <c r="B571" s="4" t="s">
        <v>1276</v>
      </c>
      <c r="C571" s="4" t="s">
        <v>1277</v>
      </c>
      <c r="D571" s="20">
        <v>4.7</v>
      </c>
      <c r="E571" s="4">
        <v>14719</v>
      </c>
      <c r="F571" s="4">
        <v>2009</v>
      </c>
      <c r="G571" s="21" t="str">
        <f t="shared" si="32"/>
        <v>Not Popular</v>
      </c>
      <c r="H571" s="21" t="str">
        <f t="shared" si="33"/>
        <v>Action or Drama</v>
      </c>
      <c r="I571" s="21" t="str">
        <f t="shared" si="34"/>
        <v>Not Comedy</v>
      </c>
      <c r="J571" s="21" t="str">
        <f t="shared" si="35"/>
        <v>Old</v>
      </c>
    </row>
    <row r="572" spans="1:10" x14ac:dyDescent="0.35">
      <c r="A572" s="4" t="s">
        <v>306</v>
      </c>
      <c r="B572" s="4" t="s">
        <v>307</v>
      </c>
      <c r="C572" s="4" t="s">
        <v>308</v>
      </c>
      <c r="D572" s="20">
        <v>3.2</v>
      </c>
      <c r="E572" s="4">
        <v>13221</v>
      </c>
      <c r="F572" s="4">
        <v>2009</v>
      </c>
      <c r="G572" s="21" t="str">
        <f t="shared" si="32"/>
        <v>Not Popular</v>
      </c>
      <c r="H572" s="21" t="str">
        <f t="shared" si="33"/>
        <v>Action or Drama</v>
      </c>
      <c r="I572" s="21" t="str">
        <f t="shared" si="34"/>
        <v>Not Comedy</v>
      </c>
      <c r="J572" s="21" t="str">
        <f t="shared" si="35"/>
        <v>Old</v>
      </c>
    </row>
    <row r="573" spans="1:10" x14ac:dyDescent="0.35">
      <c r="A573" s="4" t="s">
        <v>1886</v>
      </c>
      <c r="B573" s="4" t="s">
        <v>1887</v>
      </c>
      <c r="C573" s="4" t="s">
        <v>47</v>
      </c>
      <c r="D573" s="20">
        <v>5.0999999999999996</v>
      </c>
      <c r="E573" s="4">
        <v>50879</v>
      </c>
      <c r="F573" s="4">
        <v>2009</v>
      </c>
      <c r="G573" s="21" t="str">
        <f t="shared" si="32"/>
        <v>Popular</v>
      </c>
      <c r="H573" s="21" t="str">
        <f t="shared" si="33"/>
        <v>Action or Drama</v>
      </c>
      <c r="I573" s="21" t="str">
        <f t="shared" si="34"/>
        <v>Not Comedy</v>
      </c>
      <c r="J573" s="21" t="str">
        <f t="shared" si="35"/>
        <v>Old</v>
      </c>
    </row>
    <row r="574" spans="1:10" x14ac:dyDescent="0.35">
      <c r="A574" s="4" t="s">
        <v>1773</v>
      </c>
      <c r="B574" s="4" t="s">
        <v>1774</v>
      </c>
      <c r="C574" s="4" t="s">
        <v>1775</v>
      </c>
      <c r="D574" s="20">
        <v>5</v>
      </c>
      <c r="E574" s="4">
        <v>17048</v>
      </c>
      <c r="F574" s="4">
        <v>2009</v>
      </c>
      <c r="G574" s="21" t="str">
        <f t="shared" si="32"/>
        <v>Not Popular</v>
      </c>
      <c r="H574" s="21" t="str">
        <f t="shared" si="33"/>
        <v>Action or Drama</v>
      </c>
      <c r="I574" s="21" t="str">
        <f t="shared" si="34"/>
        <v>Not Comedy</v>
      </c>
      <c r="J574" s="21" t="str">
        <f t="shared" si="35"/>
        <v>Old</v>
      </c>
    </row>
    <row r="575" spans="1:10" x14ac:dyDescent="0.35">
      <c r="A575" s="4" t="s">
        <v>48</v>
      </c>
      <c r="B575" s="4" t="s">
        <v>49</v>
      </c>
      <c r="C575" s="4" t="s">
        <v>50</v>
      </c>
      <c r="D575" s="20">
        <v>1.3</v>
      </c>
      <c r="E575" s="4">
        <v>10020</v>
      </c>
      <c r="F575" s="4">
        <v>2009</v>
      </c>
      <c r="G575" s="21" t="str">
        <f t="shared" si="32"/>
        <v>Not Popular</v>
      </c>
      <c r="H575" s="21" t="str">
        <f t="shared" si="33"/>
        <v>Other</v>
      </c>
      <c r="I575" s="21" t="str">
        <f t="shared" si="34"/>
        <v>Comedy</v>
      </c>
      <c r="J575" s="21" t="str">
        <f t="shared" si="35"/>
        <v>Old</v>
      </c>
    </row>
    <row r="576" spans="1:10" x14ac:dyDescent="0.35">
      <c r="A576" s="4" t="s">
        <v>164</v>
      </c>
      <c r="B576" s="4" t="s">
        <v>165</v>
      </c>
      <c r="C576" s="4" t="s">
        <v>166</v>
      </c>
      <c r="D576" s="20">
        <v>2.5</v>
      </c>
      <c r="E576" s="4">
        <v>80320</v>
      </c>
      <c r="F576" s="4">
        <v>2009</v>
      </c>
      <c r="G576" s="21" t="str">
        <f t="shared" si="32"/>
        <v>Not Popular</v>
      </c>
      <c r="H576" s="21" t="str">
        <f t="shared" si="33"/>
        <v>Action or Drama</v>
      </c>
      <c r="I576" s="21" t="str">
        <f t="shared" si="34"/>
        <v>Not Comedy</v>
      </c>
      <c r="J576" s="21" t="str">
        <f t="shared" si="35"/>
        <v>Old</v>
      </c>
    </row>
    <row r="577" spans="1:10" x14ac:dyDescent="0.35">
      <c r="A577" s="4" t="s">
        <v>1567</v>
      </c>
      <c r="B577" s="4" t="s">
        <v>1568</v>
      </c>
      <c r="C577" s="4" t="s">
        <v>128</v>
      </c>
      <c r="D577" s="20">
        <v>4.9000000000000004</v>
      </c>
      <c r="E577" s="4">
        <v>43209</v>
      </c>
      <c r="F577" s="4">
        <v>2009</v>
      </c>
      <c r="G577" s="21" t="str">
        <f t="shared" si="32"/>
        <v>Not Popular</v>
      </c>
      <c r="H577" s="21" t="str">
        <f t="shared" si="33"/>
        <v>Action or Drama</v>
      </c>
      <c r="I577" s="21" t="str">
        <f t="shared" si="34"/>
        <v>Comedy</v>
      </c>
      <c r="J577" s="21" t="str">
        <f t="shared" si="35"/>
        <v>Old</v>
      </c>
    </row>
    <row r="578" spans="1:10" x14ac:dyDescent="0.35">
      <c r="A578" s="4" t="s">
        <v>430</v>
      </c>
      <c r="B578" s="4" t="s">
        <v>431</v>
      </c>
      <c r="C578" s="4" t="s">
        <v>432</v>
      </c>
      <c r="D578" s="20">
        <v>3.6</v>
      </c>
      <c r="E578" s="4">
        <v>12869</v>
      </c>
      <c r="F578" s="4">
        <v>2009</v>
      </c>
      <c r="G578" s="21" t="str">
        <f t="shared" si="32"/>
        <v>Not Popular</v>
      </c>
      <c r="H578" s="21" t="str">
        <f t="shared" si="33"/>
        <v>Action or Drama</v>
      </c>
      <c r="I578" s="21" t="str">
        <f t="shared" si="34"/>
        <v>Comedy</v>
      </c>
      <c r="J578" s="21" t="str">
        <f t="shared" si="35"/>
        <v>Old</v>
      </c>
    </row>
    <row r="579" spans="1:10" x14ac:dyDescent="0.35">
      <c r="A579" s="4" t="s">
        <v>800</v>
      </c>
      <c r="B579" s="4" t="s">
        <v>801</v>
      </c>
      <c r="C579" s="4" t="s">
        <v>76</v>
      </c>
      <c r="D579" s="20">
        <v>4.3</v>
      </c>
      <c r="E579" s="4">
        <v>15469</v>
      </c>
      <c r="F579" s="4">
        <v>2009</v>
      </c>
      <c r="G579" s="21" t="str">
        <f t="shared" ref="G579:G642" si="36">IF(AND(D579&gt;5, E579&gt;1000), "Popular", "Not Popular")</f>
        <v>Not Popular</v>
      </c>
      <c r="H579" s="21" t="str">
        <f t="shared" ref="H579:H642" si="37">IF(OR(ISNUMBER(SEARCH("Action", C579)), ISNUMBER(SEARCH("Drama", C579))), "Action or Drama", IF(OR(ISNUMBER(SEARCH("Horror", C579)), ISNUMBER(SEARCH("Thriller", C579))), "Horror or Thriller", "Other"))</f>
        <v>Horror or Thriller</v>
      </c>
      <c r="I579" s="21" t="str">
        <f t="shared" ref="I579:I642" si="38">IF(NOT(ISNUMBER(SEARCH("Comedy", C579))), "Not Comedy", "Comedy")</f>
        <v>Not Comedy</v>
      </c>
      <c r="J579" s="21" t="str">
        <f t="shared" ref="J579:J642" si="39">IF(F579&gt;2020, "Recent", "Old")</f>
        <v>Old</v>
      </c>
    </row>
    <row r="580" spans="1:10" x14ac:dyDescent="0.35">
      <c r="A580" s="4" t="s">
        <v>990</v>
      </c>
      <c r="B580" s="4" t="s">
        <v>991</v>
      </c>
      <c r="C580" s="4" t="s">
        <v>146</v>
      </c>
      <c r="D580" s="20">
        <v>4.5</v>
      </c>
      <c r="E580" s="4">
        <v>14242</v>
      </c>
      <c r="F580" s="4">
        <v>2009</v>
      </c>
      <c r="G580" s="21" t="str">
        <f t="shared" si="36"/>
        <v>Not Popular</v>
      </c>
      <c r="H580" s="21" t="str">
        <f t="shared" si="37"/>
        <v>Action or Drama</v>
      </c>
      <c r="I580" s="21" t="str">
        <f t="shared" si="38"/>
        <v>Comedy</v>
      </c>
      <c r="J580" s="21" t="str">
        <f t="shared" si="39"/>
        <v>Old</v>
      </c>
    </row>
    <row r="581" spans="1:10" x14ac:dyDescent="0.35">
      <c r="A581" s="4" t="s">
        <v>1187</v>
      </c>
      <c r="B581" s="4" t="s">
        <v>1188</v>
      </c>
      <c r="C581" s="4" t="s">
        <v>11</v>
      </c>
      <c r="D581" s="20">
        <v>4.7</v>
      </c>
      <c r="E581" s="4">
        <v>50106</v>
      </c>
      <c r="F581" s="4">
        <v>2009</v>
      </c>
      <c r="G581" s="21" t="str">
        <f t="shared" si="36"/>
        <v>Not Popular</v>
      </c>
      <c r="H581" s="21" t="str">
        <f t="shared" si="37"/>
        <v>Other</v>
      </c>
      <c r="I581" s="21" t="str">
        <f t="shared" si="38"/>
        <v>Comedy</v>
      </c>
      <c r="J581" s="21" t="str">
        <f t="shared" si="39"/>
        <v>Old</v>
      </c>
    </row>
    <row r="582" spans="1:10" x14ac:dyDescent="0.35">
      <c r="A582" s="4" t="s">
        <v>1033</v>
      </c>
      <c r="B582" s="4" t="s">
        <v>1034</v>
      </c>
      <c r="C582" s="4" t="s">
        <v>217</v>
      </c>
      <c r="D582" s="20">
        <v>4.5999999999999996</v>
      </c>
      <c r="E582" s="4">
        <v>56007</v>
      </c>
      <c r="F582" s="4">
        <v>2009</v>
      </c>
      <c r="G582" s="21" t="str">
        <f t="shared" si="36"/>
        <v>Not Popular</v>
      </c>
      <c r="H582" s="21" t="str">
        <f t="shared" si="37"/>
        <v>Other</v>
      </c>
      <c r="I582" s="21" t="str">
        <f t="shared" si="38"/>
        <v>Comedy</v>
      </c>
      <c r="J582" s="21" t="str">
        <f t="shared" si="39"/>
        <v>Old</v>
      </c>
    </row>
    <row r="583" spans="1:10" x14ac:dyDescent="0.35">
      <c r="A583" s="4" t="s">
        <v>1349</v>
      </c>
      <c r="B583" s="4" t="s">
        <v>1350</v>
      </c>
      <c r="C583" s="4" t="s">
        <v>455</v>
      </c>
      <c r="D583" s="20">
        <v>4.8</v>
      </c>
      <c r="E583" s="4">
        <v>44863</v>
      </c>
      <c r="F583" s="4">
        <v>2009</v>
      </c>
      <c r="G583" s="21" t="str">
        <f t="shared" si="36"/>
        <v>Not Popular</v>
      </c>
      <c r="H583" s="21" t="str">
        <f t="shared" si="37"/>
        <v>Other</v>
      </c>
      <c r="I583" s="21" t="str">
        <f t="shared" si="38"/>
        <v>Comedy</v>
      </c>
      <c r="J583" s="21" t="str">
        <f t="shared" si="39"/>
        <v>Old</v>
      </c>
    </row>
    <row r="584" spans="1:10" x14ac:dyDescent="0.35">
      <c r="A584" s="4" t="s">
        <v>657</v>
      </c>
      <c r="B584" s="4" t="s">
        <v>658</v>
      </c>
      <c r="C584" s="4" t="s">
        <v>137</v>
      </c>
      <c r="D584" s="20">
        <v>4.0999999999999996</v>
      </c>
      <c r="E584" s="4">
        <v>19131</v>
      </c>
      <c r="F584" s="4">
        <v>2008</v>
      </c>
      <c r="G584" s="21" t="str">
        <f t="shared" si="36"/>
        <v>Not Popular</v>
      </c>
      <c r="H584" s="21" t="str">
        <f t="shared" si="37"/>
        <v>Horror or Thriller</v>
      </c>
      <c r="I584" s="21" t="str">
        <f t="shared" si="38"/>
        <v>Comedy</v>
      </c>
      <c r="J584" s="21" t="str">
        <f t="shared" si="39"/>
        <v>Old</v>
      </c>
    </row>
    <row r="585" spans="1:10" x14ac:dyDescent="0.35">
      <c r="A585" s="4" t="s">
        <v>1753</v>
      </c>
      <c r="B585" s="4" t="s">
        <v>1754</v>
      </c>
      <c r="C585" s="4" t="s">
        <v>646</v>
      </c>
      <c r="D585" s="20">
        <v>5</v>
      </c>
      <c r="E585" s="4">
        <v>23466</v>
      </c>
      <c r="F585" s="4">
        <v>2008</v>
      </c>
      <c r="G585" s="21" t="str">
        <f t="shared" si="36"/>
        <v>Not Popular</v>
      </c>
      <c r="H585" s="21" t="str">
        <f t="shared" si="37"/>
        <v>Action or Drama</v>
      </c>
      <c r="I585" s="21" t="str">
        <f t="shared" si="38"/>
        <v>Comedy</v>
      </c>
      <c r="J585" s="21" t="str">
        <f t="shared" si="39"/>
        <v>Old</v>
      </c>
    </row>
    <row r="586" spans="1:10" x14ac:dyDescent="0.35">
      <c r="A586" s="4" t="s">
        <v>1171</v>
      </c>
      <c r="B586" s="4" t="s">
        <v>1172</v>
      </c>
      <c r="C586" s="4" t="s">
        <v>338</v>
      </c>
      <c r="D586" s="20">
        <v>4.7</v>
      </c>
      <c r="E586" s="4">
        <v>63227</v>
      </c>
      <c r="F586" s="4">
        <v>2008</v>
      </c>
      <c r="G586" s="21" t="str">
        <f t="shared" si="36"/>
        <v>Not Popular</v>
      </c>
      <c r="H586" s="21" t="str">
        <f t="shared" si="37"/>
        <v>Action or Drama</v>
      </c>
      <c r="I586" s="21" t="str">
        <f t="shared" si="38"/>
        <v>Not Comedy</v>
      </c>
      <c r="J586" s="21" t="str">
        <f t="shared" si="39"/>
        <v>Old</v>
      </c>
    </row>
    <row r="587" spans="1:10" x14ac:dyDescent="0.35">
      <c r="A587" s="4" t="s">
        <v>1604</v>
      </c>
      <c r="B587" s="4" t="s">
        <v>1605</v>
      </c>
      <c r="C587" s="4" t="s">
        <v>232</v>
      </c>
      <c r="D587" s="20">
        <v>4.9000000000000004</v>
      </c>
      <c r="E587" s="4">
        <v>21128</v>
      </c>
      <c r="F587" s="4">
        <v>2008</v>
      </c>
      <c r="G587" s="21" t="str">
        <f t="shared" si="36"/>
        <v>Not Popular</v>
      </c>
      <c r="H587" s="21" t="str">
        <f t="shared" si="37"/>
        <v>Action or Drama</v>
      </c>
      <c r="I587" s="21" t="str">
        <f t="shared" si="38"/>
        <v>Comedy</v>
      </c>
      <c r="J587" s="21" t="str">
        <f t="shared" si="39"/>
        <v>Old</v>
      </c>
    </row>
    <row r="588" spans="1:10" x14ac:dyDescent="0.35">
      <c r="A588" s="4" t="s">
        <v>504</v>
      </c>
      <c r="B588" s="4" t="s">
        <v>505</v>
      </c>
      <c r="C588" s="4" t="s">
        <v>166</v>
      </c>
      <c r="D588" s="20">
        <v>3.8</v>
      </c>
      <c r="E588" s="4">
        <v>14876</v>
      </c>
      <c r="F588" s="4">
        <v>2008</v>
      </c>
      <c r="G588" s="21" t="str">
        <f t="shared" si="36"/>
        <v>Not Popular</v>
      </c>
      <c r="H588" s="21" t="str">
        <f t="shared" si="37"/>
        <v>Action or Drama</v>
      </c>
      <c r="I588" s="21" t="str">
        <f t="shared" si="38"/>
        <v>Not Comedy</v>
      </c>
      <c r="J588" s="21" t="str">
        <f t="shared" si="39"/>
        <v>Old</v>
      </c>
    </row>
    <row r="589" spans="1:10" x14ac:dyDescent="0.35">
      <c r="A589" s="4" t="s">
        <v>2106</v>
      </c>
      <c r="B589" s="4" t="s">
        <v>2107</v>
      </c>
      <c r="C589" s="4" t="s">
        <v>166</v>
      </c>
      <c r="D589" s="20">
        <v>5.2</v>
      </c>
      <c r="E589" s="4">
        <v>173199</v>
      </c>
      <c r="F589" s="4">
        <v>2008</v>
      </c>
      <c r="G589" s="21" t="str">
        <f t="shared" si="36"/>
        <v>Popular</v>
      </c>
      <c r="H589" s="21" t="str">
        <f t="shared" si="37"/>
        <v>Action or Drama</v>
      </c>
      <c r="I589" s="21" t="str">
        <f t="shared" si="38"/>
        <v>Not Comedy</v>
      </c>
      <c r="J589" s="21" t="str">
        <f t="shared" si="39"/>
        <v>Old</v>
      </c>
    </row>
    <row r="590" spans="1:10" x14ac:dyDescent="0.35">
      <c r="A590" s="4" t="s">
        <v>482</v>
      </c>
      <c r="B590" s="4" t="s">
        <v>483</v>
      </c>
      <c r="C590" s="4" t="s">
        <v>50</v>
      </c>
      <c r="D590" s="20">
        <v>3.8</v>
      </c>
      <c r="E590" s="4">
        <v>55504</v>
      </c>
      <c r="F590" s="4">
        <v>2008</v>
      </c>
      <c r="G590" s="21" t="str">
        <f t="shared" si="36"/>
        <v>Not Popular</v>
      </c>
      <c r="H590" s="21" t="str">
        <f t="shared" si="37"/>
        <v>Other</v>
      </c>
      <c r="I590" s="21" t="str">
        <f t="shared" si="38"/>
        <v>Comedy</v>
      </c>
      <c r="J590" s="21" t="str">
        <f t="shared" si="39"/>
        <v>Old</v>
      </c>
    </row>
    <row r="591" spans="1:10" x14ac:dyDescent="0.35">
      <c r="A591" s="4" t="s">
        <v>1614</v>
      </c>
      <c r="B591" s="4" t="s">
        <v>1615</v>
      </c>
      <c r="C591" s="4" t="s">
        <v>606</v>
      </c>
      <c r="D591" s="20">
        <v>4.9000000000000004</v>
      </c>
      <c r="E591" s="4">
        <v>17670</v>
      </c>
      <c r="F591" s="4">
        <v>2008</v>
      </c>
      <c r="G591" s="21" t="str">
        <f t="shared" si="36"/>
        <v>Not Popular</v>
      </c>
      <c r="H591" s="21" t="str">
        <f t="shared" si="37"/>
        <v>Action or Drama</v>
      </c>
      <c r="I591" s="21" t="str">
        <f t="shared" si="38"/>
        <v>Not Comedy</v>
      </c>
      <c r="J591" s="21" t="str">
        <f t="shared" si="39"/>
        <v>Old</v>
      </c>
    </row>
    <row r="592" spans="1:10" x14ac:dyDescent="0.35">
      <c r="A592" s="4" t="s">
        <v>114</v>
      </c>
      <c r="B592" s="4" t="s">
        <v>115</v>
      </c>
      <c r="C592" s="4" t="s">
        <v>116</v>
      </c>
      <c r="D592" s="20">
        <v>2</v>
      </c>
      <c r="E592" s="4">
        <v>39296</v>
      </c>
      <c r="F592" s="4">
        <v>2008</v>
      </c>
      <c r="G592" s="21" t="str">
        <f t="shared" si="36"/>
        <v>Not Popular</v>
      </c>
      <c r="H592" s="21" t="str">
        <f t="shared" si="37"/>
        <v>Other</v>
      </c>
      <c r="I592" s="21" t="str">
        <f t="shared" si="38"/>
        <v>Comedy</v>
      </c>
      <c r="J592" s="21" t="str">
        <f t="shared" si="39"/>
        <v>Old</v>
      </c>
    </row>
    <row r="593" spans="1:10" x14ac:dyDescent="0.35">
      <c r="A593" s="4" t="s">
        <v>585</v>
      </c>
      <c r="B593" s="4" t="s">
        <v>586</v>
      </c>
      <c r="C593" s="4" t="s">
        <v>584</v>
      </c>
      <c r="D593" s="20">
        <v>3.9</v>
      </c>
      <c r="E593" s="4">
        <v>10232</v>
      </c>
      <c r="F593" s="4">
        <v>2008</v>
      </c>
      <c r="G593" s="21" t="str">
        <f t="shared" si="36"/>
        <v>Not Popular</v>
      </c>
      <c r="H593" s="21" t="str">
        <f t="shared" si="37"/>
        <v>Action or Drama</v>
      </c>
      <c r="I593" s="21" t="str">
        <f t="shared" si="38"/>
        <v>Not Comedy</v>
      </c>
      <c r="J593" s="21" t="str">
        <f t="shared" si="39"/>
        <v>Old</v>
      </c>
    </row>
    <row r="594" spans="1:10" x14ac:dyDescent="0.35">
      <c r="A594" s="4" t="s">
        <v>1674</v>
      </c>
      <c r="B594" s="4" t="s">
        <v>1675</v>
      </c>
      <c r="C594" s="4" t="s">
        <v>560</v>
      </c>
      <c r="D594" s="20">
        <v>5</v>
      </c>
      <c r="E594" s="4">
        <v>220066</v>
      </c>
      <c r="F594" s="4">
        <v>2008</v>
      </c>
      <c r="G594" s="21" t="str">
        <f t="shared" si="36"/>
        <v>Not Popular</v>
      </c>
      <c r="H594" s="21" t="str">
        <f t="shared" si="37"/>
        <v>Action or Drama</v>
      </c>
      <c r="I594" s="21" t="str">
        <f t="shared" si="38"/>
        <v>Not Comedy</v>
      </c>
      <c r="J594" s="21" t="str">
        <f t="shared" si="39"/>
        <v>Old</v>
      </c>
    </row>
    <row r="595" spans="1:10" x14ac:dyDescent="0.35">
      <c r="A595" s="4" t="s">
        <v>1163</v>
      </c>
      <c r="B595" s="4" t="s">
        <v>1164</v>
      </c>
      <c r="C595" s="4" t="s">
        <v>62</v>
      </c>
      <c r="D595" s="20">
        <v>4.7</v>
      </c>
      <c r="E595" s="4">
        <v>77530</v>
      </c>
      <c r="F595" s="4">
        <v>2008</v>
      </c>
      <c r="G595" s="21" t="str">
        <f t="shared" si="36"/>
        <v>Not Popular</v>
      </c>
      <c r="H595" s="21" t="str">
        <f t="shared" si="37"/>
        <v>Action or Drama</v>
      </c>
      <c r="I595" s="21" t="str">
        <f t="shared" si="38"/>
        <v>Comedy</v>
      </c>
      <c r="J595" s="21" t="str">
        <f t="shared" si="39"/>
        <v>Old</v>
      </c>
    </row>
    <row r="596" spans="1:10" x14ac:dyDescent="0.35">
      <c r="A596" s="4" t="s">
        <v>769</v>
      </c>
      <c r="B596" s="4" t="s">
        <v>770</v>
      </c>
      <c r="C596" s="4" t="s">
        <v>163</v>
      </c>
      <c r="D596" s="20">
        <v>4.3</v>
      </c>
      <c r="E596" s="4">
        <v>24871</v>
      </c>
      <c r="F596" s="4">
        <v>2008</v>
      </c>
      <c r="G596" s="21" t="str">
        <f t="shared" si="36"/>
        <v>Not Popular</v>
      </c>
      <c r="H596" s="21" t="str">
        <f t="shared" si="37"/>
        <v>Action or Drama</v>
      </c>
      <c r="I596" s="21" t="str">
        <f t="shared" si="38"/>
        <v>Not Comedy</v>
      </c>
      <c r="J596" s="21" t="str">
        <f t="shared" si="39"/>
        <v>Old</v>
      </c>
    </row>
    <row r="597" spans="1:10" x14ac:dyDescent="0.35">
      <c r="A597" s="4" t="s">
        <v>1000</v>
      </c>
      <c r="B597" s="4" t="s">
        <v>1001</v>
      </c>
      <c r="C597" s="4" t="s">
        <v>65</v>
      </c>
      <c r="D597" s="20">
        <v>4.5</v>
      </c>
      <c r="E597" s="4">
        <v>12749</v>
      </c>
      <c r="F597" s="4">
        <v>2008</v>
      </c>
      <c r="G597" s="21" t="str">
        <f t="shared" si="36"/>
        <v>Not Popular</v>
      </c>
      <c r="H597" s="21" t="str">
        <f t="shared" si="37"/>
        <v>Other</v>
      </c>
      <c r="I597" s="21" t="str">
        <f t="shared" si="38"/>
        <v>Comedy</v>
      </c>
      <c r="J597" s="21" t="str">
        <f t="shared" si="39"/>
        <v>Old</v>
      </c>
    </row>
    <row r="598" spans="1:10" x14ac:dyDescent="0.35">
      <c r="A598" s="4" t="s">
        <v>2178</v>
      </c>
      <c r="B598" s="4" t="s">
        <v>2179</v>
      </c>
      <c r="C598" s="4" t="s">
        <v>175</v>
      </c>
      <c r="D598" s="20">
        <v>5.2</v>
      </c>
      <c r="E598" s="4">
        <v>38126</v>
      </c>
      <c r="F598" s="4">
        <v>2008</v>
      </c>
      <c r="G598" s="21" t="str">
        <f t="shared" si="36"/>
        <v>Popular</v>
      </c>
      <c r="H598" s="21" t="str">
        <f t="shared" si="37"/>
        <v>Horror or Thriller</v>
      </c>
      <c r="I598" s="21" t="str">
        <f t="shared" si="38"/>
        <v>Not Comedy</v>
      </c>
      <c r="J598" s="21" t="str">
        <f t="shared" si="39"/>
        <v>Old</v>
      </c>
    </row>
    <row r="599" spans="1:10" x14ac:dyDescent="0.35">
      <c r="A599" s="4" t="s">
        <v>1579</v>
      </c>
      <c r="B599" s="4" t="s">
        <v>1580</v>
      </c>
      <c r="C599" s="4" t="s">
        <v>11</v>
      </c>
      <c r="D599" s="20">
        <v>4.9000000000000004</v>
      </c>
      <c r="E599" s="4">
        <v>29491</v>
      </c>
      <c r="F599" s="4">
        <v>2008</v>
      </c>
      <c r="G599" s="21" t="str">
        <f t="shared" si="36"/>
        <v>Not Popular</v>
      </c>
      <c r="H599" s="21" t="str">
        <f t="shared" si="37"/>
        <v>Other</v>
      </c>
      <c r="I599" s="21" t="str">
        <f t="shared" si="38"/>
        <v>Comedy</v>
      </c>
      <c r="J599" s="21" t="str">
        <f t="shared" si="39"/>
        <v>Old</v>
      </c>
    </row>
    <row r="600" spans="1:10" x14ac:dyDescent="0.35">
      <c r="A600" s="4" t="s">
        <v>536</v>
      </c>
      <c r="B600" s="4" t="s">
        <v>537</v>
      </c>
      <c r="C600" s="4" t="s">
        <v>76</v>
      </c>
      <c r="D600" s="20">
        <v>3.9</v>
      </c>
      <c r="E600" s="4">
        <v>38624</v>
      </c>
      <c r="F600" s="4">
        <v>2008</v>
      </c>
      <c r="G600" s="21" t="str">
        <f t="shared" si="36"/>
        <v>Not Popular</v>
      </c>
      <c r="H600" s="21" t="str">
        <f t="shared" si="37"/>
        <v>Horror or Thriller</v>
      </c>
      <c r="I600" s="21" t="str">
        <f t="shared" si="38"/>
        <v>Not Comedy</v>
      </c>
      <c r="J600" s="21" t="str">
        <f t="shared" si="39"/>
        <v>Old</v>
      </c>
    </row>
    <row r="601" spans="1:10" x14ac:dyDescent="0.35">
      <c r="A601" s="4" t="s">
        <v>2066</v>
      </c>
      <c r="B601" s="4" t="s">
        <v>2067</v>
      </c>
      <c r="C601" s="4" t="s">
        <v>128</v>
      </c>
      <c r="D601" s="20">
        <v>5.0999999999999996</v>
      </c>
      <c r="E601" s="4">
        <v>10969</v>
      </c>
      <c r="F601" s="4">
        <v>2008</v>
      </c>
      <c r="G601" s="21" t="str">
        <f t="shared" si="36"/>
        <v>Popular</v>
      </c>
      <c r="H601" s="21" t="str">
        <f t="shared" si="37"/>
        <v>Action or Drama</v>
      </c>
      <c r="I601" s="21" t="str">
        <f t="shared" si="38"/>
        <v>Comedy</v>
      </c>
      <c r="J601" s="21" t="str">
        <f t="shared" si="39"/>
        <v>Old</v>
      </c>
    </row>
    <row r="602" spans="1:10" x14ac:dyDescent="0.35">
      <c r="A602" s="4" t="s">
        <v>598</v>
      </c>
      <c r="B602" s="4" t="s">
        <v>599</v>
      </c>
      <c r="C602" s="4" t="s">
        <v>448</v>
      </c>
      <c r="D602" s="20">
        <v>4</v>
      </c>
      <c r="E602" s="4">
        <v>34414</v>
      </c>
      <c r="F602" s="4">
        <v>2008</v>
      </c>
      <c r="G602" s="21" t="str">
        <f t="shared" si="36"/>
        <v>Not Popular</v>
      </c>
      <c r="H602" s="21" t="str">
        <f t="shared" si="37"/>
        <v>Horror or Thriller</v>
      </c>
      <c r="I602" s="21" t="str">
        <f t="shared" si="38"/>
        <v>Not Comedy</v>
      </c>
      <c r="J602" s="21" t="str">
        <f t="shared" si="39"/>
        <v>Old</v>
      </c>
    </row>
    <row r="603" spans="1:10" x14ac:dyDescent="0.35">
      <c r="A603" s="4" t="s">
        <v>225</v>
      </c>
      <c r="B603" s="4" t="s">
        <v>226</v>
      </c>
      <c r="C603" s="4" t="s">
        <v>227</v>
      </c>
      <c r="D603" s="20">
        <v>2.8</v>
      </c>
      <c r="E603" s="4">
        <v>112412</v>
      </c>
      <c r="F603" s="4">
        <v>2008</v>
      </c>
      <c r="G603" s="21" t="str">
        <f t="shared" si="36"/>
        <v>Not Popular</v>
      </c>
      <c r="H603" s="21" t="str">
        <f t="shared" si="37"/>
        <v>Other</v>
      </c>
      <c r="I603" s="21" t="str">
        <f t="shared" si="38"/>
        <v>Comedy</v>
      </c>
      <c r="J603" s="21" t="str">
        <f t="shared" si="39"/>
        <v>Old</v>
      </c>
    </row>
    <row r="604" spans="1:10" x14ac:dyDescent="0.35">
      <c r="A604" s="4" t="s">
        <v>1894</v>
      </c>
      <c r="B604" s="4" t="s">
        <v>1895</v>
      </c>
      <c r="C604" s="4" t="s">
        <v>217</v>
      </c>
      <c r="D604" s="20">
        <v>5.0999999999999996</v>
      </c>
      <c r="E604" s="4">
        <v>44307</v>
      </c>
      <c r="F604" s="4">
        <v>2008</v>
      </c>
      <c r="G604" s="21" t="str">
        <f t="shared" si="36"/>
        <v>Popular</v>
      </c>
      <c r="H604" s="21" t="str">
        <f t="shared" si="37"/>
        <v>Other</v>
      </c>
      <c r="I604" s="21" t="str">
        <f t="shared" si="38"/>
        <v>Comedy</v>
      </c>
      <c r="J604" s="21" t="str">
        <f t="shared" si="39"/>
        <v>Old</v>
      </c>
    </row>
    <row r="605" spans="1:10" x14ac:dyDescent="0.35">
      <c r="A605" s="4" t="s">
        <v>1016</v>
      </c>
      <c r="B605" s="4" t="s">
        <v>1017</v>
      </c>
      <c r="C605" s="4" t="s">
        <v>349</v>
      </c>
      <c r="D605" s="20">
        <v>4.5</v>
      </c>
      <c r="E605" s="4">
        <v>10852</v>
      </c>
      <c r="F605" s="4">
        <v>2008</v>
      </c>
      <c r="G605" s="21" t="str">
        <f t="shared" si="36"/>
        <v>Not Popular</v>
      </c>
      <c r="H605" s="21" t="str">
        <f t="shared" si="37"/>
        <v>Horror or Thriller</v>
      </c>
      <c r="I605" s="21" t="str">
        <f t="shared" si="38"/>
        <v>Comedy</v>
      </c>
      <c r="J605" s="21" t="str">
        <f t="shared" si="39"/>
        <v>Old</v>
      </c>
    </row>
    <row r="606" spans="1:10" x14ac:dyDescent="0.35">
      <c r="A606" s="4" t="s">
        <v>1841</v>
      </c>
      <c r="B606" s="4" t="s">
        <v>1842</v>
      </c>
      <c r="C606" s="4" t="s">
        <v>1020</v>
      </c>
      <c r="D606" s="20">
        <v>5</v>
      </c>
      <c r="E606" s="4">
        <v>10539</v>
      </c>
      <c r="F606" s="4">
        <v>2008</v>
      </c>
      <c r="G606" s="21" t="str">
        <f t="shared" si="36"/>
        <v>Not Popular</v>
      </c>
      <c r="H606" s="21" t="str">
        <f t="shared" si="37"/>
        <v>Horror or Thriller</v>
      </c>
      <c r="I606" s="21" t="str">
        <f t="shared" si="38"/>
        <v>Not Comedy</v>
      </c>
      <c r="J606" s="21" t="str">
        <f t="shared" si="39"/>
        <v>Old</v>
      </c>
    </row>
    <row r="607" spans="1:10" x14ac:dyDescent="0.35">
      <c r="A607" s="4" t="s">
        <v>1692</v>
      </c>
      <c r="B607" s="4" t="s">
        <v>1693</v>
      </c>
      <c r="C607" s="4" t="s">
        <v>232</v>
      </c>
      <c r="D607" s="20">
        <v>5</v>
      </c>
      <c r="E607" s="4">
        <v>68834</v>
      </c>
      <c r="F607" s="4">
        <v>2008</v>
      </c>
      <c r="G607" s="21" t="str">
        <f t="shared" si="36"/>
        <v>Not Popular</v>
      </c>
      <c r="H607" s="21" t="str">
        <f t="shared" si="37"/>
        <v>Action or Drama</v>
      </c>
      <c r="I607" s="21" t="str">
        <f t="shared" si="38"/>
        <v>Comedy</v>
      </c>
      <c r="J607" s="21" t="str">
        <f t="shared" si="39"/>
        <v>Old</v>
      </c>
    </row>
    <row r="608" spans="1:10" x14ac:dyDescent="0.35">
      <c r="A608" s="4" t="s">
        <v>1779</v>
      </c>
      <c r="B608" s="4" t="s">
        <v>1780</v>
      </c>
      <c r="C608" s="4" t="s">
        <v>568</v>
      </c>
      <c r="D608" s="20">
        <v>5</v>
      </c>
      <c r="E608" s="4">
        <v>16533</v>
      </c>
      <c r="F608" s="4">
        <v>2008</v>
      </c>
      <c r="G608" s="21" t="str">
        <f t="shared" si="36"/>
        <v>Not Popular</v>
      </c>
      <c r="H608" s="21" t="str">
        <f t="shared" si="37"/>
        <v>Action or Drama</v>
      </c>
      <c r="I608" s="21" t="str">
        <f t="shared" si="38"/>
        <v>Not Comedy</v>
      </c>
      <c r="J608" s="21" t="str">
        <f t="shared" si="39"/>
        <v>Old</v>
      </c>
    </row>
    <row r="609" spans="1:10" x14ac:dyDescent="0.35">
      <c r="A609" s="4" t="s">
        <v>218</v>
      </c>
      <c r="B609" s="4" t="s">
        <v>219</v>
      </c>
      <c r="C609" s="4" t="s">
        <v>68</v>
      </c>
      <c r="D609" s="20">
        <v>2.7</v>
      </c>
      <c r="E609" s="4">
        <v>12207</v>
      </c>
      <c r="F609" s="4">
        <v>2008</v>
      </c>
      <c r="G609" s="21" t="str">
        <f t="shared" si="36"/>
        <v>Not Popular</v>
      </c>
      <c r="H609" s="21" t="str">
        <f t="shared" si="37"/>
        <v>Other</v>
      </c>
      <c r="I609" s="21" t="str">
        <f t="shared" si="38"/>
        <v>Not Comedy</v>
      </c>
      <c r="J609" s="21" t="str">
        <f t="shared" si="39"/>
        <v>Old</v>
      </c>
    </row>
    <row r="610" spans="1:10" x14ac:dyDescent="0.35">
      <c r="A610" s="4" t="s">
        <v>1136</v>
      </c>
      <c r="B610" s="4" t="s">
        <v>1137</v>
      </c>
      <c r="C610" s="4" t="s">
        <v>1039</v>
      </c>
      <c r="D610" s="20">
        <v>4.5999999999999996</v>
      </c>
      <c r="E610" s="4">
        <v>11867</v>
      </c>
      <c r="F610" s="4">
        <v>2008</v>
      </c>
      <c r="G610" s="21" t="str">
        <f t="shared" si="36"/>
        <v>Not Popular</v>
      </c>
      <c r="H610" s="21" t="str">
        <f t="shared" si="37"/>
        <v>Action or Drama</v>
      </c>
      <c r="I610" s="21" t="str">
        <f t="shared" si="38"/>
        <v>Comedy</v>
      </c>
      <c r="J610" s="21" t="str">
        <f t="shared" si="39"/>
        <v>Old</v>
      </c>
    </row>
    <row r="611" spans="1:10" x14ac:dyDescent="0.35">
      <c r="A611" s="4" t="s">
        <v>304</v>
      </c>
      <c r="B611" s="4" t="s">
        <v>305</v>
      </c>
      <c r="C611" s="4" t="s">
        <v>163</v>
      </c>
      <c r="D611" s="20">
        <v>3.2</v>
      </c>
      <c r="E611" s="4">
        <v>15151</v>
      </c>
      <c r="F611" s="4">
        <v>2008</v>
      </c>
      <c r="G611" s="21" t="str">
        <f t="shared" si="36"/>
        <v>Not Popular</v>
      </c>
      <c r="H611" s="21" t="str">
        <f t="shared" si="37"/>
        <v>Action or Drama</v>
      </c>
      <c r="I611" s="21" t="str">
        <f t="shared" si="38"/>
        <v>Not Comedy</v>
      </c>
      <c r="J611" s="21" t="str">
        <f t="shared" si="39"/>
        <v>Old</v>
      </c>
    </row>
    <row r="612" spans="1:10" x14ac:dyDescent="0.35">
      <c r="A612" s="4" t="s">
        <v>468</v>
      </c>
      <c r="B612" s="4" t="s">
        <v>469</v>
      </c>
      <c r="C612" s="4" t="s">
        <v>11</v>
      </c>
      <c r="D612" s="20">
        <v>3.7</v>
      </c>
      <c r="E612" s="4">
        <v>11668</v>
      </c>
      <c r="F612" s="4">
        <v>2008</v>
      </c>
      <c r="G612" s="21" t="str">
        <f t="shared" si="36"/>
        <v>Not Popular</v>
      </c>
      <c r="H612" s="21" t="str">
        <f t="shared" si="37"/>
        <v>Other</v>
      </c>
      <c r="I612" s="21" t="str">
        <f t="shared" si="38"/>
        <v>Comedy</v>
      </c>
      <c r="J612" s="21" t="str">
        <f t="shared" si="39"/>
        <v>Old</v>
      </c>
    </row>
    <row r="613" spans="1:10" x14ac:dyDescent="0.35">
      <c r="A613" s="4" t="s">
        <v>465</v>
      </c>
      <c r="B613" s="4" t="s">
        <v>466</v>
      </c>
      <c r="C613" s="4" t="s">
        <v>467</v>
      </c>
      <c r="D613" s="20">
        <v>3.7</v>
      </c>
      <c r="E613" s="4">
        <v>12218</v>
      </c>
      <c r="F613" s="4">
        <v>2008</v>
      </c>
      <c r="G613" s="21" t="str">
        <f t="shared" si="36"/>
        <v>Not Popular</v>
      </c>
      <c r="H613" s="21" t="str">
        <f t="shared" si="37"/>
        <v>Other</v>
      </c>
      <c r="I613" s="21" t="str">
        <f t="shared" si="38"/>
        <v>Not Comedy</v>
      </c>
      <c r="J613" s="21" t="str">
        <f t="shared" si="39"/>
        <v>Old</v>
      </c>
    </row>
    <row r="614" spans="1:10" x14ac:dyDescent="0.35">
      <c r="A614" s="4" t="s">
        <v>102</v>
      </c>
      <c r="B614" s="4" t="s">
        <v>103</v>
      </c>
      <c r="C614" s="4" t="s">
        <v>104</v>
      </c>
      <c r="D614" s="20">
        <v>1.9</v>
      </c>
      <c r="E614" s="4">
        <v>95369</v>
      </c>
      <c r="F614" s="4">
        <v>2008</v>
      </c>
      <c r="G614" s="21" t="str">
        <f t="shared" si="36"/>
        <v>Not Popular</v>
      </c>
      <c r="H614" s="21" t="str">
        <f t="shared" si="37"/>
        <v>Other</v>
      </c>
      <c r="I614" s="21" t="str">
        <f t="shared" si="38"/>
        <v>Comedy</v>
      </c>
      <c r="J614" s="21" t="str">
        <f t="shared" si="39"/>
        <v>Old</v>
      </c>
    </row>
    <row r="615" spans="1:10" x14ac:dyDescent="0.35">
      <c r="A615" s="4" t="s">
        <v>977</v>
      </c>
      <c r="B615" s="4" t="s">
        <v>978</v>
      </c>
      <c r="C615" s="4" t="s">
        <v>155</v>
      </c>
      <c r="D615" s="20">
        <v>4.5</v>
      </c>
      <c r="E615" s="4">
        <v>22037</v>
      </c>
      <c r="F615" s="4">
        <v>2008</v>
      </c>
      <c r="G615" s="21" t="str">
        <f t="shared" si="36"/>
        <v>Not Popular</v>
      </c>
      <c r="H615" s="21" t="str">
        <f t="shared" si="37"/>
        <v>Action or Drama</v>
      </c>
      <c r="I615" s="21" t="str">
        <f t="shared" si="38"/>
        <v>Not Comedy</v>
      </c>
      <c r="J615" s="21" t="str">
        <f t="shared" si="39"/>
        <v>Old</v>
      </c>
    </row>
    <row r="616" spans="1:10" x14ac:dyDescent="0.35">
      <c r="A616" s="4" t="s">
        <v>796</v>
      </c>
      <c r="B616" s="4" t="s">
        <v>797</v>
      </c>
      <c r="C616" s="4" t="s">
        <v>549</v>
      </c>
      <c r="D616" s="20">
        <v>4.3</v>
      </c>
      <c r="E616" s="4">
        <v>16854</v>
      </c>
      <c r="F616" s="4">
        <v>2008</v>
      </c>
      <c r="G616" s="21" t="str">
        <f t="shared" si="36"/>
        <v>Not Popular</v>
      </c>
      <c r="H616" s="21" t="str">
        <f t="shared" si="37"/>
        <v>Action or Drama</v>
      </c>
      <c r="I616" s="21" t="str">
        <f t="shared" si="38"/>
        <v>Comedy</v>
      </c>
      <c r="J616" s="21" t="str">
        <f t="shared" si="39"/>
        <v>Old</v>
      </c>
    </row>
    <row r="617" spans="1:10" x14ac:dyDescent="0.35">
      <c r="A617" s="4" t="s">
        <v>1122</v>
      </c>
      <c r="B617" s="4" t="s">
        <v>1123</v>
      </c>
      <c r="C617" s="4" t="s">
        <v>11</v>
      </c>
      <c r="D617" s="20">
        <v>4.5999999999999996</v>
      </c>
      <c r="E617" s="4">
        <v>12735</v>
      </c>
      <c r="F617" s="4">
        <v>2008</v>
      </c>
      <c r="G617" s="21" t="str">
        <f t="shared" si="36"/>
        <v>Not Popular</v>
      </c>
      <c r="H617" s="21" t="str">
        <f t="shared" si="37"/>
        <v>Other</v>
      </c>
      <c r="I617" s="21" t="str">
        <f t="shared" si="38"/>
        <v>Comedy</v>
      </c>
      <c r="J617" s="21" t="str">
        <f t="shared" si="39"/>
        <v>Old</v>
      </c>
    </row>
    <row r="618" spans="1:10" x14ac:dyDescent="0.35">
      <c r="A618" s="4" t="s">
        <v>2176</v>
      </c>
      <c r="B618" s="4" t="s">
        <v>2177</v>
      </c>
      <c r="C618" s="4" t="s">
        <v>291</v>
      </c>
      <c r="D618" s="20">
        <v>5.2</v>
      </c>
      <c r="E618" s="4">
        <v>38239</v>
      </c>
      <c r="F618" s="4">
        <v>2008</v>
      </c>
      <c r="G618" s="21" t="str">
        <f t="shared" si="36"/>
        <v>Popular</v>
      </c>
      <c r="H618" s="21" t="str">
        <f t="shared" si="37"/>
        <v>Other</v>
      </c>
      <c r="I618" s="21" t="str">
        <f t="shared" si="38"/>
        <v>Comedy</v>
      </c>
      <c r="J618" s="21" t="str">
        <f t="shared" si="39"/>
        <v>Old</v>
      </c>
    </row>
    <row r="619" spans="1:10" x14ac:dyDescent="0.35">
      <c r="A619" s="4" t="s">
        <v>547</v>
      </c>
      <c r="B619" s="4" t="s">
        <v>548</v>
      </c>
      <c r="C619" s="4" t="s">
        <v>549</v>
      </c>
      <c r="D619" s="20">
        <v>3.9</v>
      </c>
      <c r="E619" s="4">
        <v>26296</v>
      </c>
      <c r="F619" s="4">
        <v>2008</v>
      </c>
      <c r="G619" s="21" t="str">
        <f t="shared" si="36"/>
        <v>Not Popular</v>
      </c>
      <c r="H619" s="21" t="str">
        <f t="shared" si="37"/>
        <v>Action or Drama</v>
      </c>
      <c r="I619" s="21" t="str">
        <f t="shared" si="38"/>
        <v>Comedy</v>
      </c>
      <c r="J619" s="21" t="str">
        <f t="shared" si="39"/>
        <v>Old</v>
      </c>
    </row>
    <row r="620" spans="1:10" x14ac:dyDescent="0.35">
      <c r="A620" s="4" t="s">
        <v>2190</v>
      </c>
      <c r="B620" s="4" t="s">
        <v>2191</v>
      </c>
      <c r="C620" s="4" t="s">
        <v>217</v>
      </c>
      <c r="D620" s="20">
        <v>5.2</v>
      </c>
      <c r="E620" s="4">
        <v>33131</v>
      </c>
      <c r="F620" s="4">
        <v>2008</v>
      </c>
      <c r="G620" s="21" t="str">
        <f t="shared" si="36"/>
        <v>Popular</v>
      </c>
      <c r="H620" s="21" t="str">
        <f t="shared" si="37"/>
        <v>Other</v>
      </c>
      <c r="I620" s="21" t="str">
        <f t="shared" si="38"/>
        <v>Comedy</v>
      </c>
      <c r="J620" s="21" t="str">
        <f t="shared" si="39"/>
        <v>Old</v>
      </c>
    </row>
    <row r="621" spans="1:10" x14ac:dyDescent="0.35">
      <c r="A621" s="4" t="s">
        <v>629</v>
      </c>
      <c r="B621" s="4" t="s">
        <v>630</v>
      </c>
      <c r="C621" s="4" t="s">
        <v>227</v>
      </c>
      <c r="D621" s="20">
        <v>4</v>
      </c>
      <c r="E621" s="4">
        <v>10161</v>
      </c>
      <c r="F621" s="4">
        <v>2008</v>
      </c>
      <c r="G621" s="21" t="str">
        <f t="shared" si="36"/>
        <v>Not Popular</v>
      </c>
      <c r="H621" s="21" t="str">
        <f t="shared" si="37"/>
        <v>Other</v>
      </c>
      <c r="I621" s="21" t="str">
        <f t="shared" si="38"/>
        <v>Comedy</v>
      </c>
      <c r="J621" s="21" t="str">
        <f t="shared" si="39"/>
        <v>Old</v>
      </c>
    </row>
    <row r="622" spans="1:10" x14ac:dyDescent="0.35">
      <c r="A622" s="4" t="s">
        <v>1643</v>
      </c>
      <c r="B622" s="4" t="s">
        <v>1644</v>
      </c>
      <c r="C622" s="4" t="s">
        <v>1072</v>
      </c>
      <c r="D622" s="20">
        <v>4.9000000000000004</v>
      </c>
      <c r="E622" s="4">
        <v>12525</v>
      </c>
      <c r="F622" s="4">
        <v>2008</v>
      </c>
      <c r="G622" s="21" t="str">
        <f t="shared" si="36"/>
        <v>Not Popular</v>
      </c>
      <c r="H622" s="21" t="str">
        <f t="shared" si="37"/>
        <v>Horror or Thriller</v>
      </c>
      <c r="I622" s="21" t="str">
        <f t="shared" si="38"/>
        <v>Not Comedy</v>
      </c>
      <c r="J622" s="21" t="str">
        <f t="shared" si="39"/>
        <v>Old</v>
      </c>
    </row>
    <row r="623" spans="1:10" x14ac:dyDescent="0.35">
      <c r="A623" s="4" t="s">
        <v>1851</v>
      </c>
      <c r="B623" s="4" t="s">
        <v>1852</v>
      </c>
      <c r="C623" s="4" t="s">
        <v>93</v>
      </c>
      <c r="D623" s="20">
        <v>5.0999999999999996</v>
      </c>
      <c r="E623" s="4">
        <v>136533</v>
      </c>
      <c r="F623" s="4">
        <v>2008</v>
      </c>
      <c r="G623" s="21" t="str">
        <f t="shared" si="36"/>
        <v>Popular</v>
      </c>
      <c r="H623" s="21" t="str">
        <f t="shared" si="37"/>
        <v>Action or Drama</v>
      </c>
      <c r="I623" s="21" t="str">
        <f t="shared" si="38"/>
        <v>Not Comedy</v>
      </c>
      <c r="J623" s="21" t="str">
        <f t="shared" si="39"/>
        <v>Old</v>
      </c>
    </row>
    <row r="624" spans="1:10" x14ac:dyDescent="0.35">
      <c r="A624" s="4" t="s">
        <v>147</v>
      </c>
      <c r="B624" s="4" t="s">
        <v>148</v>
      </c>
      <c r="C624" s="4" t="s">
        <v>149</v>
      </c>
      <c r="D624" s="20">
        <v>2.2999999999999998</v>
      </c>
      <c r="E624" s="4">
        <v>15639</v>
      </c>
      <c r="F624" s="4">
        <v>2007</v>
      </c>
      <c r="G624" s="21" t="str">
        <f t="shared" si="36"/>
        <v>Not Popular</v>
      </c>
      <c r="H624" s="21" t="str">
        <f t="shared" si="37"/>
        <v>Other</v>
      </c>
      <c r="I624" s="21" t="str">
        <f t="shared" si="38"/>
        <v>Comedy</v>
      </c>
      <c r="J624" s="21" t="str">
        <f t="shared" si="39"/>
        <v>Old</v>
      </c>
    </row>
    <row r="625" spans="1:10" x14ac:dyDescent="0.35">
      <c r="A625" s="4" t="s">
        <v>1399</v>
      </c>
      <c r="B625" s="4" t="s">
        <v>1400</v>
      </c>
      <c r="C625" s="4" t="s">
        <v>178</v>
      </c>
      <c r="D625" s="20">
        <v>4.8</v>
      </c>
      <c r="E625" s="4">
        <v>23019</v>
      </c>
      <c r="F625" s="4">
        <v>2007</v>
      </c>
      <c r="G625" s="21" t="str">
        <f t="shared" si="36"/>
        <v>Not Popular</v>
      </c>
      <c r="H625" s="21" t="str">
        <f t="shared" si="37"/>
        <v>Action or Drama</v>
      </c>
      <c r="I625" s="21" t="str">
        <f t="shared" si="38"/>
        <v>Comedy</v>
      </c>
      <c r="J625" s="21" t="str">
        <f t="shared" si="39"/>
        <v>Old</v>
      </c>
    </row>
    <row r="626" spans="1:10" x14ac:dyDescent="0.35">
      <c r="A626" s="4" t="s">
        <v>1616</v>
      </c>
      <c r="B626" s="4" t="s">
        <v>1617</v>
      </c>
      <c r="C626" s="4" t="s">
        <v>116</v>
      </c>
      <c r="D626" s="20">
        <v>4.9000000000000004</v>
      </c>
      <c r="E626" s="4">
        <v>17031</v>
      </c>
      <c r="F626" s="4">
        <v>2007</v>
      </c>
      <c r="G626" s="21" t="str">
        <f t="shared" si="36"/>
        <v>Not Popular</v>
      </c>
      <c r="H626" s="21" t="str">
        <f t="shared" si="37"/>
        <v>Other</v>
      </c>
      <c r="I626" s="21" t="str">
        <f t="shared" si="38"/>
        <v>Comedy</v>
      </c>
      <c r="J626" s="21" t="str">
        <f t="shared" si="39"/>
        <v>Old</v>
      </c>
    </row>
    <row r="627" spans="1:10" x14ac:dyDescent="0.35">
      <c r="A627" s="4" t="s">
        <v>1438</v>
      </c>
      <c r="B627" s="4" t="s">
        <v>1439</v>
      </c>
      <c r="C627" s="4" t="s">
        <v>762</v>
      </c>
      <c r="D627" s="20">
        <v>4.8</v>
      </c>
      <c r="E627" s="4">
        <v>15945</v>
      </c>
      <c r="F627" s="4">
        <v>2007</v>
      </c>
      <c r="G627" s="21" t="str">
        <f t="shared" si="36"/>
        <v>Not Popular</v>
      </c>
      <c r="H627" s="21" t="str">
        <f t="shared" si="37"/>
        <v>Action or Drama</v>
      </c>
      <c r="I627" s="21" t="str">
        <f t="shared" si="38"/>
        <v>Not Comedy</v>
      </c>
      <c r="J627" s="21" t="str">
        <f t="shared" si="39"/>
        <v>Old</v>
      </c>
    </row>
    <row r="628" spans="1:10" x14ac:dyDescent="0.35">
      <c r="A628" s="4" t="s">
        <v>1876</v>
      </c>
      <c r="B628" s="4" t="s">
        <v>1877</v>
      </c>
      <c r="C628" s="4" t="s">
        <v>82</v>
      </c>
      <c r="D628" s="20">
        <v>5.0999999999999996</v>
      </c>
      <c r="E628" s="4">
        <v>68727</v>
      </c>
      <c r="F628" s="4">
        <v>2007</v>
      </c>
      <c r="G628" s="21" t="str">
        <f t="shared" si="36"/>
        <v>Popular</v>
      </c>
      <c r="H628" s="21" t="str">
        <f t="shared" si="37"/>
        <v>Horror or Thriller</v>
      </c>
      <c r="I628" s="21" t="str">
        <f t="shared" si="38"/>
        <v>Not Comedy</v>
      </c>
      <c r="J628" s="21" t="str">
        <f t="shared" si="39"/>
        <v>Old</v>
      </c>
    </row>
    <row r="629" spans="1:10" x14ac:dyDescent="0.35">
      <c r="A629" s="4" t="s">
        <v>811</v>
      </c>
      <c r="B629" s="4" t="s">
        <v>812</v>
      </c>
      <c r="C629" s="4" t="s">
        <v>149</v>
      </c>
      <c r="D629" s="20">
        <v>4.3</v>
      </c>
      <c r="E629" s="4">
        <v>12138</v>
      </c>
      <c r="F629" s="4">
        <v>2007</v>
      </c>
      <c r="G629" s="21" t="str">
        <f t="shared" si="36"/>
        <v>Not Popular</v>
      </c>
      <c r="H629" s="21" t="str">
        <f t="shared" si="37"/>
        <v>Other</v>
      </c>
      <c r="I629" s="21" t="str">
        <f t="shared" si="38"/>
        <v>Comedy</v>
      </c>
      <c r="J629" s="21" t="str">
        <f t="shared" si="39"/>
        <v>Old</v>
      </c>
    </row>
    <row r="630" spans="1:10" x14ac:dyDescent="0.35">
      <c r="A630" s="4" t="s">
        <v>1096</v>
      </c>
      <c r="B630" s="4" t="s">
        <v>1097</v>
      </c>
      <c r="C630" s="4" t="s">
        <v>1098</v>
      </c>
      <c r="D630" s="20">
        <v>4.5999999999999996</v>
      </c>
      <c r="E630" s="4">
        <v>17918</v>
      </c>
      <c r="F630" s="4">
        <v>2007</v>
      </c>
      <c r="G630" s="21" t="str">
        <f t="shared" si="36"/>
        <v>Not Popular</v>
      </c>
      <c r="H630" s="21" t="str">
        <f t="shared" si="37"/>
        <v>Horror or Thriller</v>
      </c>
      <c r="I630" s="21" t="str">
        <f t="shared" si="38"/>
        <v>Comedy</v>
      </c>
      <c r="J630" s="21" t="str">
        <f t="shared" si="39"/>
        <v>Old</v>
      </c>
    </row>
    <row r="631" spans="1:10" x14ac:dyDescent="0.35">
      <c r="A631" s="4" t="s">
        <v>2082</v>
      </c>
      <c r="B631" s="4" t="s">
        <v>2083</v>
      </c>
      <c r="C631" s="4" t="s">
        <v>270</v>
      </c>
      <c r="D631" s="20">
        <v>5.0999999999999996</v>
      </c>
      <c r="E631" s="4">
        <v>10334</v>
      </c>
      <c r="F631" s="4">
        <v>2007</v>
      </c>
      <c r="G631" s="21" t="str">
        <f t="shared" si="36"/>
        <v>Popular</v>
      </c>
      <c r="H631" s="21" t="str">
        <f t="shared" si="37"/>
        <v>Horror or Thriller</v>
      </c>
      <c r="I631" s="21" t="str">
        <f t="shared" si="38"/>
        <v>Comedy</v>
      </c>
      <c r="J631" s="21" t="str">
        <f t="shared" si="39"/>
        <v>Old</v>
      </c>
    </row>
    <row r="632" spans="1:10" x14ac:dyDescent="0.35">
      <c r="A632" s="4" t="s">
        <v>1640</v>
      </c>
      <c r="B632" s="4" t="s">
        <v>1641</v>
      </c>
      <c r="C632" s="4" t="s">
        <v>1642</v>
      </c>
      <c r="D632" s="20">
        <v>4.9000000000000004</v>
      </c>
      <c r="E632" s="4">
        <v>12710</v>
      </c>
      <c r="F632" s="4">
        <v>2007</v>
      </c>
      <c r="G632" s="21" t="str">
        <f t="shared" si="36"/>
        <v>Not Popular</v>
      </c>
      <c r="H632" s="21" t="str">
        <f t="shared" si="37"/>
        <v>Action or Drama</v>
      </c>
      <c r="I632" s="21" t="str">
        <f t="shared" si="38"/>
        <v>Not Comedy</v>
      </c>
      <c r="J632" s="21" t="str">
        <f t="shared" si="39"/>
        <v>Old</v>
      </c>
    </row>
    <row r="633" spans="1:10" x14ac:dyDescent="0.35">
      <c r="A633" s="4" t="s">
        <v>1018</v>
      </c>
      <c r="B633" s="4" t="s">
        <v>1019</v>
      </c>
      <c r="C633" s="4" t="s">
        <v>1020</v>
      </c>
      <c r="D633" s="20">
        <v>4.5</v>
      </c>
      <c r="E633" s="4">
        <v>10713</v>
      </c>
      <c r="F633" s="4">
        <v>2007</v>
      </c>
      <c r="G633" s="21" t="str">
        <f t="shared" si="36"/>
        <v>Not Popular</v>
      </c>
      <c r="H633" s="21" t="str">
        <f t="shared" si="37"/>
        <v>Horror or Thriller</v>
      </c>
      <c r="I633" s="21" t="str">
        <f t="shared" si="38"/>
        <v>Not Comedy</v>
      </c>
      <c r="J633" s="21" t="str">
        <f t="shared" si="39"/>
        <v>Old</v>
      </c>
    </row>
    <row r="634" spans="1:10" x14ac:dyDescent="0.35">
      <c r="A634" s="4" t="s">
        <v>1452</v>
      </c>
      <c r="B634" s="4" t="s">
        <v>1453</v>
      </c>
      <c r="C634" s="4" t="s">
        <v>275</v>
      </c>
      <c r="D634" s="20">
        <v>4.8</v>
      </c>
      <c r="E634" s="4">
        <v>15334</v>
      </c>
      <c r="F634" s="4">
        <v>2007</v>
      </c>
      <c r="G634" s="21" t="str">
        <f t="shared" si="36"/>
        <v>Not Popular</v>
      </c>
      <c r="H634" s="21" t="str">
        <f t="shared" si="37"/>
        <v>Action or Drama</v>
      </c>
      <c r="I634" s="21" t="str">
        <f t="shared" si="38"/>
        <v>Not Comedy</v>
      </c>
      <c r="J634" s="21" t="str">
        <f t="shared" si="39"/>
        <v>Old</v>
      </c>
    </row>
    <row r="635" spans="1:10" x14ac:dyDescent="0.35">
      <c r="A635" s="4" t="s">
        <v>968</v>
      </c>
      <c r="B635" s="4" t="s">
        <v>969</v>
      </c>
      <c r="C635" s="4" t="s">
        <v>146</v>
      </c>
      <c r="D635" s="20">
        <v>4.5</v>
      </c>
      <c r="E635" s="4">
        <v>24501</v>
      </c>
      <c r="F635" s="4">
        <v>2007</v>
      </c>
      <c r="G635" s="21" t="str">
        <f t="shared" si="36"/>
        <v>Not Popular</v>
      </c>
      <c r="H635" s="21" t="str">
        <f t="shared" si="37"/>
        <v>Action or Drama</v>
      </c>
      <c r="I635" s="21" t="str">
        <f t="shared" si="38"/>
        <v>Comedy</v>
      </c>
      <c r="J635" s="21" t="str">
        <f t="shared" si="39"/>
        <v>Old</v>
      </c>
    </row>
    <row r="636" spans="1:10" x14ac:dyDescent="0.35">
      <c r="A636" s="4" t="s">
        <v>683</v>
      </c>
      <c r="B636" s="4" t="s">
        <v>684</v>
      </c>
      <c r="C636" s="4" t="s">
        <v>116</v>
      </c>
      <c r="D636" s="20">
        <v>4.2</v>
      </c>
      <c r="E636" s="4">
        <v>81273</v>
      </c>
      <c r="F636" s="4">
        <v>2007</v>
      </c>
      <c r="G636" s="21" t="str">
        <f t="shared" si="36"/>
        <v>Not Popular</v>
      </c>
      <c r="H636" s="21" t="str">
        <f t="shared" si="37"/>
        <v>Other</v>
      </c>
      <c r="I636" s="21" t="str">
        <f t="shared" si="38"/>
        <v>Comedy</v>
      </c>
      <c r="J636" s="21" t="str">
        <f t="shared" si="39"/>
        <v>Old</v>
      </c>
    </row>
    <row r="637" spans="1:10" x14ac:dyDescent="0.35">
      <c r="A637" s="4" t="s">
        <v>2184</v>
      </c>
      <c r="B637" s="4" t="s">
        <v>2185</v>
      </c>
      <c r="C637" s="4" t="s">
        <v>50</v>
      </c>
      <c r="D637" s="20">
        <v>5.2</v>
      </c>
      <c r="E637" s="4">
        <v>37266</v>
      </c>
      <c r="F637" s="4">
        <v>2007</v>
      </c>
      <c r="G637" s="21" t="str">
        <f t="shared" si="36"/>
        <v>Popular</v>
      </c>
      <c r="H637" s="21" t="str">
        <f t="shared" si="37"/>
        <v>Other</v>
      </c>
      <c r="I637" s="21" t="str">
        <f t="shared" si="38"/>
        <v>Comedy</v>
      </c>
      <c r="J637" s="21" t="str">
        <f t="shared" si="39"/>
        <v>Old</v>
      </c>
    </row>
    <row r="638" spans="1:10" x14ac:dyDescent="0.35">
      <c r="A638" s="4" t="s">
        <v>1827</v>
      </c>
      <c r="B638" s="4" t="s">
        <v>1828</v>
      </c>
      <c r="C638" s="4" t="s">
        <v>584</v>
      </c>
      <c r="D638" s="20">
        <v>5</v>
      </c>
      <c r="E638" s="4">
        <v>11370</v>
      </c>
      <c r="F638" s="4">
        <v>2007</v>
      </c>
      <c r="G638" s="21" t="str">
        <f t="shared" si="36"/>
        <v>Not Popular</v>
      </c>
      <c r="H638" s="21" t="str">
        <f t="shared" si="37"/>
        <v>Action or Drama</v>
      </c>
      <c r="I638" s="21" t="str">
        <f t="shared" si="38"/>
        <v>Not Comedy</v>
      </c>
      <c r="J638" s="21" t="str">
        <f t="shared" si="39"/>
        <v>Old</v>
      </c>
    </row>
    <row r="639" spans="1:10" x14ac:dyDescent="0.35">
      <c r="A639" s="4" t="s">
        <v>252</v>
      </c>
      <c r="B639" s="4" t="s">
        <v>253</v>
      </c>
      <c r="C639" s="4" t="s">
        <v>254</v>
      </c>
      <c r="D639" s="20">
        <v>2.9</v>
      </c>
      <c r="E639" s="4">
        <v>31725</v>
      </c>
      <c r="F639" s="4">
        <v>2007</v>
      </c>
      <c r="G639" s="21" t="str">
        <f t="shared" si="36"/>
        <v>Not Popular</v>
      </c>
      <c r="H639" s="21" t="str">
        <f t="shared" si="37"/>
        <v>Other</v>
      </c>
      <c r="I639" s="21" t="str">
        <f t="shared" si="38"/>
        <v>Not Comedy</v>
      </c>
      <c r="J639" s="21" t="str">
        <f t="shared" si="39"/>
        <v>Old</v>
      </c>
    </row>
    <row r="640" spans="1:10" x14ac:dyDescent="0.35">
      <c r="A640" s="4" t="s">
        <v>484</v>
      </c>
      <c r="B640" s="4" t="s">
        <v>485</v>
      </c>
      <c r="C640" s="4" t="s">
        <v>166</v>
      </c>
      <c r="D640" s="20">
        <v>3.8</v>
      </c>
      <c r="E640" s="4">
        <v>51642</v>
      </c>
      <c r="F640" s="4">
        <v>2007</v>
      </c>
      <c r="G640" s="21" t="str">
        <f t="shared" si="36"/>
        <v>Not Popular</v>
      </c>
      <c r="H640" s="21" t="str">
        <f t="shared" si="37"/>
        <v>Action or Drama</v>
      </c>
      <c r="I640" s="21" t="str">
        <f t="shared" si="38"/>
        <v>Not Comedy</v>
      </c>
      <c r="J640" s="21" t="str">
        <f t="shared" si="39"/>
        <v>Old</v>
      </c>
    </row>
    <row r="641" spans="1:10" x14ac:dyDescent="0.35">
      <c r="A641" s="4" t="s">
        <v>409</v>
      </c>
      <c r="B641" s="4" t="s">
        <v>410</v>
      </c>
      <c r="C641" s="4" t="s">
        <v>175</v>
      </c>
      <c r="D641" s="20">
        <v>3.6</v>
      </c>
      <c r="E641" s="4">
        <v>31257</v>
      </c>
      <c r="F641" s="4">
        <v>2007</v>
      </c>
      <c r="G641" s="21" t="str">
        <f t="shared" si="36"/>
        <v>Not Popular</v>
      </c>
      <c r="H641" s="21" t="str">
        <f t="shared" si="37"/>
        <v>Horror or Thriller</v>
      </c>
      <c r="I641" s="21" t="str">
        <f t="shared" si="38"/>
        <v>Not Comedy</v>
      </c>
      <c r="J641" s="21" t="str">
        <f t="shared" si="39"/>
        <v>Old</v>
      </c>
    </row>
    <row r="642" spans="1:10" x14ac:dyDescent="0.35">
      <c r="A642" s="4" t="s">
        <v>280</v>
      </c>
      <c r="B642" s="4" t="s">
        <v>281</v>
      </c>
      <c r="C642" s="4" t="s">
        <v>93</v>
      </c>
      <c r="D642" s="20">
        <v>3</v>
      </c>
      <c r="E642" s="4">
        <v>10030</v>
      </c>
      <c r="F642" s="4">
        <v>2007</v>
      </c>
      <c r="G642" s="21" t="str">
        <f t="shared" si="36"/>
        <v>Not Popular</v>
      </c>
      <c r="H642" s="21" t="str">
        <f t="shared" si="37"/>
        <v>Action or Drama</v>
      </c>
      <c r="I642" s="21" t="str">
        <f t="shared" si="38"/>
        <v>Not Comedy</v>
      </c>
      <c r="J642" s="21" t="str">
        <f t="shared" si="39"/>
        <v>Old</v>
      </c>
    </row>
    <row r="643" spans="1:10" x14ac:dyDescent="0.35">
      <c r="A643" s="4" t="s">
        <v>2140</v>
      </c>
      <c r="B643" s="4" t="s">
        <v>2141</v>
      </c>
      <c r="C643" s="4" t="s">
        <v>232</v>
      </c>
      <c r="D643" s="20">
        <v>5.2</v>
      </c>
      <c r="E643" s="4">
        <v>67633</v>
      </c>
      <c r="F643" s="4">
        <v>2007</v>
      </c>
      <c r="G643" s="21" t="str">
        <f t="shared" ref="G643:G706" si="40">IF(AND(D643&gt;5, E643&gt;1000), "Popular", "Not Popular")</f>
        <v>Popular</v>
      </c>
      <c r="H643" s="21" t="str">
        <f t="shared" ref="H643:H706" si="41">IF(OR(ISNUMBER(SEARCH("Action", C643)), ISNUMBER(SEARCH("Drama", C643))), "Action or Drama", IF(OR(ISNUMBER(SEARCH("Horror", C643)), ISNUMBER(SEARCH("Thriller", C643))), "Horror or Thriller", "Other"))</f>
        <v>Action or Drama</v>
      </c>
      <c r="I643" s="21" t="str">
        <f t="shared" ref="I643:I706" si="42">IF(NOT(ISNUMBER(SEARCH("Comedy", C643))), "Not Comedy", "Comedy")</f>
        <v>Comedy</v>
      </c>
      <c r="J643" s="21" t="str">
        <f t="shared" ref="J643:J665" si="43">IF(F643&gt;2020, "Recent", "Old")</f>
        <v>Old</v>
      </c>
    </row>
    <row r="644" spans="1:10" x14ac:dyDescent="0.35">
      <c r="A644" s="4" t="s">
        <v>150</v>
      </c>
      <c r="B644" s="4" t="s">
        <v>151</v>
      </c>
      <c r="C644" s="4" t="s">
        <v>152</v>
      </c>
      <c r="D644" s="20">
        <v>2.4</v>
      </c>
      <c r="E644" s="4">
        <v>110384</v>
      </c>
      <c r="F644" s="4">
        <v>2007</v>
      </c>
      <c r="G644" s="21" t="str">
        <f t="shared" si="40"/>
        <v>Not Popular</v>
      </c>
      <c r="H644" s="21" t="str">
        <f t="shared" si="41"/>
        <v>Other</v>
      </c>
      <c r="I644" s="21" t="str">
        <f t="shared" si="42"/>
        <v>Comedy</v>
      </c>
      <c r="J644" s="21" t="str">
        <f t="shared" si="43"/>
        <v>Old</v>
      </c>
    </row>
    <row r="645" spans="1:10" x14ac:dyDescent="0.35">
      <c r="A645" s="4" t="s">
        <v>374</v>
      </c>
      <c r="B645" s="4" t="s">
        <v>375</v>
      </c>
      <c r="C645" s="4" t="s">
        <v>376</v>
      </c>
      <c r="D645" s="20">
        <v>3.5</v>
      </c>
      <c r="E645" s="4">
        <v>25539</v>
      </c>
      <c r="F645" s="4">
        <v>2007</v>
      </c>
      <c r="G645" s="21" t="str">
        <f t="shared" si="40"/>
        <v>Not Popular</v>
      </c>
      <c r="H645" s="21" t="str">
        <f t="shared" si="41"/>
        <v>Action or Drama</v>
      </c>
      <c r="I645" s="21" t="str">
        <f t="shared" si="42"/>
        <v>Not Comedy</v>
      </c>
      <c r="J645" s="21" t="str">
        <f t="shared" si="43"/>
        <v>Old</v>
      </c>
    </row>
    <row r="646" spans="1:10" x14ac:dyDescent="0.35">
      <c r="A646" s="4" t="s">
        <v>470</v>
      </c>
      <c r="B646" s="4" t="s">
        <v>471</v>
      </c>
      <c r="C646" s="4" t="s">
        <v>178</v>
      </c>
      <c r="D646" s="20">
        <v>3.7</v>
      </c>
      <c r="E646" s="4">
        <v>11575</v>
      </c>
      <c r="F646" s="4">
        <v>2007</v>
      </c>
      <c r="G646" s="21" t="str">
        <f t="shared" si="40"/>
        <v>Not Popular</v>
      </c>
      <c r="H646" s="21" t="str">
        <f t="shared" si="41"/>
        <v>Action or Drama</v>
      </c>
      <c r="I646" s="21" t="str">
        <f t="shared" si="42"/>
        <v>Comedy</v>
      </c>
      <c r="J646" s="21" t="str">
        <f t="shared" si="43"/>
        <v>Old</v>
      </c>
    </row>
    <row r="647" spans="1:10" x14ac:dyDescent="0.35">
      <c r="A647" s="4" t="s">
        <v>300</v>
      </c>
      <c r="B647" s="4" t="s">
        <v>301</v>
      </c>
      <c r="C647" s="4" t="s">
        <v>44</v>
      </c>
      <c r="D647" s="20">
        <v>3.2</v>
      </c>
      <c r="E647" s="4">
        <v>18148</v>
      </c>
      <c r="F647" s="4">
        <v>2007</v>
      </c>
      <c r="G647" s="21" t="str">
        <f t="shared" si="40"/>
        <v>Not Popular</v>
      </c>
      <c r="H647" s="21" t="str">
        <f t="shared" si="41"/>
        <v>Other</v>
      </c>
      <c r="I647" s="21" t="str">
        <f t="shared" si="42"/>
        <v>Comedy</v>
      </c>
      <c r="J647" s="21" t="str">
        <f t="shared" si="43"/>
        <v>Old</v>
      </c>
    </row>
    <row r="648" spans="1:10" x14ac:dyDescent="0.35">
      <c r="A648" s="4" t="s">
        <v>1130</v>
      </c>
      <c r="B648" s="4" t="s">
        <v>1131</v>
      </c>
      <c r="C648" s="4" t="s">
        <v>146</v>
      </c>
      <c r="D648" s="20">
        <v>4.5999999999999996</v>
      </c>
      <c r="E648" s="4">
        <v>12278</v>
      </c>
      <c r="F648" s="4">
        <v>2007</v>
      </c>
      <c r="G648" s="21" t="str">
        <f t="shared" si="40"/>
        <v>Not Popular</v>
      </c>
      <c r="H648" s="21" t="str">
        <f t="shared" si="41"/>
        <v>Action or Drama</v>
      </c>
      <c r="I648" s="21" t="str">
        <f t="shared" si="42"/>
        <v>Comedy</v>
      </c>
      <c r="J648" s="21" t="str">
        <f t="shared" si="43"/>
        <v>Old</v>
      </c>
    </row>
    <row r="649" spans="1:10" x14ac:dyDescent="0.35">
      <c r="A649" s="4" t="s">
        <v>1070</v>
      </c>
      <c r="B649" s="4" t="s">
        <v>1071</v>
      </c>
      <c r="C649" s="4" t="s">
        <v>1072</v>
      </c>
      <c r="D649" s="20">
        <v>4.5999999999999996</v>
      </c>
      <c r="E649" s="4">
        <v>23858</v>
      </c>
      <c r="F649" s="4">
        <v>2007</v>
      </c>
      <c r="G649" s="21" t="str">
        <f t="shared" si="40"/>
        <v>Not Popular</v>
      </c>
      <c r="H649" s="21" t="str">
        <f t="shared" si="41"/>
        <v>Horror or Thriller</v>
      </c>
      <c r="I649" s="21" t="str">
        <f t="shared" si="42"/>
        <v>Not Comedy</v>
      </c>
      <c r="J649" s="21" t="str">
        <f t="shared" si="43"/>
        <v>Old</v>
      </c>
    </row>
    <row r="650" spans="1:10" x14ac:dyDescent="0.35">
      <c r="A650" s="4" t="s">
        <v>2028</v>
      </c>
      <c r="B650" s="4" t="s">
        <v>2029</v>
      </c>
      <c r="C650" s="4" t="s">
        <v>149</v>
      </c>
      <c r="D650" s="20">
        <v>5.0999999999999996</v>
      </c>
      <c r="E650" s="4">
        <v>14244</v>
      </c>
      <c r="F650" s="4">
        <v>2007</v>
      </c>
      <c r="G650" s="21" t="str">
        <f t="shared" si="40"/>
        <v>Popular</v>
      </c>
      <c r="H650" s="21" t="str">
        <f t="shared" si="41"/>
        <v>Other</v>
      </c>
      <c r="I650" s="21" t="str">
        <f t="shared" si="42"/>
        <v>Comedy</v>
      </c>
      <c r="J650" s="21" t="str">
        <f t="shared" si="43"/>
        <v>Old</v>
      </c>
    </row>
    <row r="651" spans="1:10" x14ac:dyDescent="0.35">
      <c r="A651" s="4" t="s">
        <v>289</v>
      </c>
      <c r="B651" s="4" t="s">
        <v>290</v>
      </c>
      <c r="C651" s="4" t="s">
        <v>291</v>
      </c>
      <c r="D651" s="20">
        <v>3.1</v>
      </c>
      <c r="E651" s="4">
        <v>25105</v>
      </c>
      <c r="F651" s="4">
        <v>2007</v>
      </c>
      <c r="G651" s="21" t="str">
        <f t="shared" si="40"/>
        <v>Not Popular</v>
      </c>
      <c r="H651" s="21" t="str">
        <f t="shared" si="41"/>
        <v>Other</v>
      </c>
      <c r="I651" s="21" t="str">
        <f t="shared" si="42"/>
        <v>Comedy</v>
      </c>
      <c r="J651" s="21" t="str">
        <f t="shared" si="43"/>
        <v>Old</v>
      </c>
    </row>
    <row r="652" spans="1:10" x14ac:dyDescent="0.35">
      <c r="A652" s="4" t="s">
        <v>220</v>
      </c>
      <c r="B652" s="4" t="s">
        <v>221</v>
      </c>
      <c r="C652" s="4" t="s">
        <v>222</v>
      </c>
      <c r="D652" s="20">
        <v>2.7</v>
      </c>
      <c r="E652" s="4">
        <v>11689</v>
      </c>
      <c r="F652" s="4">
        <v>2007</v>
      </c>
      <c r="G652" s="21" t="str">
        <f t="shared" si="40"/>
        <v>Not Popular</v>
      </c>
      <c r="H652" s="21" t="str">
        <f t="shared" si="41"/>
        <v>Action or Drama</v>
      </c>
      <c r="I652" s="21" t="str">
        <f t="shared" si="42"/>
        <v>Not Comedy</v>
      </c>
      <c r="J652" s="21" t="str">
        <f t="shared" si="43"/>
        <v>Old</v>
      </c>
    </row>
    <row r="653" spans="1:10" x14ac:dyDescent="0.35">
      <c r="A653" s="4" t="s">
        <v>773</v>
      </c>
      <c r="B653" s="4" t="s">
        <v>774</v>
      </c>
      <c r="C653" s="4" t="s">
        <v>44</v>
      </c>
      <c r="D653" s="20">
        <v>4.3</v>
      </c>
      <c r="E653" s="4">
        <v>22904</v>
      </c>
      <c r="F653" s="4">
        <v>2007</v>
      </c>
      <c r="G653" s="21" t="str">
        <f t="shared" si="40"/>
        <v>Not Popular</v>
      </c>
      <c r="H653" s="21" t="str">
        <f t="shared" si="41"/>
        <v>Other</v>
      </c>
      <c r="I653" s="21" t="str">
        <f t="shared" si="42"/>
        <v>Comedy</v>
      </c>
      <c r="J653" s="21" t="str">
        <f t="shared" si="43"/>
        <v>Old</v>
      </c>
    </row>
    <row r="654" spans="1:10" x14ac:dyDescent="0.35">
      <c r="A654" s="4" t="s">
        <v>2122</v>
      </c>
      <c r="B654" s="4" t="s">
        <v>2123</v>
      </c>
      <c r="C654" s="4" t="s">
        <v>217</v>
      </c>
      <c r="D654" s="20">
        <v>5.2</v>
      </c>
      <c r="E654" s="4">
        <v>97181</v>
      </c>
      <c r="F654" s="4">
        <v>2007</v>
      </c>
      <c r="G654" s="21" t="str">
        <f t="shared" si="40"/>
        <v>Popular</v>
      </c>
      <c r="H654" s="21" t="str">
        <f t="shared" si="41"/>
        <v>Other</v>
      </c>
      <c r="I654" s="21" t="str">
        <f t="shared" si="42"/>
        <v>Comedy</v>
      </c>
      <c r="J654" s="21" t="str">
        <f t="shared" si="43"/>
        <v>Old</v>
      </c>
    </row>
    <row r="655" spans="1:10" x14ac:dyDescent="0.35">
      <c r="A655" s="4" t="s">
        <v>1023</v>
      </c>
      <c r="B655" s="4" t="s">
        <v>1024</v>
      </c>
      <c r="C655" s="4" t="s">
        <v>155</v>
      </c>
      <c r="D655" s="20">
        <v>4.5999999999999996</v>
      </c>
      <c r="E655" s="4">
        <v>137996</v>
      </c>
      <c r="F655" s="4">
        <v>2007</v>
      </c>
      <c r="G655" s="21" t="str">
        <f t="shared" si="40"/>
        <v>Not Popular</v>
      </c>
      <c r="H655" s="21" t="str">
        <f t="shared" si="41"/>
        <v>Action or Drama</v>
      </c>
      <c r="I655" s="21" t="str">
        <f t="shared" si="42"/>
        <v>Not Comedy</v>
      </c>
      <c r="J655" s="21" t="str">
        <f t="shared" si="43"/>
        <v>Old</v>
      </c>
    </row>
    <row r="656" spans="1:10" x14ac:dyDescent="0.35">
      <c r="A656" s="4" t="s">
        <v>874</v>
      </c>
      <c r="B656" s="4" t="s">
        <v>875</v>
      </c>
      <c r="C656" s="4" t="s">
        <v>178</v>
      </c>
      <c r="D656" s="20">
        <v>4.4000000000000004</v>
      </c>
      <c r="E656" s="4">
        <v>23135</v>
      </c>
      <c r="F656" s="4">
        <v>2006</v>
      </c>
      <c r="G656" s="21" t="str">
        <f t="shared" si="40"/>
        <v>Not Popular</v>
      </c>
      <c r="H656" s="21" t="str">
        <f t="shared" si="41"/>
        <v>Action or Drama</v>
      </c>
      <c r="I656" s="21" t="str">
        <f t="shared" si="42"/>
        <v>Comedy</v>
      </c>
      <c r="J656" s="21" t="str">
        <f t="shared" si="43"/>
        <v>Old</v>
      </c>
    </row>
    <row r="657" spans="1:10" x14ac:dyDescent="0.35">
      <c r="A657" s="4" t="s">
        <v>1890</v>
      </c>
      <c r="B657" s="4" t="s">
        <v>1891</v>
      </c>
      <c r="C657" s="4" t="s">
        <v>82</v>
      </c>
      <c r="D657" s="20">
        <v>5.0999999999999996</v>
      </c>
      <c r="E657" s="4">
        <v>49376</v>
      </c>
      <c r="F657" s="4">
        <v>2006</v>
      </c>
      <c r="G657" s="21" t="str">
        <f t="shared" si="40"/>
        <v>Popular</v>
      </c>
      <c r="H657" s="21" t="str">
        <f t="shared" si="41"/>
        <v>Horror or Thriller</v>
      </c>
      <c r="I657" s="21" t="str">
        <f t="shared" si="42"/>
        <v>Not Comedy</v>
      </c>
      <c r="J657" s="21" t="str">
        <f t="shared" si="43"/>
        <v>Old</v>
      </c>
    </row>
    <row r="658" spans="1:10" x14ac:dyDescent="0.35">
      <c r="A658" s="4" t="s">
        <v>1393</v>
      </c>
      <c r="B658" s="4" t="s">
        <v>1394</v>
      </c>
      <c r="C658" s="4" t="s">
        <v>116</v>
      </c>
      <c r="D658" s="20">
        <v>4.8</v>
      </c>
      <c r="E658" s="4">
        <v>24209</v>
      </c>
      <c r="F658" s="4">
        <v>2006</v>
      </c>
      <c r="G658" s="21" t="str">
        <f t="shared" si="40"/>
        <v>Not Popular</v>
      </c>
      <c r="H658" s="21" t="str">
        <f t="shared" si="41"/>
        <v>Other</v>
      </c>
      <c r="I658" s="21" t="str">
        <f t="shared" si="42"/>
        <v>Comedy</v>
      </c>
      <c r="J658" s="21" t="str">
        <f t="shared" si="43"/>
        <v>Old</v>
      </c>
    </row>
    <row r="659" spans="1:10" x14ac:dyDescent="0.35">
      <c r="A659" s="4" t="s">
        <v>833</v>
      </c>
      <c r="B659" s="4" t="s">
        <v>834</v>
      </c>
      <c r="C659" s="4" t="s">
        <v>172</v>
      </c>
      <c r="D659" s="20">
        <v>4.4000000000000004</v>
      </c>
      <c r="E659" s="4">
        <v>84625</v>
      </c>
      <c r="F659" s="4">
        <v>2006</v>
      </c>
      <c r="G659" s="21" t="str">
        <f t="shared" si="40"/>
        <v>Not Popular</v>
      </c>
      <c r="H659" s="21" t="str">
        <f t="shared" si="41"/>
        <v>Action or Drama</v>
      </c>
      <c r="I659" s="21" t="str">
        <f t="shared" si="42"/>
        <v>Not Comedy</v>
      </c>
      <c r="J659" s="21" t="str">
        <f t="shared" si="43"/>
        <v>Old</v>
      </c>
    </row>
    <row r="660" spans="1:10" x14ac:dyDescent="0.35">
      <c r="A660" s="4" t="s">
        <v>60</v>
      </c>
      <c r="B660" s="4" t="s">
        <v>61</v>
      </c>
      <c r="C660" s="4" t="s">
        <v>62</v>
      </c>
      <c r="D660" s="20">
        <v>1.5</v>
      </c>
      <c r="E660" s="4">
        <v>16829</v>
      </c>
      <c r="F660" s="4">
        <v>2006</v>
      </c>
      <c r="G660" s="21" t="str">
        <f t="shared" si="40"/>
        <v>Not Popular</v>
      </c>
      <c r="H660" s="21" t="str">
        <f t="shared" si="41"/>
        <v>Action or Drama</v>
      </c>
      <c r="I660" s="21" t="str">
        <f t="shared" si="42"/>
        <v>Comedy</v>
      </c>
      <c r="J660" s="21" t="str">
        <f t="shared" si="43"/>
        <v>Old</v>
      </c>
    </row>
    <row r="661" spans="1:10" x14ac:dyDescent="0.35">
      <c r="A661" s="4" t="s">
        <v>480</v>
      </c>
      <c r="B661" s="4" t="s">
        <v>481</v>
      </c>
      <c r="C661" s="4" t="s">
        <v>175</v>
      </c>
      <c r="D661" s="20">
        <v>3.8</v>
      </c>
      <c r="E661" s="4">
        <v>72530</v>
      </c>
      <c r="F661" s="4">
        <v>2006</v>
      </c>
      <c r="G661" s="21" t="str">
        <f t="shared" si="40"/>
        <v>Not Popular</v>
      </c>
      <c r="H661" s="21" t="str">
        <f t="shared" si="41"/>
        <v>Horror or Thriller</v>
      </c>
      <c r="I661" s="21" t="str">
        <f t="shared" si="42"/>
        <v>Not Comedy</v>
      </c>
      <c r="J661" s="21" t="str">
        <f t="shared" si="43"/>
        <v>Old</v>
      </c>
    </row>
    <row r="662" spans="1:10" x14ac:dyDescent="0.35">
      <c r="A662" s="4" t="s">
        <v>880</v>
      </c>
      <c r="B662" s="4" t="s">
        <v>881</v>
      </c>
      <c r="C662" s="4" t="s">
        <v>140</v>
      </c>
      <c r="D662" s="20">
        <v>4.4000000000000004</v>
      </c>
      <c r="E662" s="4">
        <v>20411</v>
      </c>
      <c r="F662" s="4">
        <v>2006</v>
      </c>
      <c r="G662" s="21" t="str">
        <f t="shared" si="40"/>
        <v>Not Popular</v>
      </c>
      <c r="H662" s="21" t="str">
        <f t="shared" si="41"/>
        <v>Other</v>
      </c>
      <c r="I662" s="21" t="str">
        <f t="shared" si="42"/>
        <v>Comedy</v>
      </c>
      <c r="J662" s="21" t="str">
        <f t="shared" si="43"/>
        <v>Old</v>
      </c>
    </row>
    <row r="663" spans="1:10" x14ac:dyDescent="0.35">
      <c r="A663" s="4" t="s">
        <v>1353</v>
      </c>
      <c r="B663" s="4" t="s">
        <v>1354</v>
      </c>
      <c r="C663" s="4" t="s">
        <v>217</v>
      </c>
      <c r="D663" s="20">
        <v>4.8</v>
      </c>
      <c r="E663" s="4">
        <v>43211</v>
      </c>
      <c r="F663" s="4">
        <v>2006</v>
      </c>
      <c r="G663" s="21" t="str">
        <f t="shared" si="40"/>
        <v>Not Popular</v>
      </c>
      <c r="H663" s="21" t="str">
        <f t="shared" si="41"/>
        <v>Other</v>
      </c>
      <c r="I663" s="21" t="str">
        <f t="shared" si="42"/>
        <v>Comedy</v>
      </c>
      <c r="J663" s="21" t="str">
        <f t="shared" si="43"/>
        <v>Old</v>
      </c>
    </row>
    <row r="664" spans="1:10" x14ac:dyDescent="0.35">
      <c r="A664" s="4" t="s">
        <v>1367</v>
      </c>
      <c r="B664" s="4" t="s">
        <v>1368</v>
      </c>
      <c r="C664" s="4" t="s">
        <v>125</v>
      </c>
      <c r="D664" s="20">
        <v>4.8</v>
      </c>
      <c r="E664" s="4">
        <v>36320</v>
      </c>
      <c r="F664" s="4">
        <v>2006</v>
      </c>
      <c r="G664" s="21" t="str">
        <f t="shared" si="40"/>
        <v>Not Popular</v>
      </c>
      <c r="H664" s="21" t="str">
        <f t="shared" si="41"/>
        <v>Action or Drama</v>
      </c>
      <c r="I664" s="21" t="str">
        <f t="shared" si="42"/>
        <v>Comedy</v>
      </c>
      <c r="J664" s="21" t="str">
        <f t="shared" si="43"/>
        <v>Old</v>
      </c>
    </row>
    <row r="665" spans="1:10" x14ac:dyDescent="0.35">
      <c r="A665" s="4" t="s">
        <v>517</v>
      </c>
      <c r="B665" s="4" t="s">
        <v>518</v>
      </c>
      <c r="C665" s="4" t="s">
        <v>519</v>
      </c>
      <c r="D665" s="20">
        <v>3.8</v>
      </c>
      <c r="E665" s="4">
        <v>11617</v>
      </c>
      <c r="F665" s="4">
        <v>2006</v>
      </c>
      <c r="G665" s="21" t="str">
        <f t="shared" si="40"/>
        <v>Not Popular</v>
      </c>
      <c r="H665" s="21" t="str">
        <f t="shared" si="41"/>
        <v>Other</v>
      </c>
      <c r="I665" s="21" t="str">
        <f t="shared" si="42"/>
        <v>Not Comedy</v>
      </c>
      <c r="J665" s="21" t="str">
        <f t="shared" si="43"/>
        <v>Old</v>
      </c>
    </row>
    <row r="666" spans="1:10" x14ac:dyDescent="0.35">
      <c r="A666" s="4" t="s">
        <v>1884</v>
      </c>
      <c r="B666" s="4" t="s">
        <v>1885</v>
      </c>
      <c r="C666" s="4" t="s">
        <v>82</v>
      </c>
      <c r="D666" s="20">
        <v>5.0999999999999996</v>
      </c>
      <c r="E666" s="4">
        <v>52043</v>
      </c>
      <c r="F666" s="4">
        <v>2006</v>
      </c>
      <c r="G666" s="21" t="str">
        <f t="shared" si="40"/>
        <v>Popular</v>
      </c>
      <c r="H666" s="21" t="str">
        <f t="shared" si="41"/>
        <v>Horror or Thriller</v>
      </c>
      <c r="I666" s="21" t="str">
        <f t="shared" si="42"/>
        <v>Not Comedy</v>
      </c>
      <c r="J666" s="21" t="str">
        <f>IF(F666&gt;2020, "Recent", "Old")</f>
        <v>Old</v>
      </c>
    </row>
    <row r="667" spans="1:10" x14ac:dyDescent="0.35">
      <c r="A667" s="4" t="s">
        <v>2162</v>
      </c>
      <c r="B667" s="4" t="s">
        <v>2163</v>
      </c>
      <c r="C667" s="4" t="s">
        <v>597</v>
      </c>
      <c r="D667" s="20">
        <v>5.2</v>
      </c>
      <c r="E667" s="4">
        <v>52788</v>
      </c>
      <c r="F667" s="4">
        <v>2006</v>
      </c>
      <c r="G667" s="21" t="str">
        <f t="shared" si="40"/>
        <v>Popular</v>
      </c>
      <c r="H667" s="21" t="str">
        <f t="shared" si="41"/>
        <v>Horror or Thriller</v>
      </c>
      <c r="I667" s="21" t="str">
        <f t="shared" si="42"/>
        <v>Not Comedy</v>
      </c>
      <c r="J667" s="21" t="str">
        <f t="shared" ref="J667:J730" si="44">IF(F667&gt;2020, "Recent", "Old")</f>
        <v>Old</v>
      </c>
    </row>
    <row r="668" spans="1:10" x14ac:dyDescent="0.35">
      <c r="A668" s="4" t="s">
        <v>949</v>
      </c>
      <c r="B668" s="4" t="s">
        <v>950</v>
      </c>
      <c r="C668" s="4" t="s">
        <v>951</v>
      </c>
      <c r="D668" s="20">
        <v>4.5</v>
      </c>
      <c r="E668" s="4">
        <v>37695</v>
      </c>
      <c r="F668" s="4">
        <v>2006</v>
      </c>
      <c r="G668" s="21" t="str">
        <f t="shared" si="40"/>
        <v>Not Popular</v>
      </c>
      <c r="H668" s="21" t="str">
        <f t="shared" si="41"/>
        <v>Action or Drama</v>
      </c>
      <c r="I668" s="21" t="str">
        <f t="shared" si="42"/>
        <v>Not Comedy</v>
      </c>
      <c r="J668" s="21" t="str">
        <f t="shared" si="44"/>
        <v>Old</v>
      </c>
    </row>
    <row r="669" spans="1:10" x14ac:dyDescent="0.35">
      <c r="A669" s="4" t="s">
        <v>2026</v>
      </c>
      <c r="B669" s="4" t="s">
        <v>2027</v>
      </c>
      <c r="C669" s="4" t="s">
        <v>169</v>
      </c>
      <c r="D669" s="20">
        <v>5.0999999999999996</v>
      </c>
      <c r="E669" s="4">
        <v>14554</v>
      </c>
      <c r="F669" s="4">
        <v>2006</v>
      </c>
      <c r="G669" s="21" t="str">
        <f t="shared" si="40"/>
        <v>Popular</v>
      </c>
      <c r="H669" s="21" t="str">
        <f t="shared" si="41"/>
        <v>Action or Drama</v>
      </c>
      <c r="I669" s="21" t="str">
        <f t="shared" si="42"/>
        <v>Comedy</v>
      </c>
      <c r="J669" s="21" t="str">
        <f t="shared" si="44"/>
        <v>Old</v>
      </c>
    </row>
    <row r="670" spans="1:10" x14ac:dyDescent="0.35">
      <c r="A670" s="4" t="s">
        <v>1937</v>
      </c>
      <c r="B670" s="4" t="s">
        <v>1938</v>
      </c>
      <c r="C670" s="4" t="s">
        <v>477</v>
      </c>
      <c r="D670" s="20">
        <v>5.0999999999999996</v>
      </c>
      <c r="E670" s="4">
        <v>25853</v>
      </c>
      <c r="F670" s="4">
        <v>2006</v>
      </c>
      <c r="G670" s="21" t="str">
        <f t="shared" si="40"/>
        <v>Popular</v>
      </c>
      <c r="H670" s="21" t="str">
        <f t="shared" si="41"/>
        <v>Action or Drama</v>
      </c>
      <c r="I670" s="21" t="str">
        <f t="shared" si="42"/>
        <v>Not Comedy</v>
      </c>
      <c r="J670" s="21" t="str">
        <f t="shared" si="44"/>
        <v>Old</v>
      </c>
    </row>
    <row r="671" spans="1:10" x14ac:dyDescent="0.35">
      <c r="A671" s="4" t="s">
        <v>1721</v>
      </c>
      <c r="B671" s="4" t="s">
        <v>1722</v>
      </c>
      <c r="C671" s="4" t="s">
        <v>915</v>
      </c>
      <c r="D671" s="20">
        <v>5</v>
      </c>
      <c r="E671" s="4">
        <v>34517</v>
      </c>
      <c r="F671" s="4">
        <v>2006</v>
      </c>
      <c r="G671" s="21" t="str">
        <f t="shared" si="40"/>
        <v>Not Popular</v>
      </c>
      <c r="H671" s="21" t="str">
        <f t="shared" si="41"/>
        <v>Horror or Thriller</v>
      </c>
      <c r="I671" s="21" t="str">
        <f t="shared" si="42"/>
        <v>Not Comedy</v>
      </c>
      <c r="J671" s="21" t="str">
        <f t="shared" si="44"/>
        <v>Old</v>
      </c>
    </row>
    <row r="672" spans="1:10" x14ac:dyDescent="0.35">
      <c r="A672" s="4" t="s">
        <v>994</v>
      </c>
      <c r="B672" s="4" t="s">
        <v>995</v>
      </c>
      <c r="C672" s="4" t="s">
        <v>267</v>
      </c>
      <c r="D672" s="20">
        <v>4.5</v>
      </c>
      <c r="E672" s="4">
        <v>13898</v>
      </c>
      <c r="F672" s="4">
        <v>2006</v>
      </c>
      <c r="G672" s="21" t="str">
        <f t="shared" si="40"/>
        <v>Not Popular</v>
      </c>
      <c r="H672" s="21" t="str">
        <f t="shared" si="41"/>
        <v>Action or Drama</v>
      </c>
      <c r="I672" s="21" t="str">
        <f t="shared" si="42"/>
        <v>Not Comedy</v>
      </c>
      <c r="J672" s="21" t="str">
        <f t="shared" si="44"/>
        <v>Old</v>
      </c>
    </row>
    <row r="673" spans="1:10" x14ac:dyDescent="0.35">
      <c r="A673" s="4" t="s">
        <v>1741</v>
      </c>
      <c r="B673" s="4" t="s">
        <v>1742</v>
      </c>
      <c r="C673" s="4" t="s">
        <v>571</v>
      </c>
      <c r="D673" s="20">
        <v>5</v>
      </c>
      <c r="E673" s="4">
        <v>29436</v>
      </c>
      <c r="F673" s="4">
        <v>2006</v>
      </c>
      <c r="G673" s="21" t="str">
        <f t="shared" si="40"/>
        <v>Not Popular</v>
      </c>
      <c r="H673" s="21" t="str">
        <f t="shared" si="41"/>
        <v>Action or Drama</v>
      </c>
      <c r="I673" s="21" t="str">
        <f t="shared" si="42"/>
        <v>Not Comedy</v>
      </c>
      <c r="J673" s="21" t="str">
        <f t="shared" si="44"/>
        <v>Old</v>
      </c>
    </row>
    <row r="674" spans="1:10" x14ac:dyDescent="0.35">
      <c r="A674" s="4" t="s">
        <v>1855</v>
      </c>
      <c r="B674" s="4" t="s">
        <v>1856</v>
      </c>
      <c r="C674" s="4" t="s">
        <v>11</v>
      </c>
      <c r="D674" s="20">
        <v>5.0999999999999996</v>
      </c>
      <c r="E674" s="4">
        <v>131453</v>
      </c>
      <c r="F674" s="4">
        <v>2006</v>
      </c>
      <c r="G674" s="21" t="str">
        <f t="shared" si="40"/>
        <v>Popular</v>
      </c>
      <c r="H674" s="21" t="str">
        <f t="shared" si="41"/>
        <v>Other</v>
      </c>
      <c r="I674" s="21" t="str">
        <f t="shared" si="42"/>
        <v>Comedy</v>
      </c>
      <c r="J674" s="21" t="str">
        <f t="shared" si="44"/>
        <v>Old</v>
      </c>
    </row>
    <row r="675" spans="1:10" x14ac:dyDescent="0.35">
      <c r="A675" s="4" t="s">
        <v>1007</v>
      </c>
      <c r="B675" s="4" t="s">
        <v>1008</v>
      </c>
      <c r="C675" s="4" t="s">
        <v>1009</v>
      </c>
      <c r="D675" s="20">
        <v>4.5</v>
      </c>
      <c r="E675" s="4">
        <v>11963</v>
      </c>
      <c r="F675" s="4">
        <v>2006</v>
      </c>
      <c r="G675" s="21" t="str">
        <f t="shared" si="40"/>
        <v>Not Popular</v>
      </c>
      <c r="H675" s="21" t="str">
        <f t="shared" si="41"/>
        <v>Horror or Thriller</v>
      </c>
      <c r="I675" s="21" t="str">
        <f t="shared" si="42"/>
        <v>Not Comedy</v>
      </c>
      <c r="J675" s="21" t="str">
        <f t="shared" si="44"/>
        <v>Old</v>
      </c>
    </row>
    <row r="676" spans="1:10" x14ac:dyDescent="0.35">
      <c r="A676" s="4" t="s">
        <v>1211</v>
      </c>
      <c r="B676" s="4" t="s">
        <v>1212</v>
      </c>
      <c r="C676" s="4" t="s">
        <v>474</v>
      </c>
      <c r="D676" s="20">
        <v>4.7</v>
      </c>
      <c r="E676" s="4">
        <v>31247</v>
      </c>
      <c r="F676" s="4">
        <v>2006</v>
      </c>
      <c r="G676" s="21" t="str">
        <f t="shared" si="40"/>
        <v>Not Popular</v>
      </c>
      <c r="H676" s="21" t="str">
        <f t="shared" si="41"/>
        <v>Horror or Thriller</v>
      </c>
      <c r="I676" s="21" t="str">
        <f t="shared" si="42"/>
        <v>Not Comedy</v>
      </c>
      <c r="J676" s="21" t="str">
        <f t="shared" si="44"/>
        <v>Old</v>
      </c>
    </row>
    <row r="677" spans="1:10" x14ac:dyDescent="0.35">
      <c r="A677" s="4" t="s">
        <v>83</v>
      </c>
      <c r="B677" s="4" t="s">
        <v>84</v>
      </c>
      <c r="C677" s="4" t="s">
        <v>11</v>
      </c>
      <c r="D677" s="20">
        <v>1.7</v>
      </c>
      <c r="E677" s="4">
        <v>18975</v>
      </c>
      <c r="F677" s="4">
        <v>2006</v>
      </c>
      <c r="G677" s="21" t="str">
        <f t="shared" si="40"/>
        <v>Not Popular</v>
      </c>
      <c r="H677" s="21" t="str">
        <f t="shared" si="41"/>
        <v>Other</v>
      </c>
      <c r="I677" s="21" t="str">
        <f t="shared" si="42"/>
        <v>Comedy</v>
      </c>
      <c r="J677" s="21" t="str">
        <f t="shared" si="44"/>
        <v>Old</v>
      </c>
    </row>
    <row r="678" spans="1:10" x14ac:dyDescent="0.35">
      <c r="A678" s="4" t="s">
        <v>2142</v>
      </c>
      <c r="B678" s="4" t="s">
        <v>2143</v>
      </c>
      <c r="C678" s="4" t="s">
        <v>944</v>
      </c>
      <c r="D678" s="20">
        <v>5.2</v>
      </c>
      <c r="E678" s="4">
        <v>67625</v>
      </c>
      <c r="F678" s="4">
        <v>2006</v>
      </c>
      <c r="G678" s="21" t="str">
        <f t="shared" si="40"/>
        <v>Popular</v>
      </c>
      <c r="H678" s="21" t="str">
        <f t="shared" si="41"/>
        <v>Other</v>
      </c>
      <c r="I678" s="21" t="str">
        <f t="shared" si="42"/>
        <v>Comedy</v>
      </c>
      <c r="J678" s="21" t="str">
        <f t="shared" si="44"/>
        <v>Old</v>
      </c>
    </row>
    <row r="679" spans="1:10" x14ac:dyDescent="0.35">
      <c r="A679" s="4" t="s">
        <v>600</v>
      </c>
      <c r="B679" s="4" t="s">
        <v>601</v>
      </c>
      <c r="C679" s="4" t="s">
        <v>455</v>
      </c>
      <c r="D679" s="20">
        <v>4</v>
      </c>
      <c r="E679" s="4">
        <v>22857</v>
      </c>
      <c r="F679" s="4">
        <v>2006</v>
      </c>
      <c r="G679" s="21" t="str">
        <f t="shared" si="40"/>
        <v>Not Popular</v>
      </c>
      <c r="H679" s="21" t="str">
        <f t="shared" si="41"/>
        <v>Other</v>
      </c>
      <c r="I679" s="21" t="str">
        <f t="shared" si="42"/>
        <v>Comedy</v>
      </c>
      <c r="J679" s="21" t="str">
        <f t="shared" si="44"/>
        <v>Old</v>
      </c>
    </row>
    <row r="680" spans="1:10" x14ac:dyDescent="0.35">
      <c r="A680" s="4" t="s">
        <v>938</v>
      </c>
      <c r="B680" s="4" t="s">
        <v>939</v>
      </c>
      <c r="C680" s="4" t="s">
        <v>214</v>
      </c>
      <c r="D680" s="20">
        <v>4.5</v>
      </c>
      <c r="E680" s="4">
        <v>61281</v>
      </c>
      <c r="F680" s="4">
        <v>2006</v>
      </c>
      <c r="G680" s="21" t="str">
        <f t="shared" si="40"/>
        <v>Not Popular</v>
      </c>
      <c r="H680" s="21" t="str">
        <f t="shared" si="41"/>
        <v>Other</v>
      </c>
      <c r="I680" s="21" t="str">
        <f t="shared" si="42"/>
        <v>Comedy</v>
      </c>
      <c r="J680" s="21" t="str">
        <f t="shared" si="44"/>
        <v>Old</v>
      </c>
    </row>
    <row r="681" spans="1:10" x14ac:dyDescent="0.35">
      <c r="A681" s="4" t="s">
        <v>396</v>
      </c>
      <c r="B681" s="4" t="s">
        <v>397</v>
      </c>
      <c r="C681" s="4" t="s">
        <v>116</v>
      </c>
      <c r="D681" s="20">
        <v>3.5</v>
      </c>
      <c r="E681" s="4">
        <v>12561</v>
      </c>
      <c r="F681" s="4">
        <v>2006</v>
      </c>
      <c r="G681" s="21" t="str">
        <f t="shared" si="40"/>
        <v>Not Popular</v>
      </c>
      <c r="H681" s="21" t="str">
        <f t="shared" si="41"/>
        <v>Other</v>
      </c>
      <c r="I681" s="21" t="str">
        <f t="shared" si="42"/>
        <v>Comedy</v>
      </c>
      <c r="J681" s="21" t="str">
        <f t="shared" si="44"/>
        <v>Old</v>
      </c>
    </row>
    <row r="682" spans="1:10" x14ac:dyDescent="0.35">
      <c r="A682" s="4" t="s">
        <v>362</v>
      </c>
      <c r="B682" s="4" t="s">
        <v>363</v>
      </c>
      <c r="C682" s="4" t="s">
        <v>175</v>
      </c>
      <c r="D682" s="20">
        <v>3.4</v>
      </c>
      <c r="E682" s="4">
        <v>13827</v>
      </c>
      <c r="F682" s="4">
        <v>2006</v>
      </c>
      <c r="G682" s="21" t="str">
        <f t="shared" si="40"/>
        <v>Not Popular</v>
      </c>
      <c r="H682" s="21" t="str">
        <f t="shared" si="41"/>
        <v>Horror or Thriller</v>
      </c>
      <c r="I682" s="21" t="str">
        <f t="shared" si="42"/>
        <v>Not Comedy</v>
      </c>
      <c r="J682" s="21" t="str">
        <f t="shared" si="44"/>
        <v>Old</v>
      </c>
    </row>
    <row r="683" spans="1:10" x14ac:dyDescent="0.35">
      <c r="A683" s="4" t="s">
        <v>918</v>
      </c>
      <c r="B683" s="4" t="s">
        <v>919</v>
      </c>
      <c r="C683" s="4" t="s">
        <v>155</v>
      </c>
      <c r="D683" s="20">
        <v>4.4000000000000004</v>
      </c>
      <c r="E683" s="4">
        <v>10415</v>
      </c>
      <c r="F683" s="4">
        <v>2006</v>
      </c>
      <c r="G683" s="21" t="str">
        <f t="shared" si="40"/>
        <v>Not Popular</v>
      </c>
      <c r="H683" s="21" t="str">
        <f t="shared" si="41"/>
        <v>Action or Drama</v>
      </c>
      <c r="I683" s="21" t="str">
        <f t="shared" si="42"/>
        <v>Not Comedy</v>
      </c>
      <c r="J683" s="21" t="str">
        <f t="shared" si="44"/>
        <v>Old</v>
      </c>
    </row>
    <row r="684" spans="1:10" x14ac:dyDescent="0.35">
      <c r="A684" s="4" t="s">
        <v>1014</v>
      </c>
      <c r="B684" s="4" t="s">
        <v>1015</v>
      </c>
      <c r="C684" s="4" t="s">
        <v>65</v>
      </c>
      <c r="D684" s="20">
        <v>4.5</v>
      </c>
      <c r="E684" s="4">
        <v>11255</v>
      </c>
      <c r="F684" s="4">
        <v>2006</v>
      </c>
      <c r="G684" s="21" t="str">
        <f t="shared" si="40"/>
        <v>Not Popular</v>
      </c>
      <c r="H684" s="21" t="str">
        <f t="shared" si="41"/>
        <v>Other</v>
      </c>
      <c r="I684" s="21" t="str">
        <f t="shared" si="42"/>
        <v>Comedy</v>
      </c>
      <c r="J684" s="21" t="str">
        <f t="shared" si="44"/>
        <v>Old</v>
      </c>
    </row>
    <row r="685" spans="1:10" x14ac:dyDescent="0.35">
      <c r="A685" s="4" t="s">
        <v>1702</v>
      </c>
      <c r="B685" s="4" t="s">
        <v>1703</v>
      </c>
      <c r="C685" s="4" t="s">
        <v>217</v>
      </c>
      <c r="D685" s="20">
        <v>5</v>
      </c>
      <c r="E685" s="4">
        <v>48401</v>
      </c>
      <c r="F685" s="4">
        <v>2006</v>
      </c>
      <c r="G685" s="21" t="str">
        <f t="shared" si="40"/>
        <v>Not Popular</v>
      </c>
      <c r="H685" s="21" t="str">
        <f t="shared" si="41"/>
        <v>Other</v>
      </c>
      <c r="I685" s="21" t="str">
        <f t="shared" si="42"/>
        <v>Comedy</v>
      </c>
      <c r="J685" s="21" t="str">
        <f t="shared" si="44"/>
        <v>Old</v>
      </c>
    </row>
    <row r="686" spans="1:10" x14ac:dyDescent="0.35">
      <c r="A686" s="4" t="s">
        <v>1853</v>
      </c>
      <c r="B686" s="4" t="s">
        <v>1854</v>
      </c>
      <c r="C686" s="4" t="s">
        <v>477</v>
      </c>
      <c r="D686" s="20">
        <v>5.0999999999999996</v>
      </c>
      <c r="E686" s="4">
        <v>131549</v>
      </c>
      <c r="F686" s="4">
        <v>2006</v>
      </c>
      <c r="G686" s="21" t="str">
        <f t="shared" si="40"/>
        <v>Popular</v>
      </c>
      <c r="H686" s="21" t="str">
        <f t="shared" si="41"/>
        <v>Action or Drama</v>
      </c>
      <c r="I686" s="21" t="str">
        <f t="shared" si="42"/>
        <v>Not Comedy</v>
      </c>
      <c r="J686" s="21" t="str">
        <f t="shared" si="44"/>
        <v>Old</v>
      </c>
    </row>
    <row r="687" spans="1:10" x14ac:dyDescent="0.35">
      <c r="A687" s="4" t="s">
        <v>1340</v>
      </c>
      <c r="B687" s="4" t="s">
        <v>1341</v>
      </c>
      <c r="C687" s="4" t="s">
        <v>1342</v>
      </c>
      <c r="D687" s="20">
        <v>4.8</v>
      </c>
      <c r="E687" s="4">
        <v>46718</v>
      </c>
      <c r="F687" s="4">
        <v>2006</v>
      </c>
      <c r="G687" s="21" t="str">
        <f t="shared" si="40"/>
        <v>Not Popular</v>
      </c>
      <c r="H687" s="21" t="str">
        <f t="shared" si="41"/>
        <v>Action or Drama</v>
      </c>
      <c r="I687" s="21" t="str">
        <f t="shared" si="42"/>
        <v>Not Comedy</v>
      </c>
      <c r="J687" s="21" t="str">
        <f t="shared" si="44"/>
        <v>Old</v>
      </c>
    </row>
    <row r="688" spans="1:10" x14ac:dyDescent="0.35">
      <c r="A688" s="4" t="s">
        <v>1921</v>
      </c>
      <c r="B688" s="4" t="s">
        <v>1922</v>
      </c>
      <c r="C688" s="4" t="s">
        <v>44</v>
      </c>
      <c r="D688" s="20">
        <v>5.0999999999999996</v>
      </c>
      <c r="E688" s="4">
        <v>33502</v>
      </c>
      <c r="F688" s="4">
        <v>2006</v>
      </c>
      <c r="G688" s="21" t="str">
        <f t="shared" si="40"/>
        <v>Popular</v>
      </c>
      <c r="H688" s="21" t="str">
        <f t="shared" si="41"/>
        <v>Other</v>
      </c>
      <c r="I688" s="21" t="str">
        <f t="shared" si="42"/>
        <v>Comedy</v>
      </c>
      <c r="J688" s="21" t="str">
        <f t="shared" si="44"/>
        <v>Old</v>
      </c>
    </row>
    <row r="689" spans="1:10" x14ac:dyDescent="0.35">
      <c r="A689" s="4" t="s">
        <v>228</v>
      </c>
      <c r="B689" s="4" t="s">
        <v>229</v>
      </c>
      <c r="C689" s="4" t="s">
        <v>116</v>
      </c>
      <c r="D689" s="20">
        <v>2.8</v>
      </c>
      <c r="E689" s="4">
        <v>62675</v>
      </c>
      <c r="F689" s="4">
        <v>2006</v>
      </c>
      <c r="G689" s="21" t="str">
        <f t="shared" si="40"/>
        <v>Not Popular</v>
      </c>
      <c r="H689" s="21" t="str">
        <f t="shared" si="41"/>
        <v>Other</v>
      </c>
      <c r="I689" s="21" t="str">
        <f t="shared" si="42"/>
        <v>Comedy</v>
      </c>
      <c r="J689" s="21" t="str">
        <f t="shared" si="44"/>
        <v>Old</v>
      </c>
    </row>
    <row r="690" spans="1:10" x14ac:dyDescent="0.35">
      <c r="A690" s="4" t="s">
        <v>1213</v>
      </c>
      <c r="B690" s="4" t="s">
        <v>380</v>
      </c>
      <c r="C690" s="4" t="s">
        <v>76</v>
      </c>
      <c r="D690" s="20">
        <v>4.7</v>
      </c>
      <c r="E690" s="4">
        <v>31102</v>
      </c>
      <c r="F690" s="4">
        <v>2006</v>
      </c>
      <c r="G690" s="21" t="str">
        <f t="shared" si="40"/>
        <v>Not Popular</v>
      </c>
      <c r="H690" s="21" t="str">
        <f t="shared" si="41"/>
        <v>Horror or Thriller</v>
      </c>
      <c r="I690" s="21" t="str">
        <f t="shared" si="42"/>
        <v>Not Comedy</v>
      </c>
      <c r="J690" s="21" t="str">
        <f t="shared" si="44"/>
        <v>Old</v>
      </c>
    </row>
    <row r="691" spans="1:10" x14ac:dyDescent="0.35">
      <c r="A691" s="4" t="s">
        <v>1338</v>
      </c>
      <c r="B691" s="4" t="s">
        <v>1339</v>
      </c>
      <c r="C691" s="4" t="s">
        <v>214</v>
      </c>
      <c r="D691" s="20">
        <v>4.8</v>
      </c>
      <c r="E691" s="4">
        <v>47211</v>
      </c>
      <c r="F691" s="4">
        <v>2006</v>
      </c>
      <c r="G691" s="21" t="str">
        <f t="shared" si="40"/>
        <v>Not Popular</v>
      </c>
      <c r="H691" s="21" t="str">
        <f t="shared" si="41"/>
        <v>Other</v>
      </c>
      <c r="I691" s="21" t="str">
        <f t="shared" si="42"/>
        <v>Comedy</v>
      </c>
      <c r="J691" s="21" t="str">
        <f t="shared" si="44"/>
        <v>Old</v>
      </c>
    </row>
    <row r="692" spans="1:10" x14ac:dyDescent="0.35">
      <c r="A692" s="4" t="s">
        <v>844</v>
      </c>
      <c r="B692" s="4" t="s">
        <v>845</v>
      </c>
      <c r="C692" s="4" t="s">
        <v>846</v>
      </c>
      <c r="D692" s="20">
        <v>4.4000000000000004</v>
      </c>
      <c r="E692" s="4">
        <v>42107</v>
      </c>
      <c r="F692" s="4">
        <v>2006</v>
      </c>
      <c r="G692" s="21" t="str">
        <f t="shared" si="40"/>
        <v>Not Popular</v>
      </c>
      <c r="H692" s="21" t="str">
        <f t="shared" si="41"/>
        <v>Action or Drama</v>
      </c>
      <c r="I692" s="21" t="str">
        <f t="shared" si="42"/>
        <v>Not Comedy</v>
      </c>
      <c r="J692" s="21" t="str">
        <f t="shared" si="44"/>
        <v>Old</v>
      </c>
    </row>
    <row r="693" spans="1:10" x14ac:dyDescent="0.35">
      <c r="A693" s="4" t="s">
        <v>1874</v>
      </c>
      <c r="B693" s="4" t="s">
        <v>1875</v>
      </c>
      <c r="C693" s="4" t="s">
        <v>11</v>
      </c>
      <c r="D693" s="20">
        <v>5.0999999999999996</v>
      </c>
      <c r="E693" s="4">
        <v>75162</v>
      </c>
      <c r="F693" s="4">
        <v>2006</v>
      </c>
      <c r="G693" s="21" t="str">
        <f t="shared" si="40"/>
        <v>Popular</v>
      </c>
      <c r="H693" s="21" t="str">
        <f t="shared" si="41"/>
        <v>Other</v>
      </c>
      <c r="I693" s="21" t="str">
        <f t="shared" si="42"/>
        <v>Comedy</v>
      </c>
      <c r="J693" s="21" t="str">
        <f t="shared" si="44"/>
        <v>Old</v>
      </c>
    </row>
    <row r="694" spans="1:10" x14ac:dyDescent="0.35">
      <c r="A694" s="4" t="s">
        <v>934</v>
      </c>
      <c r="B694" s="4" t="s">
        <v>935</v>
      </c>
      <c r="C694" s="4" t="s">
        <v>275</v>
      </c>
      <c r="D694" s="20">
        <v>4.5</v>
      </c>
      <c r="E694" s="4">
        <v>74341</v>
      </c>
      <c r="F694" s="4">
        <v>2005</v>
      </c>
      <c r="G694" s="21" t="str">
        <f t="shared" si="40"/>
        <v>Not Popular</v>
      </c>
      <c r="H694" s="21" t="str">
        <f t="shared" si="41"/>
        <v>Action or Drama</v>
      </c>
      <c r="I694" s="21" t="str">
        <f t="shared" si="42"/>
        <v>Not Comedy</v>
      </c>
      <c r="J694" s="21" t="str">
        <f t="shared" si="44"/>
        <v>Old</v>
      </c>
    </row>
    <row r="695" spans="1:10" x14ac:dyDescent="0.35">
      <c r="A695" s="4" t="s">
        <v>1142</v>
      </c>
      <c r="B695" s="4" t="s">
        <v>1143</v>
      </c>
      <c r="C695" s="4" t="s">
        <v>76</v>
      </c>
      <c r="D695" s="20">
        <v>4.5999999999999996</v>
      </c>
      <c r="E695" s="4">
        <v>11021</v>
      </c>
      <c r="F695" s="4">
        <v>2005</v>
      </c>
      <c r="G695" s="21" t="str">
        <f t="shared" si="40"/>
        <v>Not Popular</v>
      </c>
      <c r="H695" s="21" t="str">
        <f t="shared" si="41"/>
        <v>Horror or Thriller</v>
      </c>
      <c r="I695" s="21" t="str">
        <f t="shared" si="42"/>
        <v>Not Comedy</v>
      </c>
      <c r="J695" s="21" t="str">
        <f t="shared" si="44"/>
        <v>Old</v>
      </c>
    </row>
    <row r="696" spans="1:10" x14ac:dyDescent="0.35">
      <c r="A696" s="4" t="s">
        <v>1292</v>
      </c>
      <c r="B696" s="4" t="s">
        <v>1293</v>
      </c>
      <c r="C696" s="4" t="s">
        <v>175</v>
      </c>
      <c r="D696" s="20">
        <v>4.7</v>
      </c>
      <c r="E696" s="4">
        <v>12436</v>
      </c>
      <c r="F696" s="4">
        <v>2005</v>
      </c>
      <c r="G696" s="21" t="str">
        <f t="shared" si="40"/>
        <v>Not Popular</v>
      </c>
      <c r="H696" s="21" t="str">
        <f t="shared" si="41"/>
        <v>Horror or Thriller</v>
      </c>
      <c r="I696" s="21" t="str">
        <f t="shared" si="42"/>
        <v>Not Comedy</v>
      </c>
      <c r="J696" s="21" t="str">
        <f t="shared" si="44"/>
        <v>Old</v>
      </c>
    </row>
    <row r="697" spans="1:10" x14ac:dyDescent="0.35">
      <c r="A697" s="4" t="s">
        <v>446</v>
      </c>
      <c r="B697" s="4" t="s">
        <v>447</v>
      </c>
      <c r="C697" s="4" t="s">
        <v>448</v>
      </c>
      <c r="D697" s="20">
        <v>3.7</v>
      </c>
      <c r="E697" s="4">
        <v>39839</v>
      </c>
      <c r="F697" s="4">
        <v>2005</v>
      </c>
      <c r="G697" s="21" t="str">
        <f t="shared" si="40"/>
        <v>Not Popular</v>
      </c>
      <c r="H697" s="21" t="str">
        <f t="shared" si="41"/>
        <v>Horror or Thriller</v>
      </c>
      <c r="I697" s="21" t="str">
        <f t="shared" si="42"/>
        <v>Not Comedy</v>
      </c>
      <c r="J697" s="21" t="str">
        <f t="shared" si="44"/>
        <v>Old</v>
      </c>
    </row>
    <row r="698" spans="1:10" x14ac:dyDescent="0.35">
      <c r="A698" s="4" t="s">
        <v>1870</v>
      </c>
      <c r="B698" s="4" t="s">
        <v>1871</v>
      </c>
      <c r="C698" s="4" t="s">
        <v>11</v>
      </c>
      <c r="D698" s="20">
        <v>5.0999999999999996</v>
      </c>
      <c r="E698" s="4">
        <v>82607</v>
      </c>
      <c r="F698" s="4">
        <v>2005</v>
      </c>
      <c r="G698" s="21" t="str">
        <f t="shared" si="40"/>
        <v>Popular</v>
      </c>
      <c r="H698" s="21" t="str">
        <f t="shared" si="41"/>
        <v>Other</v>
      </c>
      <c r="I698" s="21" t="str">
        <f t="shared" si="42"/>
        <v>Comedy</v>
      </c>
      <c r="J698" s="21" t="str">
        <f t="shared" si="44"/>
        <v>Old</v>
      </c>
    </row>
    <row r="699" spans="1:10" x14ac:dyDescent="0.35">
      <c r="A699" s="4" t="s">
        <v>278</v>
      </c>
      <c r="B699" s="4" t="s">
        <v>279</v>
      </c>
      <c r="C699" s="4" t="s">
        <v>178</v>
      </c>
      <c r="D699" s="20">
        <v>3</v>
      </c>
      <c r="E699" s="4">
        <v>10063</v>
      </c>
      <c r="F699" s="4">
        <v>2005</v>
      </c>
      <c r="G699" s="21" t="str">
        <f t="shared" si="40"/>
        <v>Not Popular</v>
      </c>
      <c r="H699" s="21" t="str">
        <f t="shared" si="41"/>
        <v>Action or Drama</v>
      </c>
      <c r="I699" s="21" t="str">
        <f t="shared" si="42"/>
        <v>Comedy</v>
      </c>
      <c r="J699" s="21" t="str">
        <f t="shared" si="44"/>
        <v>Old</v>
      </c>
    </row>
    <row r="700" spans="1:10" x14ac:dyDescent="0.35">
      <c r="A700" s="4" t="s">
        <v>1898</v>
      </c>
      <c r="B700" s="4" t="s">
        <v>1899</v>
      </c>
      <c r="C700" s="4" t="s">
        <v>1900</v>
      </c>
      <c r="D700" s="20">
        <v>5.0999999999999996</v>
      </c>
      <c r="E700" s="4">
        <v>42213</v>
      </c>
      <c r="F700" s="4">
        <v>2005</v>
      </c>
      <c r="G700" s="21" t="str">
        <f t="shared" si="40"/>
        <v>Popular</v>
      </c>
      <c r="H700" s="21" t="str">
        <f t="shared" si="41"/>
        <v>Horror or Thriller</v>
      </c>
      <c r="I700" s="21" t="str">
        <f t="shared" si="42"/>
        <v>Not Comedy</v>
      </c>
      <c r="J700" s="21" t="str">
        <f t="shared" si="44"/>
        <v>Old</v>
      </c>
    </row>
    <row r="701" spans="1:10" x14ac:dyDescent="0.35">
      <c r="A701" s="4" t="s">
        <v>494</v>
      </c>
      <c r="B701" s="4" t="s">
        <v>495</v>
      </c>
      <c r="C701" s="4" t="s">
        <v>178</v>
      </c>
      <c r="D701" s="20">
        <v>3.8</v>
      </c>
      <c r="E701" s="4">
        <v>43456</v>
      </c>
      <c r="F701" s="4">
        <v>2005</v>
      </c>
      <c r="G701" s="21" t="str">
        <f t="shared" si="40"/>
        <v>Not Popular</v>
      </c>
      <c r="H701" s="21" t="str">
        <f t="shared" si="41"/>
        <v>Action or Drama</v>
      </c>
      <c r="I701" s="21" t="str">
        <f t="shared" si="42"/>
        <v>Comedy</v>
      </c>
      <c r="J701" s="21" t="str">
        <f t="shared" si="44"/>
        <v>Old</v>
      </c>
    </row>
    <row r="702" spans="1:10" x14ac:dyDescent="0.35">
      <c r="A702" s="4" t="s">
        <v>1831</v>
      </c>
      <c r="B702" s="4" t="s">
        <v>1832</v>
      </c>
      <c r="C702" s="4" t="s">
        <v>400</v>
      </c>
      <c r="D702" s="20">
        <v>5</v>
      </c>
      <c r="E702" s="4">
        <v>11279</v>
      </c>
      <c r="F702" s="4">
        <v>2005</v>
      </c>
      <c r="G702" s="21" t="str">
        <f t="shared" si="40"/>
        <v>Not Popular</v>
      </c>
      <c r="H702" s="21" t="str">
        <f t="shared" si="41"/>
        <v>Action or Drama</v>
      </c>
      <c r="I702" s="21" t="str">
        <f t="shared" si="42"/>
        <v>Not Comedy</v>
      </c>
      <c r="J702" s="21" t="str">
        <f t="shared" si="44"/>
        <v>Old</v>
      </c>
    </row>
    <row r="703" spans="1:10" x14ac:dyDescent="0.35">
      <c r="A703" s="4" t="s">
        <v>1667</v>
      </c>
      <c r="B703" s="4" t="s">
        <v>1668</v>
      </c>
      <c r="C703" s="4" t="s">
        <v>31</v>
      </c>
      <c r="D703" s="20">
        <v>4.9000000000000004</v>
      </c>
      <c r="E703" s="4">
        <v>10665</v>
      </c>
      <c r="F703" s="4">
        <v>2005</v>
      </c>
      <c r="G703" s="21" t="str">
        <f t="shared" si="40"/>
        <v>Not Popular</v>
      </c>
      <c r="H703" s="21" t="str">
        <f t="shared" si="41"/>
        <v>Action or Drama</v>
      </c>
      <c r="I703" s="21" t="str">
        <f t="shared" si="42"/>
        <v>Not Comedy</v>
      </c>
      <c r="J703" s="21" t="str">
        <f t="shared" si="44"/>
        <v>Old</v>
      </c>
    </row>
    <row r="704" spans="1:10" x14ac:dyDescent="0.35">
      <c r="A704" s="4" t="s">
        <v>1880</v>
      </c>
      <c r="B704" s="4" t="s">
        <v>1881</v>
      </c>
      <c r="C704" s="4" t="s">
        <v>163</v>
      </c>
      <c r="D704" s="20">
        <v>5.0999999999999996</v>
      </c>
      <c r="E704" s="4">
        <v>56751</v>
      </c>
      <c r="F704" s="4">
        <v>2005</v>
      </c>
      <c r="G704" s="21" t="str">
        <f t="shared" si="40"/>
        <v>Popular</v>
      </c>
      <c r="H704" s="21" t="str">
        <f t="shared" si="41"/>
        <v>Action or Drama</v>
      </c>
      <c r="I704" s="21" t="str">
        <f t="shared" si="42"/>
        <v>Not Comedy</v>
      </c>
      <c r="J704" s="21" t="str">
        <f t="shared" si="44"/>
        <v>Old</v>
      </c>
    </row>
    <row r="705" spans="1:10" x14ac:dyDescent="0.35">
      <c r="A705" s="4" t="s">
        <v>138</v>
      </c>
      <c r="B705" s="4" t="s">
        <v>139</v>
      </c>
      <c r="C705" s="4" t="s">
        <v>140</v>
      </c>
      <c r="D705" s="20">
        <v>2.2999999999999998</v>
      </c>
      <c r="E705" s="4">
        <v>60120</v>
      </c>
      <c r="F705" s="4">
        <v>2005</v>
      </c>
      <c r="G705" s="21" t="str">
        <f t="shared" si="40"/>
        <v>Not Popular</v>
      </c>
      <c r="H705" s="21" t="str">
        <f t="shared" si="41"/>
        <v>Other</v>
      </c>
      <c r="I705" s="21" t="str">
        <f t="shared" si="42"/>
        <v>Comedy</v>
      </c>
      <c r="J705" s="21" t="str">
        <f t="shared" si="44"/>
        <v>Old</v>
      </c>
    </row>
    <row r="706" spans="1:10" x14ac:dyDescent="0.35">
      <c r="A706" s="4" t="s">
        <v>2064</v>
      </c>
      <c r="B706" s="4" t="s">
        <v>2065</v>
      </c>
      <c r="C706" s="4" t="s">
        <v>175</v>
      </c>
      <c r="D706" s="20">
        <v>5.0999999999999996</v>
      </c>
      <c r="E706" s="4">
        <v>10977</v>
      </c>
      <c r="F706" s="4">
        <v>2005</v>
      </c>
      <c r="G706" s="21" t="str">
        <f t="shared" si="40"/>
        <v>Popular</v>
      </c>
      <c r="H706" s="21" t="str">
        <f t="shared" si="41"/>
        <v>Horror or Thriller</v>
      </c>
      <c r="I706" s="21" t="str">
        <f t="shared" si="42"/>
        <v>Not Comedy</v>
      </c>
      <c r="J706" s="21" t="str">
        <f t="shared" si="44"/>
        <v>Old</v>
      </c>
    </row>
    <row r="707" spans="1:10" x14ac:dyDescent="0.35">
      <c r="A707" s="4" t="s">
        <v>2126</v>
      </c>
      <c r="B707" s="4" t="s">
        <v>2127</v>
      </c>
      <c r="C707" s="4" t="s">
        <v>146</v>
      </c>
      <c r="D707" s="20">
        <v>5.2</v>
      </c>
      <c r="E707" s="4">
        <v>81432</v>
      </c>
      <c r="F707" s="4">
        <v>2005</v>
      </c>
      <c r="G707" s="21" t="str">
        <f t="shared" ref="G707:G770" si="45">IF(AND(D707&gt;5, E707&gt;1000), "Popular", "Not Popular")</f>
        <v>Popular</v>
      </c>
      <c r="H707" s="21" t="str">
        <f t="shared" ref="H707:H770" si="46">IF(OR(ISNUMBER(SEARCH("Action", C707)), ISNUMBER(SEARCH("Drama", C707))), "Action or Drama", IF(OR(ISNUMBER(SEARCH("Horror", C707)), ISNUMBER(SEARCH("Thriller", C707))), "Horror or Thriller", "Other"))</f>
        <v>Action or Drama</v>
      </c>
      <c r="I707" s="21" t="str">
        <f t="shared" ref="I707:I770" si="47">IF(NOT(ISNUMBER(SEARCH("Comedy", C707))), "Not Comedy", "Comedy")</f>
        <v>Comedy</v>
      </c>
      <c r="J707" s="21" t="str">
        <f t="shared" si="44"/>
        <v>Old</v>
      </c>
    </row>
    <row r="708" spans="1:10" x14ac:dyDescent="0.35">
      <c r="A708" s="4" t="s">
        <v>1444</v>
      </c>
      <c r="B708" s="4" t="s">
        <v>1445</v>
      </c>
      <c r="C708" s="4" t="s">
        <v>1446</v>
      </c>
      <c r="D708" s="20">
        <v>4.8</v>
      </c>
      <c r="E708" s="4">
        <v>15699</v>
      </c>
      <c r="F708" s="4">
        <v>2005</v>
      </c>
      <c r="G708" s="21" t="str">
        <f t="shared" si="45"/>
        <v>Not Popular</v>
      </c>
      <c r="H708" s="21" t="str">
        <f t="shared" si="46"/>
        <v>Other</v>
      </c>
      <c r="I708" s="21" t="str">
        <f t="shared" si="47"/>
        <v>Comedy</v>
      </c>
      <c r="J708" s="21" t="str">
        <f t="shared" si="44"/>
        <v>Old</v>
      </c>
    </row>
    <row r="709" spans="1:10" x14ac:dyDescent="0.35">
      <c r="A709" s="4" t="s">
        <v>1553</v>
      </c>
      <c r="B709" s="4" t="s">
        <v>1554</v>
      </c>
      <c r="C709" s="4" t="s">
        <v>217</v>
      </c>
      <c r="D709" s="20">
        <v>4.9000000000000004</v>
      </c>
      <c r="E709" s="4">
        <v>51617</v>
      </c>
      <c r="F709" s="4">
        <v>2005</v>
      </c>
      <c r="G709" s="21" t="str">
        <f t="shared" si="45"/>
        <v>Not Popular</v>
      </c>
      <c r="H709" s="21" t="str">
        <f t="shared" si="46"/>
        <v>Other</v>
      </c>
      <c r="I709" s="21" t="str">
        <f t="shared" si="47"/>
        <v>Comedy</v>
      </c>
      <c r="J709" s="21" t="str">
        <f t="shared" si="44"/>
        <v>Old</v>
      </c>
    </row>
    <row r="710" spans="1:10" x14ac:dyDescent="0.35">
      <c r="A710" s="4" t="s">
        <v>732</v>
      </c>
      <c r="B710" s="4" t="s">
        <v>733</v>
      </c>
      <c r="C710" s="4" t="s">
        <v>76</v>
      </c>
      <c r="D710" s="20">
        <v>4.2</v>
      </c>
      <c r="E710" s="4">
        <v>13378</v>
      </c>
      <c r="F710" s="4">
        <v>2005</v>
      </c>
      <c r="G710" s="21" t="str">
        <f t="shared" si="45"/>
        <v>Not Popular</v>
      </c>
      <c r="H710" s="21" t="str">
        <f t="shared" si="46"/>
        <v>Horror or Thriller</v>
      </c>
      <c r="I710" s="21" t="str">
        <f t="shared" si="47"/>
        <v>Not Comedy</v>
      </c>
      <c r="J710" s="21" t="str">
        <f t="shared" si="44"/>
        <v>Old</v>
      </c>
    </row>
    <row r="711" spans="1:10" x14ac:dyDescent="0.35">
      <c r="A711" s="4" t="s">
        <v>908</v>
      </c>
      <c r="B711" s="4" t="s">
        <v>909</v>
      </c>
      <c r="C711" s="4" t="s">
        <v>175</v>
      </c>
      <c r="D711" s="20">
        <v>4.4000000000000004</v>
      </c>
      <c r="E711" s="4">
        <v>12212</v>
      </c>
      <c r="F711" s="4">
        <v>2005</v>
      </c>
      <c r="G711" s="21" t="str">
        <f t="shared" si="45"/>
        <v>Not Popular</v>
      </c>
      <c r="H711" s="21" t="str">
        <f t="shared" si="46"/>
        <v>Horror or Thriller</v>
      </c>
      <c r="I711" s="21" t="str">
        <f t="shared" si="47"/>
        <v>Not Comedy</v>
      </c>
      <c r="J711" s="21" t="str">
        <f t="shared" si="44"/>
        <v>Old</v>
      </c>
    </row>
    <row r="712" spans="1:10" x14ac:dyDescent="0.35">
      <c r="A712" s="4" t="s">
        <v>1161</v>
      </c>
      <c r="B712" s="4" t="s">
        <v>1162</v>
      </c>
      <c r="C712" s="4" t="s">
        <v>275</v>
      </c>
      <c r="D712" s="20">
        <v>4.7</v>
      </c>
      <c r="E712" s="4">
        <v>100251</v>
      </c>
      <c r="F712" s="4">
        <v>2005</v>
      </c>
      <c r="G712" s="21" t="str">
        <f t="shared" si="45"/>
        <v>Not Popular</v>
      </c>
      <c r="H712" s="21" t="str">
        <f t="shared" si="46"/>
        <v>Action or Drama</v>
      </c>
      <c r="I712" s="21" t="str">
        <f t="shared" si="47"/>
        <v>Not Comedy</v>
      </c>
      <c r="J712" s="21" t="str">
        <f t="shared" si="44"/>
        <v>Old</v>
      </c>
    </row>
    <row r="713" spans="1:10" x14ac:dyDescent="0.35">
      <c r="A713" s="4" t="s">
        <v>2112</v>
      </c>
      <c r="B713" s="4" t="s">
        <v>2113</v>
      </c>
      <c r="C713" s="4" t="s">
        <v>155</v>
      </c>
      <c r="D713" s="20">
        <v>5.2</v>
      </c>
      <c r="E713" s="4">
        <v>120222</v>
      </c>
      <c r="F713" s="4">
        <v>2005</v>
      </c>
      <c r="G713" s="21" t="str">
        <f t="shared" si="45"/>
        <v>Popular</v>
      </c>
      <c r="H713" s="21" t="str">
        <f t="shared" si="46"/>
        <v>Action or Drama</v>
      </c>
      <c r="I713" s="21" t="str">
        <f t="shared" si="47"/>
        <v>Not Comedy</v>
      </c>
      <c r="J713" s="21" t="str">
        <f t="shared" si="44"/>
        <v>Old</v>
      </c>
    </row>
    <row r="714" spans="1:10" x14ac:dyDescent="0.35">
      <c r="A714" s="4" t="s">
        <v>2030</v>
      </c>
      <c r="B714" s="4" t="s">
        <v>2031</v>
      </c>
      <c r="C714" s="4" t="s">
        <v>584</v>
      </c>
      <c r="D714" s="20">
        <v>5.0999999999999996</v>
      </c>
      <c r="E714" s="4">
        <v>13987</v>
      </c>
      <c r="F714" s="4">
        <v>2005</v>
      </c>
      <c r="G714" s="21" t="str">
        <f t="shared" si="45"/>
        <v>Popular</v>
      </c>
      <c r="H714" s="21" t="str">
        <f t="shared" si="46"/>
        <v>Action or Drama</v>
      </c>
      <c r="I714" s="21" t="str">
        <f t="shared" si="47"/>
        <v>Not Comedy</v>
      </c>
      <c r="J714" s="21" t="str">
        <f t="shared" si="44"/>
        <v>Old</v>
      </c>
    </row>
    <row r="715" spans="1:10" x14ac:dyDescent="0.35">
      <c r="A715" s="4" t="s">
        <v>1177</v>
      </c>
      <c r="B715" s="4" t="s">
        <v>1178</v>
      </c>
      <c r="C715" s="4" t="s">
        <v>11</v>
      </c>
      <c r="D715" s="20">
        <v>4.7</v>
      </c>
      <c r="E715" s="4">
        <v>54002</v>
      </c>
      <c r="F715" s="4">
        <v>2005</v>
      </c>
      <c r="G715" s="21" t="str">
        <f t="shared" si="45"/>
        <v>Not Popular</v>
      </c>
      <c r="H715" s="21" t="str">
        <f t="shared" si="46"/>
        <v>Other</v>
      </c>
      <c r="I715" s="21" t="str">
        <f t="shared" si="47"/>
        <v>Comedy</v>
      </c>
      <c r="J715" s="21" t="str">
        <f t="shared" si="44"/>
        <v>Old</v>
      </c>
    </row>
    <row r="716" spans="1:10" x14ac:dyDescent="0.35">
      <c r="A716" s="4" t="s">
        <v>1669</v>
      </c>
      <c r="B716" s="4" t="s">
        <v>1670</v>
      </c>
      <c r="C716" s="4" t="s">
        <v>1671</v>
      </c>
      <c r="D716" s="20">
        <v>4.9000000000000004</v>
      </c>
      <c r="E716" s="4">
        <v>10637</v>
      </c>
      <c r="F716" s="4">
        <v>2005</v>
      </c>
      <c r="G716" s="21" t="str">
        <f t="shared" si="45"/>
        <v>Not Popular</v>
      </c>
      <c r="H716" s="21" t="str">
        <f t="shared" si="46"/>
        <v>Other</v>
      </c>
      <c r="I716" s="21" t="str">
        <f t="shared" si="47"/>
        <v>Not Comedy</v>
      </c>
      <c r="J716" s="21" t="str">
        <f t="shared" si="44"/>
        <v>Old</v>
      </c>
    </row>
    <row r="717" spans="1:10" x14ac:dyDescent="0.35">
      <c r="A717" s="4" t="s">
        <v>1913</v>
      </c>
      <c r="B717" s="4" t="s">
        <v>1914</v>
      </c>
      <c r="C717" s="4" t="s">
        <v>1098</v>
      </c>
      <c r="D717" s="20">
        <v>5.0999999999999996</v>
      </c>
      <c r="E717" s="4">
        <v>35718</v>
      </c>
      <c r="F717" s="4">
        <v>2005</v>
      </c>
      <c r="G717" s="21" t="str">
        <f t="shared" si="45"/>
        <v>Popular</v>
      </c>
      <c r="H717" s="21" t="str">
        <f t="shared" si="46"/>
        <v>Horror or Thriller</v>
      </c>
      <c r="I717" s="21" t="str">
        <f t="shared" si="47"/>
        <v>Comedy</v>
      </c>
      <c r="J717" s="21" t="str">
        <f t="shared" si="44"/>
        <v>Old</v>
      </c>
    </row>
    <row r="718" spans="1:10" x14ac:dyDescent="0.35">
      <c r="A718" s="4" t="s">
        <v>700</v>
      </c>
      <c r="B718" s="4" t="s">
        <v>701</v>
      </c>
      <c r="C718" s="4" t="s">
        <v>565</v>
      </c>
      <c r="D718" s="20">
        <v>4.2</v>
      </c>
      <c r="E718" s="4">
        <v>32959</v>
      </c>
      <c r="F718" s="4">
        <v>2005</v>
      </c>
      <c r="G718" s="21" t="str">
        <f t="shared" si="45"/>
        <v>Not Popular</v>
      </c>
      <c r="H718" s="21" t="str">
        <f t="shared" si="46"/>
        <v>Action or Drama</v>
      </c>
      <c r="I718" s="21" t="str">
        <f t="shared" si="47"/>
        <v>Not Comedy</v>
      </c>
      <c r="J718" s="21" t="str">
        <f t="shared" si="44"/>
        <v>Old</v>
      </c>
    </row>
    <row r="719" spans="1:10" x14ac:dyDescent="0.35">
      <c r="A719" s="4" t="s">
        <v>265</v>
      </c>
      <c r="B719" s="4" t="s">
        <v>266</v>
      </c>
      <c r="C719" s="4" t="s">
        <v>267</v>
      </c>
      <c r="D719" s="20">
        <v>3</v>
      </c>
      <c r="E719" s="4">
        <v>37559</v>
      </c>
      <c r="F719" s="4">
        <v>2005</v>
      </c>
      <c r="G719" s="21" t="str">
        <f t="shared" si="45"/>
        <v>Not Popular</v>
      </c>
      <c r="H719" s="21" t="str">
        <f t="shared" si="46"/>
        <v>Action or Drama</v>
      </c>
      <c r="I719" s="21" t="str">
        <f t="shared" si="47"/>
        <v>Not Comedy</v>
      </c>
      <c r="J719" s="21" t="str">
        <f t="shared" si="44"/>
        <v>Old</v>
      </c>
    </row>
    <row r="720" spans="1:10" x14ac:dyDescent="0.35">
      <c r="A720" s="4" t="s">
        <v>1327</v>
      </c>
      <c r="B720" s="4" t="s">
        <v>1328</v>
      </c>
      <c r="C720" s="4" t="s">
        <v>1329</v>
      </c>
      <c r="D720" s="20">
        <v>4.8</v>
      </c>
      <c r="E720" s="4">
        <v>76235</v>
      </c>
      <c r="F720" s="4">
        <v>2005</v>
      </c>
      <c r="G720" s="21" t="str">
        <f t="shared" si="45"/>
        <v>Not Popular</v>
      </c>
      <c r="H720" s="21" t="str">
        <f t="shared" si="46"/>
        <v>Other</v>
      </c>
      <c r="I720" s="21" t="str">
        <f t="shared" si="47"/>
        <v>Comedy</v>
      </c>
      <c r="J720" s="21" t="str">
        <f t="shared" si="44"/>
        <v>Old</v>
      </c>
    </row>
    <row r="721" spans="1:10" x14ac:dyDescent="0.35">
      <c r="A721" s="4" t="s">
        <v>1369</v>
      </c>
      <c r="B721" s="4" t="s">
        <v>1370</v>
      </c>
      <c r="C721" s="4" t="s">
        <v>217</v>
      </c>
      <c r="D721" s="20">
        <v>4.8</v>
      </c>
      <c r="E721" s="4">
        <v>35096</v>
      </c>
      <c r="F721" s="4">
        <v>2005</v>
      </c>
      <c r="G721" s="21" t="str">
        <f t="shared" si="45"/>
        <v>Not Popular</v>
      </c>
      <c r="H721" s="21" t="str">
        <f t="shared" si="46"/>
        <v>Other</v>
      </c>
      <c r="I721" s="21" t="str">
        <f t="shared" si="47"/>
        <v>Comedy</v>
      </c>
      <c r="J721" s="21" t="str">
        <f t="shared" si="44"/>
        <v>Old</v>
      </c>
    </row>
    <row r="722" spans="1:10" x14ac:dyDescent="0.35">
      <c r="A722" s="4" t="s">
        <v>1747</v>
      </c>
      <c r="B722" s="4" t="s">
        <v>1748</v>
      </c>
      <c r="C722" s="4" t="s">
        <v>565</v>
      </c>
      <c r="D722" s="20">
        <v>5</v>
      </c>
      <c r="E722" s="4">
        <v>27196</v>
      </c>
      <c r="F722" s="4">
        <v>2005</v>
      </c>
      <c r="G722" s="21" t="str">
        <f t="shared" si="45"/>
        <v>Not Popular</v>
      </c>
      <c r="H722" s="21" t="str">
        <f t="shared" si="46"/>
        <v>Action or Drama</v>
      </c>
      <c r="I722" s="21" t="str">
        <f t="shared" si="47"/>
        <v>Not Comedy</v>
      </c>
      <c r="J722" s="21" t="str">
        <f t="shared" si="44"/>
        <v>Old</v>
      </c>
    </row>
    <row r="723" spans="1:10" x14ac:dyDescent="0.35">
      <c r="A723" s="4" t="s">
        <v>1684</v>
      </c>
      <c r="B723" s="4" t="s">
        <v>1685</v>
      </c>
      <c r="C723" s="4" t="s">
        <v>11</v>
      </c>
      <c r="D723" s="20">
        <v>5</v>
      </c>
      <c r="E723" s="4">
        <v>76565</v>
      </c>
      <c r="F723" s="4">
        <v>2005</v>
      </c>
      <c r="G723" s="21" t="str">
        <f t="shared" si="45"/>
        <v>Not Popular</v>
      </c>
      <c r="H723" s="21" t="str">
        <f t="shared" si="46"/>
        <v>Other</v>
      </c>
      <c r="I723" s="21" t="str">
        <f t="shared" si="47"/>
        <v>Comedy</v>
      </c>
      <c r="J723" s="21" t="str">
        <f t="shared" si="44"/>
        <v>Old</v>
      </c>
    </row>
    <row r="724" spans="1:10" x14ac:dyDescent="0.35">
      <c r="A724" s="4" t="s">
        <v>153</v>
      </c>
      <c r="B724" s="4" t="s">
        <v>154</v>
      </c>
      <c r="C724" s="4" t="s">
        <v>155</v>
      </c>
      <c r="D724" s="20">
        <v>2.4</v>
      </c>
      <c r="E724" s="4">
        <v>47417</v>
      </c>
      <c r="F724" s="4">
        <v>2005</v>
      </c>
      <c r="G724" s="21" t="str">
        <f t="shared" si="45"/>
        <v>Not Popular</v>
      </c>
      <c r="H724" s="21" t="str">
        <f t="shared" si="46"/>
        <v>Action or Drama</v>
      </c>
      <c r="I724" s="21" t="str">
        <f t="shared" si="47"/>
        <v>Not Comedy</v>
      </c>
      <c r="J724" s="21" t="str">
        <f t="shared" si="44"/>
        <v>Old</v>
      </c>
    </row>
    <row r="725" spans="1:10" x14ac:dyDescent="0.35">
      <c r="A725" s="4" t="s">
        <v>712</v>
      </c>
      <c r="B725" s="4" t="s">
        <v>713</v>
      </c>
      <c r="C725" s="4" t="s">
        <v>122</v>
      </c>
      <c r="D725" s="20">
        <v>4.2</v>
      </c>
      <c r="E725" s="4">
        <v>20755</v>
      </c>
      <c r="F725" s="4">
        <v>2005</v>
      </c>
      <c r="G725" s="21" t="str">
        <f t="shared" si="45"/>
        <v>Not Popular</v>
      </c>
      <c r="H725" s="21" t="str">
        <f t="shared" si="46"/>
        <v>Action or Drama</v>
      </c>
      <c r="I725" s="21" t="str">
        <f t="shared" si="47"/>
        <v>Not Comedy</v>
      </c>
      <c r="J725" s="21" t="str">
        <f t="shared" si="44"/>
        <v>Old</v>
      </c>
    </row>
    <row r="726" spans="1:10" x14ac:dyDescent="0.35">
      <c r="A726" s="4" t="s">
        <v>542</v>
      </c>
      <c r="B726" s="4" t="s">
        <v>543</v>
      </c>
      <c r="C726" s="4" t="s">
        <v>544</v>
      </c>
      <c r="D726" s="20">
        <v>3.9</v>
      </c>
      <c r="E726" s="4">
        <v>28830</v>
      </c>
      <c r="F726" s="4">
        <v>2004</v>
      </c>
      <c r="G726" s="21" t="str">
        <f t="shared" si="45"/>
        <v>Not Popular</v>
      </c>
      <c r="H726" s="21" t="str">
        <f t="shared" si="46"/>
        <v>Action or Drama</v>
      </c>
      <c r="I726" s="21" t="str">
        <f t="shared" si="47"/>
        <v>Not Comedy</v>
      </c>
      <c r="J726" s="21" t="str">
        <f t="shared" si="44"/>
        <v>Old</v>
      </c>
    </row>
    <row r="727" spans="1:10" x14ac:dyDescent="0.35">
      <c r="A727" s="4" t="s">
        <v>640</v>
      </c>
      <c r="B727" s="4" t="s">
        <v>641</v>
      </c>
      <c r="C727" s="4" t="s">
        <v>146</v>
      </c>
      <c r="D727" s="20">
        <v>4.0999999999999996</v>
      </c>
      <c r="E727" s="4">
        <v>29795</v>
      </c>
      <c r="F727" s="4">
        <v>2004</v>
      </c>
      <c r="G727" s="21" t="str">
        <f t="shared" si="45"/>
        <v>Not Popular</v>
      </c>
      <c r="H727" s="21" t="str">
        <f t="shared" si="46"/>
        <v>Action or Drama</v>
      </c>
      <c r="I727" s="21" t="str">
        <f t="shared" si="47"/>
        <v>Comedy</v>
      </c>
      <c r="J727" s="21" t="str">
        <f t="shared" si="44"/>
        <v>Old</v>
      </c>
    </row>
    <row r="728" spans="1:10" x14ac:dyDescent="0.35">
      <c r="A728" s="4" t="s">
        <v>805</v>
      </c>
      <c r="B728" s="4" t="s">
        <v>806</v>
      </c>
      <c r="C728" s="4" t="s">
        <v>178</v>
      </c>
      <c r="D728" s="20">
        <v>4.3</v>
      </c>
      <c r="E728" s="4">
        <v>14644</v>
      </c>
      <c r="F728" s="4">
        <v>2004</v>
      </c>
      <c r="G728" s="21" t="str">
        <f t="shared" si="45"/>
        <v>Not Popular</v>
      </c>
      <c r="H728" s="21" t="str">
        <f t="shared" si="46"/>
        <v>Action or Drama</v>
      </c>
      <c r="I728" s="21" t="str">
        <f t="shared" si="47"/>
        <v>Comedy</v>
      </c>
      <c r="J728" s="21" t="str">
        <f t="shared" si="44"/>
        <v>Old</v>
      </c>
    </row>
    <row r="729" spans="1:10" x14ac:dyDescent="0.35">
      <c r="A729" s="4" t="s">
        <v>1610</v>
      </c>
      <c r="B729" s="4" t="s">
        <v>1611</v>
      </c>
      <c r="C729" s="4" t="s">
        <v>214</v>
      </c>
      <c r="D729" s="20">
        <v>4.9000000000000004</v>
      </c>
      <c r="E729" s="4">
        <v>18930</v>
      </c>
      <c r="F729" s="4">
        <v>2004</v>
      </c>
      <c r="G729" s="21" t="str">
        <f t="shared" si="45"/>
        <v>Not Popular</v>
      </c>
      <c r="H729" s="21" t="str">
        <f t="shared" si="46"/>
        <v>Other</v>
      </c>
      <c r="I729" s="21" t="str">
        <f t="shared" si="47"/>
        <v>Comedy</v>
      </c>
      <c r="J729" s="21" t="str">
        <f t="shared" si="44"/>
        <v>Old</v>
      </c>
    </row>
    <row r="730" spans="1:10" x14ac:dyDescent="0.35">
      <c r="A730" s="4" t="s">
        <v>1044</v>
      </c>
      <c r="B730" s="4" t="s">
        <v>1045</v>
      </c>
      <c r="C730" s="4" t="s">
        <v>146</v>
      </c>
      <c r="D730" s="20">
        <v>4.5999999999999996</v>
      </c>
      <c r="E730" s="4">
        <v>45562</v>
      </c>
      <c r="F730" s="4">
        <v>2004</v>
      </c>
      <c r="G730" s="21" t="str">
        <f t="shared" si="45"/>
        <v>Not Popular</v>
      </c>
      <c r="H730" s="21" t="str">
        <f t="shared" si="46"/>
        <v>Action or Drama</v>
      </c>
      <c r="I730" s="21" t="str">
        <f t="shared" si="47"/>
        <v>Comedy</v>
      </c>
      <c r="J730" s="21" t="str">
        <f t="shared" si="44"/>
        <v>Old</v>
      </c>
    </row>
    <row r="731" spans="1:10" x14ac:dyDescent="0.35">
      <c r="A731" s="4" t="s">
        <v>57</v>
      </c>
      <c r="B731" s="4" t="s">
        <v>58</v>
      </c>
      <c r="C731" s="4" t="s">
        <v>59</v>
      </c>
      <c r="D731" s="20">
        <v>1.5</v>
      </c>
      <c r="E731" s="4">
        <v>31809</v>
      </c>
      <c r="F731" s="4">
        <v>2004</v>
      </c>
      <c r="G731" s="21" t="str">
        <f t="shared" si="45"/>
        <v>Not Popular</v>
      </c>
      <c r="H731" s="21" t="str">
        <f t="shared" si="46"/>
        <v>Other</v>
      </c>
      <c r="I731" s="21" t="str">
        <f t="shared" si="47"/>
        <v>Comedy</v>
      </c>
      <c r="J731" s="21" t="str">
        <f t="shared" ref="J731:J794" si="48">IF(F731&gt;2020, "Recent", "Old")</f>
        <v>Old</v>
      </c>
    </row>
    <row r="732" spans="1:10" x14ac:dyDescent="0.35">
      <c r="A732" s="4" t="s">
        <v>413</v>
      </c>
      <c r="B732" s="4" t="s">
        <v>414</v>
      </c>
      <c r="C732" s="4" t="s">
        <v>122</v>
      </c>
      <c r="D732" s="20">
        <v>3.6</v>
      </c>
      <c r="E732" s="4">
        <v>24800</v>
      </c>
      <c r="F732" s="4">
        <v>2004</v>
      </c>
      <c r="G732" s="21" t="str">
        <f t="shared" si="45"/>
        <v>Not Popular</v>
      </c>
      <c r="H732" s="21" t="str">
        <f t="shared" si="46"/>
        <v>Action or Drama</v>
      </c>
      <c r="I732" s="21" t="str">
        <f t="shared" si="47"/>
        <v>Not Comedy</v>
      </c>
      <c r="J732" s="21" t="str">
        <f t="shared" si="48"/>
        <v>Old</v>
      </c>
    </row>
    <row r="733" spans="1:10" x14ac:dyDescent="0.35">
      <c r="A733" s="4" t="s">
        <v>737</v>
      </c>
      <c r="B733" s="4" t="s">
        <v>738</v>
      </c>
      <c r="C733" s="4" t="s">
        <v>98</v>
      </c>
      <c r="D733" s="20">
        <v>4.2</v>
      </c>
      <c r="E733" s="4">
        <v>11289</v>
      </c>
      <c r="F733" s="4">
        <v>2004</v>
      </c>
      <c r="G733" s="21" t="str">
        <f t="shared" si="45"/>
        <v>Not Popular</v>
      </c>
      <c r="H733" s="21" t="str">
        <f t="shared" si="46"/>
        <v>Horror or Thriller</v>
      </c>
      <c r="I733" s="21" t="str">
        <f t="shared" si="47"/>
        <v>Not Comedy</v>
      </c>
      <c r="J733" s="21" t="str">
        <f t="shared" si="48"/>
        <v>Old</v>
      </c>
    </row>
    <row r="734" spans="1:10" x14ac:dyDescent="0.35">
      <c r="A734" s="4" t="s">
        <v>964</v>
      </c>
      <c r="B734" s="4" t="s">
        <v>965</v>
      </c>
      <c r="C734" s="4" t="s">
        <v>11</v>
      </c>
      <c r="D734" s="20">
        <v>4.5</v>
      </c>
      <c r="E734" s="4">
        <v>24952</v>
      </c>
      <c r="F734" s="4">
        <v>2004</v>
      </c>
      <c r="G734" s="21" t="str">
        <f t="shared" si="45"/>
        <v>Not Popular</v>
      </c>
      <c r="H734" s="21" t="str">
        <f t="shared" si="46"/>
        <v>Other</v>
      </c>
      <c r="I734" s="21" t="str">
        <f t="shared" si="47"/>
        <v>Comedy</v>
      </c>
      <c r="J734" s="21" t="str">
        <f t="shared" si="48"/>
        <v>Old</v>
      </c>
    </row>
    <row r="735" spans="1:10" x14ac:dyDescent="0.35">
      <c r="A735" s="4" t="s">
        <v>1555</v>
      </c>
      <c r="B735" s="4" t="s">
        <v>1556</v>
      </c>
      <c r="C735" s="4" t="s">
        <v>349</v>
      </c>
      <c r="D735" s="20">
        <v>4.9000000000000004</v>
      </c>
      <c r="E735" s="4">
        <v>51323</v>
      </c>
      <c r="F735" s="4">
        <v>2004</v>
      </c>
      <c r="G735" s="21" t="str">
        <f t="shared" si="45"/>
        <v>Not Popular</v>
      </c>
      <c r="H735" s="21" t="str">
        <f t="shared" si="46"/>
        <v>Horror or Thriller</v>
      </c>
      <c r="I735" s="21" t="str">
        <f t="shared" si="47"/>
        <v>Comedy</v>
      </c>
      <c r="J735" s="21" t="str">
        <f t="shared" si="48"/>
        <v>Old</v>
      </c>
    </row>
    <row r="736" spans="1:10" x14ac:dyDescent="0.35">
      <c r="A736" s="4" t="s">
        <v>1589</v>
      </c>
      <c r="B736" s="4" t="s">
        <v>1590</v>
      </c>
      <c r="C736" s="4" t="s">
        <v>1591</v>
      </c>
      <c r="D736" s="20">
        <v>4.9000000000000004</v>
      </c>
      <c r="E736" s="4">
        <v>25286</v>
      </c>
      <c r="F736" s="4">
        <v>2004</v>
      </c>
      <c r="G736" s="21" t="str">
        <f t="shared" si="45"/>
        <v>Not Popular</v>
      </c>
      <c r="H736" s="21" t="str">
        <f t="shared" si="46"/>
        <v>Other</v>
      </c>
      <c r="I736" s="21" t="str">
        <f t="shared" si="47"/>
        <v>Comedy</v>
      </c>
      <c r="J736" s="21" t="str">
        <f t="shared" si="48"/>
        <v>Old</v>
      </c>
    </row>
    <row r="737" spans="1:10" x14ac:dyDescent="0.35">
      <c r="A737" s="4" t="s">
        <v>1383</v>
      </c>
      <c r="B737" s="4" t="s">
        <v>1384</v>
      </c>
      <c r="C737" s="4" t="s">
        <v>376</v>
      </c>
      <c r="D737" s="20">
        <v>4.8</v>
      </c>
      <c r="E737" s="4">
        <v>26734</v>
      </c>
      <c r="F737" s="4">
        <v>2004</v>
      </c>
      <c r="G737" s="21" t="str">
        <f t="shared" si="45"/>
        <v>Not Popular</v>
      </c>
      <c r="H737" s="21" t="str">
        <f t="shared" si="46"/>
        <v>Action or Drama</v>
      </c>
      <c r="I737" s="21" t="str">
        <f t="shared" si="47"/>
        <v>Not Comedy</v>
      </c>
      <c r="J737" s="21" t="str">
        <f t="shared" si="48"/>
        <v>Old</v>
      </c>
    </row>
    <row r="738" spans="1:10" x14ac:dyDescent="0.35">
      <c r="A738" s="4" t="s">
        <v>1863</v>
      </c>
      <c r="B738" s="4" t="s">
        <v>1864</v>
      </c>
      <c r="C738" s="4" t="s">
        <v>217</v>
      </c>
      <c r="D738" s="20">
        <v>5.0999999999999996</v>
      </c>
      <c r="E738" s="4">
        <v>96086</v>
      </c>
      <c r="F738" s="4">
        <v>2004</v>
      </c>
      <c r="G738" s="21" t="str">
        <f t="shared" si="45"/>
        <v>Popular</v>
      </c>
      <c r="H738" s="21" t="str">
        <f t="shared" si="46"/>
        <v>Other</v>
      </c>
      <c r="I738" s="21" t="str">
        <f t="shared" si="47"/>
        <v>Comedy</v>
      </c>
      <c r="J738" s="21" t="str">
        <f t="shared" si="48"/>
        <v>Old</v>
      </c>
    </row>
    <row r="739" spans="1:10" x14ac:dyDescent="0.35">
      <c r="A739" s="4" t="s">
        <v>1927</v>
      </c>
      <c r="B739" s="4" t="s">
        <v>1928</v>
      </c>
      <c r="C739" s="4" t="s">
        <v>128</v>
      </c>
      <c r="D739" s="20">
        <v>5.0999999999999996</v>
      </c>
      <c r="E739" s="4">
        <v>28618</v>
      </c>
      <c r="F739" s="4">
        <v>2004</v>
      </c>
      <c r="G739" s="21" t="str">
        <f t="shared" si="45"/>
        <v>Popular</v>
      </c>
      <c r="H739" s="21" t="str">
        <f t="shared" si="46"/>
        <v>Action or Drama</v>
      </c>
      <c r="I739" s="21" t="str">
        <f t="shared" si="47"/>
        <v>Comedy</v>
      </c>
      <c r="J739" s="21" t="str">
        <f t="shared" si="48"/>
        <v>Old</v>
      </c>
    </row>
    <row r="740" spans="1:10" x14ac:dyDescent="0.35">
      <c r="A740" s="4" t="s">
        <v>904</v>
      </c>
      <c r="B740" s="4" t="s">
        <v>905</v>
      </c>
      <c r="C740" s="4" t="s">
        <v>140</v>
      </c>
      <c r="D740" s="20">
        <v>4.4000000000000004</v>
      </c>
      <c r="E740" s="4">
        <v>13152</v>
      </c>
      <c r="F740" s="4">
        <v>2004</v>
      </c>
      <c r="G740" s="21" t="str">
        <f t="shared" si="45"/>
        <v>Not Popular</v>
      </c>
      <c r="H740" s="21" t="str">
        <f t="shared" si="46"/>
        <v>Other</v>
      </c>
      <c r="I740" s="21" t="str">
        <f t="shared" si="47"/>
        <v>Comedy</v>
      </c>
      <c r="J740" s="21" t="str">
        <f t="shared" si="48"/>
        <v>Old</v>
      </c>
    </row>
    <row r="741" spans="1:10" x14ac:dyDescent="0.35">
      <c r="A741" s="4" t="s">
        <v>1903</v>
      </c>
      <c r="B741" s="4" t="s">
        <v>1904</v>
      </c>
      <c r="C741" s="4" t="s">
        <v>175</v>
      </c>
      <c r="D741" s="20">
        <v>5.0999999999999996</v>
      </c>
      <c r="E741" s="4">
        <v>40491</v>
      </c>
      <c r="F741" s="4">
        <v>2004</v>
      </c>
      <c r="G741" s="21" t="str">
        <f t="shared" si="45"/>
        <v>Popular</v>
      </c>
      <c r="H741" s="21" t="str">
        <f t="shared" si="46"/>
        <v>Horror or Thriller</v>
      </c>
      <c r="I741" s="21" t="str">
        <f t="shared" si="47"/>
        <v>Not Comedy</v>
      </c>
      <c r="J741" s="21" t="str">
        <f t="shared" si="48"/>
        <v>Old</v>
      </c>
    </row>
    <row r="742" spans="1:10" x14ac:dyDescent="0.35">
      <c r="A742" s="4" t="s">
        <v>1373</v>
      </c>
      <c r="B742" s="4" t="s">
        <v>1374</v>
      </c>
      <c r="C742" s="4" t="s">
        <v>11</v>
      </c>
      <c r="D742" s="20">
        <v>4.8</v>
      </c>
      <c r="E742" s="4">
        <v>32589</v>
      </c>
      <c r="F742" s="4">
        <v>2004</v>
      </c>
      <c r="G742" s="21" t="str">
        <f t="shared" si="45"/>
        <v>Not Popular</v>
      </c>
      <c r="H742" s="21" t="str">
        <f t="shared" si="46"/>
        <v>Other</v>
      </c>
      <c r="I742" s="21" t="str">
        <f t="shared" si="47"/>
        <v>Comedy</v>
      </c>
      <c r="J742" s="21" t="str">
        <f t="shared" si="48"/>
        <v>Old</v>
      </c>
    </row>
    <row r="743" spans="1:10" x14ac:dyDescent="0.35">
      <c r="A743" s="4" t="s">
        <v>35</v>
      </c>
      <c r="B743" s="4" t="s">
        <v>36</v>
      </c>
      <c r="C743" s="4" t="s">
        <v>37</v>
      </c>
      <c r="D743" s="20">
        <v>1.2</v>
      </c>
      <c r="E743" s="4">
        <v>14938</v>
      </c>
      <c r="F743" s="4">
        <v>2004</v>
      </c>
      <c r="G743" s="21" t="str">
        <f t="shared" si="45"/>
        <v>Not Popular</v>
      </c>
      <c r="H743" s="21" t="str">
        <f t="shared" si="46"/>
        <v>Other</v>
      </c>
      <c r="I743" s="21" t="str">
        <f t="shared" si="47"/>
        <v>Comedy</v>
      </c>
      <c r="J743" s="21" t="str">
        <f t="shared" si="48"/>
        <v>Old</v>
      </c>
    </row>
    <row r="744" spans="1:10" x14ac:dyDescent="0.35">
      <c r="A744" s="4" t="s">
        <v>1209</v>
      </c>
      <c r="B744" s="4" t="s">
        <v>1210</v>
      </c>
      <c r="C744" s="4" t="s">
        <v>291</v>
      </c>
      <c r="D744" s="20">
        <v>4.7</v>
      </c>
      <c r="E744" s="4">
        <v>31927</v>
      </c>
      <c r="F744" s="4">
        <v>2004</v>
      </c>
      <c r="G744" s="21" t="str">
        <f t="shared" si="45"/>
        <v>Not Popular</v>
      </c>
      <c r="H744" s="21" t="str">
        <f t="shared" si="46"/>
        <v>Other</v>
      </c>
      <c r="I744" s="21" t="str">
        <f t="shared" si="47"/>
        <v>Comedy</v>
      </c>
      <c r="J744" s="21" t="str">
        <f t="shared" si="48"/>
        <v>Old</v>
      </c>
    </row>
    <row r="745" spans="1:10" x14ac:dyDescent="0.35">
      <c r="A745" s="4" t="s">
        <v>336</v>
      </c>
      <c r="B745" s="4" t="s">
        <v>337</v>
      </c>
      <c r="C745" s="4" t="s">
        <v>338</v>
      </c>
      <c r="D745" s="20">
        <v>3.4</v>
      </c>
      <c r="E745" s="4">
        <v>127566</v>
      </c>
      <c r="F745" s="4">
        <v>2004</v>
      </c>
      <c r="G745" s="21" t="str">
        <f t="shared" si="45"/>
        <v>Not Popular</v>
      </c>
      <c r="H745" s="21" t="str">
        <f t="shared" si="46"/>
        <v>Action or Drama</v>
      </c>
      <c r="I745" s="21" t="str">
        <f t="shared" si="47"/>
        <v>Not Comedy</v>
      </c>
      <c r="J745" s="21" t="str">
        <f t="shared" si="48"/>
        <v>Old</v>
      </c>
    </row>
    <row r="746" spans="1:10" x14ac:dyDescent="0.35">
      <c r="A746" s="4" t="s">
        <v>916</v>
      </c>
      <c r="B746" s="4" t="s">
        <v>917</v>
      </c>
      <c r="C746" s="4" t="s">
        <v>149</v>
      </c>
      <c r="D746" s="20">
        <v>4.4000000000000004</v>
      </c>
      <c r="E746" s="4">
        <v>11010</v>
      </c>
      <c r="F746" s="4">
        <v>2004</v>
      </c>
      <c r="G746" s="21" t="str">
        <f t="shared" si="45"/>
        <v>Not Popular</v>
      </c>
      <c r="H746" s="21" t="str">
        <f t="shared" si="46"/>
        <v>Other</v>
      </c>
      <c r="I746" s="21" t="str">
        <f t="shared" si="47"/>
        <v>Comedy</v>
      </c>
      <c r="J746" s="21" t="str">
        <f t="shared" si="48"/>
        <v>Old</v>
      </c>
    </row>
    <row r="747" spans="1:10" x14ac:dyDescent="0.35">
      <c r="A747" s="4" t="s">
        <v>1205</v>
      </c>
      <c r="B747" s="4" t="s">
        <v>1206</v>
      </c>
      <c r="C747" s="4" t="s">
        <v>122</v>
      </c>
      <c r="D747" s="20">
        <v>4.7</v>
      </c>
      <c r="E747" s="4">
        <v>34619</v>
      </c>
      <c r="F747" s="4">
        <v>2004</v>
      </c>
      <c r="G747" s="21" t="str">
        <f t="shared" si="45"/>
        <v>Not Popular</v>
      </c>
      <c r="H747" s="21" t="str">
        <f t="shared" si="46"/>
        <v>Action or Drama</v>
      </c>
      <c r="I747" s="21" t="str">
        <f t="shared" si="47"/>
        <v>Not Comedy</v>
      </c>
      <c r="J747" s="21" t="str">
        <f t="shared" si="48"/>
        <v>Old</v>
      </c>
    </row>
    <row r="748" spans="1:10" x14ac:dyDescent="0.35">
      <c r="A748" s="4" t="s">
        <v>1111</v>
      </c>
      <c r="B748" s="4" t="s">
        <v>1112</v>
      </c>
      <c r="C748" s="4" t="s">
        <v>178</v>
      </c>
      <c r="D748" s="20">
        <v>4.5999999999999996</v>
      </c>
      <c r="E748" s="4">
        <v>16172</v>
      </c>
      <c r="F748" s="4">
        <v>2004</v>
      </c>
      <c r="G748" s="21" t="str">
        <f t="shared" si="45"/>
        <v>Not Popular</v>
      </c>
      <c r="H748" s="21" t="str">
        <f t="shared" si="46"/>
        <v>Action or Drama</v>
      </c>
      <c r="I748" s="21" t="str">
        <f t="shared" si="47"/>
        <v>Comedy</v>
      </c>
      <c r="J748" s="21" t="str">
        <f t="shared" si="48"/>
        <v>Old</v>
      </c>
    </row>
    <row r="749" spans="1:10" x14ac:dyDescent="0.35">
      <c r="A749" s="4" t="s">
        <v>2034</v>
      </c>
      <c r="B749" s="4" t="s">
        <v>2035</v>
      </c>
      <c r="C749" s="4" t="s">
        <v>11</v>
      </c>
      <c r="D749" s="20">
        <v>5.0999999999999996</v>
      </c>
      <c r="E749" s="4">
        <v>13732</v>
      </c>
      <c r="F749" s="4">
        <v>2004</v>
      </c>
      <c r="G749" s="21" t="str">
        <f t="shared" si="45"/>
        <v>Popular</v>
      </c>
      <c r="H749" s="21" t="str">
        <f t="shared" si="46"/>
        <v>Other</v>
      </c>
      <c r="I749" s="21" t="str">
        <f t="shared" si="47"/>
        <v>Comedy</v>
      </c>
      <c r="J749" s="21" t="str">
        <f t="shared" si="48"/>
        <v>Old</v>
      </c>
    </row>
    <row r="750" spans="1:10" x14ac:dyDescent="0.35">
      <c r="A750" s="4" t="s">
        <v>1237</v>
      </c>
      <c r="B750" s="4" t="s">
        <v>1238</v>
      </c>
      <c r="C750" s="4" t="s">
        <v>158</v>
      </c>
      <c r="D750" s="20">
        <v>4.7</v>
      </c>
      <c r="E750" s="4">
        <v>24366</v>
      </c>
      <c r="F750" s="4">
        <v>2004</v>
      </c>
      <c r="G750" s="21" t="str">
        <f t="shared" si="45"/>
        <v>Not Popular</v>
      </c>
      <c r="H750" s="21" t="str">
        <f t="shared" si="46"/>
        <v>Action or Drama</v>
      </c>
      <c r="I750" s="21" t="str">
        <f t="shared" si="47"/>
        <v>Not Comedy</v>
      </c>
      <c r="J750" s="21" t="str">
        <f t="shared" si="48"/>
        <v>Old</v>
      </c>
    </row>
    <row r="751" spans="1:10" x14ac:dyDescent="0.35">
      <c r="A751" s="4" t="s">
        <v>401</v>
      </c>
      <c r="B751" s="4" t="s">
        <v>402</v>
      </c>
      <c r="C751" s="4" t="s">
        <v>14</v>
      </c>
      <c r="D751" s="20">
        <v>3.6</v>
      </c>
      <c r="E751" s="4">
        <v>96417</v>
      </c>
      <c r="F751" s="4">
        <v>2003</v>
      </c>
      <c r="G751" s="21" t="str">
        <f t="shared" si="45"/>
        <v>Not Popular</v>
      </c>
      <c r="H751" s="21" t="str">
        <f t="shared" si="46"/>
        <v>Action or Drama</v>
      </c>
      <c r="I751" s="21" t="str">
        <f t="shared" si="47"/>
        <v>Not Comedy</v>
      </c>
      <c r="J751" s="21" t="str">
        <f t="shared" si="48"/>
        <v>Old</v>
      </c>
    </row>
    <row r="752" spans="1:10" x14ac:dyDescent="0.35">
      <c r="A752" s="4" t="s">
        <v>1982</v>
      </c>
      <c r="B752" s="4" t="s">
        <v>1983</v>
      </c>
      <c r="C752" s="4" t="s">
        <v>175</v>
      </c>
      <c r="D752" s="20">
        <v>5.0999999999999996</v>
      </c>
      <c r="E752" s="4">
        <v>18648</v>
      </c>
      <c r="F752" s="4">
        <v>2003</v>
      </c>
      <c r="G752" s="21" t="str">
        <f t="shared" si="45"/>
        <v>Popular</v>
      </c>
      <c r="H752" s="21" t="str">
        <f t="shared" si="46"/>
        <v>Horror or Thriller</v>
      </c>
      <c r="I752" s="21" t="str">
        <f t="shared" si="47"/>
        <v>Not Comedy</v>
      </c>
      <c r="J752" s="21" t="str">
        <f t="shared" si="48"/>
        <v>Old</v>
      </c>
    </row>
    <row r="753" spans="1:10" x14ac:dyDescent="0.35">
      <c r="A753" s="4" t="s">
        <v>2172</v>
      </c>
      <c r="B753" s="4" t="s">
        <v>2173</v>
      </c>
      <c r="C753" s="4" t="s">
        <v>1967</v>
      </c>
      <c r="D753" s="20">
        <v>5.2</v>
      </c>
      <c r="E753" s="4">
        <v>44504</v>
      </c>
      <c r="F753" s="4">
        <v>2003</v>
      </c>
      <c r="G753" s="21" t="str">
        <f t="shared" si="45"/>
        <v>Popular</v>
      </c>
      <c r="H753" s="21" t="str">
        <f t="shared" si="46"/>
        <v>Action or Drama</v>
      </c>
      <c r="I753" s="21" t="str">
        <f t="shared" si="47"/>
        <v>Comedy</v>
      </c>
      <c r="J753" s="21" t="str">
        <f t="shared" si="48"/>
        <v>Old</v>
      </c>
    </row>
    <row r="754" spans="1:10" x14ac:dyDescent="0.35">
      <c r="A754" s="4" t="s">
        <v>2158</v>
      </c>
      <c r="B754" s="4" t="s">
        <v>2159</v>
      </c>
      <c r="C754" s="4" t="s">
        <v>140</v>
      </c>
      <c r="D754" s="20">
        <v>5.2</v>
      </c>
      <c r="E754" s="4">
        <v>58317</v>
      </c>
      <c r="F754" s="4">
        <v>2003</v>
      </c>
      <c r="G754" s="21" t="str">
        <f t="shared" si="45"/>
        <v>Popular</v>
      </c>
      <c r="H754" s="21" t="str">
        <f t="shared" si="46"/>
        <v>Other</v>
      </c>
      <c r="I754" s="21" t="str">
        <f t="shared" si="47"/>
        <v>Comedy</v>
      </c>
      <c r="J754" s="21" t="str">
        <f t="shared" si="48"/>
        <v>Old</v>
      </c>
    </row>
    <row r="755" spans="1:10" x14ac:dyDescent="0.35">
      <c r="A755" s="4" t="s">
        <v>1651</v>
      </c>
      <c r="B755" s="4" t="s">
        <v>1652</v>
      </c>
      <c r="C755" s="4" t="s">
        <v>128</v>
      </c>
      <c r="D755" s="20">
        <v>4.9000000000000004</v>
      </c>
      <c r="E755" s="4">
        <v>12237</v>
      </c>
      <c r="F755" s="4">
        <v>2003</v>
      </c>
      <c r="G755" s="21" t="str">
        <f t="shared" si="45"/>
        <v>Not Popular</v>
      </c>
      <c r="H755" s="21" t="str">
        <f t="shared" si="46"/>
        <v>Action or Drama</v>
      </c>
      <c r="I755" s="21" t="str">
        <f t="shared" si="47"/>
        <v>Comedy</v>
      </c>
      <c r="J755" s="21" t="str">
        <f t="shared" si="48"/>
        <v>Old</v>
      </c>
    </row>
    <row r="756" spans="1:10" x14ac:dyDescent="0.35">
      <c r="A756" s="4" t="s">
        <v>633</v>
      </c>
      <c r="B756" s="4" t="s">
        <v>634</v>
      </c>
      <c r="C756" s="4" t="s">
        <v>217</v>
      </c>
      <c r="D756" s="20">
        <v>4.0999999999999996</v>
      </c>
      <c r="E756" s="4">
        <v>89438</v>
      </c>
      <c r="F756" s="4">
        <v>2003</v>
      </c>
      <c r="G756" s="21" t="str">
        <f t="shared" si="45"/>
        <v>Not Popular</v>
      </c>
      <c r="H756" s="21" t="str">
        <f t="shared" si="46"/>
        <v>Other</v>
      </c>
      <c r="I756" s="21" t="str">
        <f t="shared" si="47"/>
        <v>Comedy</v>
      </c>
      <c r="J756" s="21" t="str">
        <f t="shared" si="48"/>
        <v>Old</v>
      </c>
    </row>
    <row r="757" spans="1:10" x14ac:dyDescent="0.35">
      <c r="A757" s="4" t="s">
        <v>1618</v>
      </c>
      <c r="B757" s="4" t="s">
        <v>1619</v>
      </c>
      <c r="C757" s="4" t="s">
        <v>14</v>
      </c>
      <c r="D757" s="20">
        <v>4.9000000000000004</v>
      </c>
      <c r="E757" s="4">
        <v>16896</v>
      </c>
      <c r="F757" s="4">
        <v>2003</v>
      </c>
      <c r="G757" s="21" t="str">
        <f t="shared" si="45"/>
        <v>Not Popular</v>
      </c>
      <c r="H757" s="21" t="str">
        <f t="shared" si="46"/>
        <v>Action or Drama</v>
      </c>
      <c r="I757" s="21" t="str">
        <f t="shared" si="47"/>
        <v>Not Comedy</v>
      </c>
      <c r="J757" s="21" t="str">
        <f t="shared" si="48"/>
        <v>Old</v>
      </c>
    </row>
    <row r="758" spans="1:10" x14ac:dyDescent="0.35">
      <c r="A758" s="4" t="s">
        <v>835</v>
      </c>
      <c r="B758" s="4" t="s">
        <v>836</v>
      </c>
      <c r="C758" s="4" t="s">
        <v>178</v>
      </c>
      <c r="D758" s="20">
        <v>4.4000000000000004</v>
      </c>
      <c r="E758" s="4">
        <v>67628</v>
      </c>
      <c r="F758" s="4">
        <v>2003</v>
      </c>
      <c r="G758" s="21" t="str">
        <f t="shared" si="45"/>
        <v>Not Popular</v>
      </c>
      <c r="H758" s="21" t="str">
        <f t="shared" si="46"/>
        <v>Action or Drama</v>
      </c>
      <c r="I758" s="21" t="str">
        <f t="shared" si="47"/>
        <v>Comedy</v>
      </c>
      <c r="J758" s="21" t="str">
        <f t="shared" si="48"/>
        <v>Old</v>
      </c>
    </row>
    <row r="759" spans="1:10" x14ac:dyDescent="0.35">
      <c r="A759" s="4" t="s">
        <v>1214</v>
      </c>
      <c r="B759" s="4" t="s">
        <v>1215</v>
      </c>
      <c r="C759" s="4" t="s">
        <v>116</v>
      </c>
      <c r="D759" s="20">
        <v>4.7</v>
      </c>
      <c r="E759" s="4">
        <v>30886</v>
      </c>
      <c r="F759" s="4">
        <v>2003</v>
      </c>
      <c r="G759" s="21" t="str">
        <f t="shared" si="45"/>
        <v>Not Popular</v>
      </c>
      <c r="H759" s="21" t="str">
        <f t="shared" si="46"/>
        <v>Other</v>
      </c>
      <c r="I759" s="21" t="str">
        <f t="shared" si="47"/>
        <v>Comedy</v>
      </c>
      <c r="J759" s="21" t="str">
        <f t="shared" si="48"/>
        <v>Old</v>
      </c>
    </row>
    <row r="760" spans="1:10" x14ac:dyDescent="0.35">
      <c r="A760" s="4" t="s">
        <v>1330</v>
      </c>
      <c r="B760" s="4" t="s">
        <v>1331</v>
      </c>
      <c r="C760" s="4" t="s">
        <v>11</v>
      </c>
      <c r="D760" s="20">
        <v>4.8</v>
      </c>
      <c r="E760" s="4">
        <v>74211</v>
      </c>
      <c r="F760" s="4">
        <v>2003</v>
      </c>
      <c r="G760" s="21" t="str">
        <f t="shared" si="45"/>
        <v>Not Popular</v>
      </c>
      <c r="H760" s="21" t="str">
        <f t="shared" si="46"/>
        <v>Other</v>
      </c>
      <c r="I760" s="21" t="str">
        <f t="shared" si="47"/>
        <v>Comedy</v>
      </c>
      <c r="J760" s="21" t="str">
        <f t="shared" si="48"/>
        <v>Old</v>
      </c>
    </row>
    <row r="761" spans="1:10" x14ac:dyDescent="0.35">
      <c r="A761" s="4" t="s">
        <v>954</v>
      </c>
      <c r="B761" s="4" t="s">
        <v>955</v>
      </c>
      <c r="C761" s="4" t="s">
        <v>178</v>
      </c>
      <c r="D761" s="20">
        <v>4.5</v>
      </c>
      <c r="E761" s="4">
        <v>34299</v>
      </c>
      <c r="F761" s="4">
        <v>2003</v>
      </c>
      <c r="G761" s="21" t="str">
        <f t="shared" si="45"/>
        <v>Not Popular</v>
      </c>
      <c r="H761" s="21" t="str">
        <f t="shared" si="46"/>
        <v>Action or Drama</v>
      </c>
      <c r="I761" s="21" t="str">
        <f t="shared" si="47"/>
        <v>Comedy</v>
      </c>
      <c r="J761" s="21" t="str">
        <f t="shared" si="48"/>
        <v>Old</v>
      </c>
    </row>
    <row r="762" spans="1:10" x14ac:dyDescent="0.35">
      <c r="A762" s="4" t="s">
        <v>120</v>
      </c>
      <c r="B762" s="4" t="s">
        <v>121</v>
      </c>
      <c r="C762" s="4" t="s">
        <v>122</v>
      </c>
      <c r="D762" s="20">
        <v>2.1</v>
      </c>
      <c r="E762" s="4">
        <v>38962</v>
      </c>
      <c r="F762" s="4">
        <v>2003</v>
      </c>
      <c r="G762" s="21" t="str">
        <f t="shared" si="45"/>
        <v>Not Popular</v>
      </c>
      <c r="H762" s="21" t="str">
        <f t="shared" si="46"/>
        <v>Action or Drama</v>
      </c>
      <c r="I762" s="21" t="str">
        <f t="shared" si="47"/>
        <v>Not Comedy</v>
      </c>
      <c r="J762" s="21" t="str">
        <f t="shared" si="48"/>
        <v>Old</v>
      </c>
    </row>
    <row r="763" spans="1:10" x14ac:dyDescent="0.35">
      <c r="A763" s="4" t="s">
        <v>185</v>
      </c>
      <c r="B763" s="4" t="s">
        <v>186</v>
      </c>
      <c r="C763" s="4" t="s">
        <v>187</v>
      </c>
      <c r="D763" s="20">
        <v>2.6</v>
      </c>
      <c r="E763" s="4">
        <v>51193</v>
      </c>
      <c r="F763" s="4">
        <v>2003</v>
      </c>
      <c r="G763" s="21" t="str">
        <f t="shared" si="45"/>
        <v>Not Popular</v>
      </c>
      <c r="H763" s="21" t="str">
        <f t="shared" si="46"/>
        <v>Other</v>
      </c>
      <c r="I763" s="21" t="str">
        <f t="shared" si="47"/>
        <v>Comedy</v>
      </c>
      <c r="J763" s="21" t="str">
        <f t="shared" si="48"/>
        <v>Old</v>
      </c>
    </row>
    <row r="764" spans="1:10" x14ac:dyDescent="0.35">
      <c r="A764" s="4" t="s">
        <v>107</v>
      </c>
      <c r="B764" s="4" t="s">
        <v>108</v>
      </c>
      <c r="C764" s="4" t="s">
        <v>109</v>
      </c>
      <c r="D764" s="20">
        <v>1.9</v>
      </c>
      <c r="E764" s="4">
        <v>27123</v>
      </c>
      <c r="F764" s="4">
        <v>2003</v>
      </c>
      <c r="G764" s="21" t="str">
        <f t="shared" si="45"/>
        <v>Not Popular</v>
      </c>
      <c r="H764" s="21" t="str">
        <f t="shared" si="46"/>
        <v>Other</v>
      </c>
      <c r="I764" s="21" t="str">
        <f t="shared" si="47"/>
        <v>Comedy</v>
      </c>
      <c r="J764" s="21" t="str">
        <f t="shared" si="48"/>
        <v>Old</v>
      </c>
    </row>
    <row r="765" spans="1:10" x14ac:dyDescent="0.35">
      <c r="A765" s="4" t="s">
        <v>343</v>
      </c>
      <c r="B765" s="4" t="s">
        <v>344</v>
      </c>
      <c r="C765" s="4" t="s">
        <v>11</v>
      </c>
      <c r="D765" s="20">
        <v>3.4</v>
      </c>
      <c r="E765" s="4">
        <v>42995</v>
      </c>
      <c r="F765" s="4">
        <v>2003</v>
      </c>
      <c r="G765" s="21" t="str">
        <f t="shared" si="45"/>
        <v>Not Popular</v>
      </c>
      <c r="H765" s="21" t="str">
        <f t="shared" si="46"/>
        <v>Other</v>
      </c>
      <c r="I765" s="21" t="str">
        <f t="shared" si="47"/>
        <v>Comedy</v>
      </c>
      <c r="J765" s="21" t="str">
        <f t="shared" si="48"/>
        <v>Old</v>
      </c>
    </row>
    <row r="766" spans="1:10" x14ac:dyDescent="0.35">
      <c r="A766" s="4" t="s">
        <v>1723</v>
      </c>
      <c r="B766" s="4" t="s">
        <v>1724</v>
      </c>
      <c r="C766" s="4" t="s">
        <v>915</v>
      </c>
      <c r="D766" s="20">
        <v>5</v>
      </c>
      <c r="E766" s="4">
        <v>33993</v>
      </c>
      <c r="F766" s="4">
        <v>2003</v>
      </c>
      <c r="G766" s="21" t="str">
        <f t="shared" si="45"/>
        <v>Not Popular</v>
      </c>
      <c r="H766" s="21" t="str">
        <f t="shared" si="46"/>
        <v>Horror or Thriller</v>
      </c>
      <c r="I766" s="21" t="str">
        <f t="shared" si="47"/>
        <v>Not Comedy</v>
      </c>
      <c r="J766" s="21" t="str">
        <f t="shared" si="48"/>
        <v>Old</v>
      </c>
    </row>
    <row r="767" spans="1:10" x14ac:dyDescent="0.35">
      <c r="A767" s="4" t="s">
        <v>1751</v>
      </c>
      <c r="B767" s="4" t="s">
        <v>1752</v>
      </c>
      <c r="C767" s="4" t="s">
        <v>846</v>
      </c>
      <c r="D767" s="20">
        <v>5</v>
      </c>
      <c r="E767" s="4">
        <v>25165</v>
      </c>
      <c r="F767" s="4">
        <v>2003</v>
      </c>
      <c r="G767" s="21" t="str">
        <f t="shared" si="45"/>
        <v>Not Popular</v>
      </c>
      <c r="H767" s="21" t="str">
        <f t="shared" si="46"/>
        <v>Action or Drama</v>
      </c>
      <c r="I767" s="21" t="str">
        <f t="shared" si="47"/>
        <v>Not Comedy</v>
      </c>
      <c r="J767" s="21" t="str">
        <f t="shared" si="48"/>
        <v>Old</v>
      </c>
    </row>
    <row r="768" spans="1:10" x14ac:dyDescent="0.35">
      <c r="A768" s="4" t="s">
        <v>1525</v>
      </c>
      <c r="B768" s="4" t="s">
        <v>1526</v>
      </c>
      <c r="C768" s="4" t="s">
        <v>178</v>
      </c>
      <c r="D768" s="20">
        <v>4.9000000000000004</v>
      </c>
      <c r="E768" s="4">
        <v>134567</v>
      </c>
      <c r="F768" s="4">
        <v>2003</v>
      </c>
      <c r="G768" s="21" t="str">
        <f t="shared" si="45"/>
        <v>Not Popular</v>
      </c>
      <c r="H768" s="21" t="str">
        <f t="shared" si="46"/>
        <v>Action or Drama</v>
      </c>
      <c r="I768" s="21" t="str">
        <f t="shared" si="47"/>
        <v>Comedy</v>
      </c>
      <c r="J768" s="21" t="str">
        <f t="shared" si="48"/>
        <v>Old</v>
      </c>
    </row>
    <row r="769" spans="1:10" x14ac:dyDescent="0.35">
      <c r="A769" s="4" t="s">
        <v>1280</v>
      </c>
      <c r="B769" s="4" t="s">
        <v>1281</v>
      </c>
      <c r="C769" s="4" t="s">
        <v>26</v>
      </c>
      <c r="D769" s="20">
        <v>4.7</v>
      </c>
      <c r="E769" s="4">
        <v>14293</v>
      </c>
      <c r="F769" s="4">
        <v>2003</v>
      </c>
      <c r="G769" s="21" t="str">
        <f t="shared" si="45"/>
        <v>Not Popular</v>
      </c>
      <c r="H769" s="21" t="str">
        <f t="shared" si="46"/>
        <v>Action or Drama</v>
      </c>
      <c r="I769" s="21" t="str">
        <f t="shared" si="47"/>
        <v>Not Comedy</v>
      </c>
      <c r="J769" s="21" t="str">
        <f t="shared" si="48"/>
        <v>Old</v>
      </c>
    </row>
    <row r="770" spans="1:10" x14ac:dyDescent="0.35">
      <c r="A770" s="4" t="s">
        <v>1080</v>
      </c>
      <c r="B770" s="4" t="s">
        <v>1081</v>
      </c>
      <c r="C770" s="4" t="s">
        <v>93</v>
      </c>
      <c r="D770" s="20">
        <v>4.5999999999999996</v>
      </c>
      <c r="E770" s="4">
        <v>21671</v>
      </c>
      <c r="F770" s="4">
        <v>2003</v>
      </c>
      <c r="G770" s="21" t="str">
        <f t="shared" si="45"/>
        <v>Not Popular</v>
      </c>
      <c r="H770" s="21" t="str">
        <f t="shared" si="46"/>
        <v>Action or Drama</v>
      </c>
      <c r="I770" s="21" t="str">
        <f t="shared" si="47"/>
        <v>Not Comedy</v>
      </c>
      <c r="J770" s="21" t="str">
        <f t="shared" si="48"/>
        <v>Old</v>
      </c>
    </row>
    <row r="771" spans="1:10" x14ac:dyDescent="0.35">
      <c r="A771" s="4" t="s">
        <v>1821</v>
      </c>
      <c r="B771" s="4" t="s">
        <v>1822</v>
      </c>
      <c r="C771" s="4" t="s">
        <v>47</v>
      </c>
      <c r="D771" s="20">
        <v>5</v>
      </c>
      <c r="E771" s="4">
        <v>11526</v>
      </c>
      <c r="F771" s="4">
        <v>2003</v>
      </c>
      <c r="G771" s="21" t="str">
        <f t="shared" ref="G771:G834" si="49">IF(AND(D771&gt;5, E771&gt;1000), "Popular", "Not Popular")</f>
        <v>Not Popular</v>
      </c>
      <c r="H771" s="21" t="str">
        <f t="shared" ref="H771:H834" si="50">IF(OR(ISNUMBER(SEARCH("Action", C771)), ISNUMBER(SEARCH("Drama", C771))), "Action or Drama", IF(OR(ISNUMBER(SEARCH("Horror", C771)), ISNUMBER(SEARCH("Thriller", C771))), "Horror or Thriller", "Other"))</f>
        <v>Action or Drama</v>
      </c>
      <c r="I771" s="21" t="str">
        <f t="shared" ref="I771:I834" si="51">IF(NOT(ISNUMBER(SEARCH("Comedy", C771))), "Not Comedy", "Comedy")</f>
        <v>Not Comedy</v>
      </c>
      <c r="J771" s="21" t="str">
        <f t="shared" si="48"/>
        <v>Old</v>
      </c>
    </row>
    <row r="772" spans="1:10" x14ac:dyDescent="0.35">
      <c r="A772" s="4" t="s">
        <v>1909</v>
      </c>
      <c r="B772" s="4" t="s">
        <v>1910</v>
      </c>
      <c r="C772" s="4" t="s">
        <v>178</v>
      </c>
      <c r="D772" s="20">
        <v>5.0999999999999996</v>
      </c>
      <c r="E772" s="4">
        <v>37534</v>
      </c>
      <c r="F772" s="4">
        <v>2003</v>
      </c>
      <c r="G772" s="21" t="str">
        <f t="shared" si="49"/>
        <v>Popular</v>
      </c>
      <c r="H772" s="21" t="str">
        <f t="shared" si="50"/>
        <v>Action or Drama</v>
      </c>
      <c r="I772" s="21" t="str">
        <f t="shared" si="51"/>
        <v>Comedy</v>
      </c>
      <c r="J772" s="21" t="str">
        <f t="shared" si="48"/>
        <v>Old</v>
      </c>
    </row>
    <row r="773" spans="1:10" x14ac:dyDescent="0.35">
      <c r="A773" s="4" t="s">
        <v>1460</v>
      </c>
      <c r="B773" s="4" t="s">
        <v>1461</v>
      </c>
      <c r="C773" s="4" t="s">
        <v>175</v>
      </c>
      <c r="D773" s="20">
        <v>4.8</v>
      </c>
      <c r="E773" s="4">
        <v>14227</v>
      </c>
      <c r="F773" s="4">
        <v>2002</v>
      </c>
      <c r="G773" s="21" t="str">
        <f t="shared" si="49"/>
        <v>Not Popular</v>
      </c>
      <c r="H773" s="21" t="str">
        <f t="shared" si="50"/>
        <v>Horror or Thriller</v>
      </c>
      <c r="I773" s="21" t="str">
        <f t="shared" si="51"/>
        <v>Not Comedy</v>
      </c>
      <c r="J773" s="21" t="str">
        <f t="shared" si="48"/>
        <v>Old</v>
      </c>
    </row>
    <row r="774" spans="1:10" x14ac:dyDescent="0.35">
      <c r="A774" s="4" t="s">
        <v>1304</v>
      </c>
      <c r="B774" s="4" t="s">
        <v>1305</v>
      </c>
      <c r="C774" s="4" t="s">
        <v>736</v>
      </c>
      <c r="D774" s="20">
        <v>4.7</v>
      </c>
      <c r="E774" s="4">
        <v>11142</v>
      </c>
      <c r="F774" s="4">
        <v>2002</v>
      </c>
      <c r="G774" s="21" t="str">
        <f t="shared" si="49"/>
        <v>Not Popular</v>
      </c>
      <c r="H774" s="21" t="str">
        <f t="shared" si="50"/>
        <v>Horror or Thriller</v>
      </c>
      <c r="I774" s="21" t="str">
        <f t="shared" si="51"/>
        <v>Not Comedy</v>
      </c>
      <c r="J774" s="21" t="str">
        <f t="shared" si="48"/>
        <v>Old</v>
      </c>
    </row>
    <row r="775" spans="1:10" x14ac:dyDescent="0.35">
      <c r="A775" s="4" t="s">
        <v>2150</v>
      </c>
      <c r="B775" s="4" t="s">
        <v>2151</v>
      </c>
      <c r="C775" s="4" t="s">
        <v>116</v>
      </c>
      <c r="D775" s="20">
        <v>5.2</v>
      </c>
      <c r="E775" s="4">
        <v>63432</v>
      </c>
      <c r="F775" s="4">
        <v>2002</v>
      </c>
      <c r="G775" s="21" t="str">
        <f t="shared" si="49"/>
        <v>Popular</v>
      </c>
      <c r="H775" s="21" t="str">
        <f t="shared" si="50"/>
        <v>Other</v>
      </c>
      <c r="I775" s="21" t="str">
        <f t="shared" si="51"/>
        <v>Comedy</v>
      </c>
      <c r="J775" s="21" t="str">
        <f t="shared" si="48"/>
        <v>Old</v>
      </c>
    </row>
    <row r="776" spans="1:10" x14ac:dyDescent="0.35">
      <c r="A776" s="4" t="s">
        <v>345</v>
      </c>
      <c r="B776" s="4" t="s">
        <v>346</v>
      </c>
      <c r="C776" s="4" t="s">
        <v>217</v>
      </c>
      <c r="D776" s="20">
        <v>3.4</v>
      </c>
      <c r="E776" s="4">
        <v>27733</v>
      </c>
      <c r="F776" s="4">
        <v>2002</v>
      </c>
      <c r="G776" s="21" t="str">
        <f t="shared" si="49"/>
        <v>Not Popular</v>
      </c>
      <c r="H776" s="21" t="str">
        <f t="shared" si="50"/>
        <v>Other</v>
      </c>
      <c r="I776" s="21" t="str">
        <f t="shared" si="51"/>
        <v>Comedy</v>
      </c>
      <c r="J776" s="21" t="str">
        <f t="shared" si="48"/>
        <v>Old</v>
      </c>
    </row>
    <row r="777" spans="1:10" x14ac:dyDescent="0.35">
      <c r="A777" s="4" t="s">
        <v>545</v>
      </c>
      <c r="B777" s="4" t="s">
        <v>546</v>
      </c>
      <c r="C777" s="4" t="s">
        <v>62</v>
      </c>
      <c r="D777" s="20">
        <v>3.9</v>
      </c>
      <c r="E777" s="4">
        <v>27338</v>
      </c>
      <c r="F777" s="4">
        <v>2002</v>
      </c>
      <c r="G777" s="21" t="str">
        <f t="shared" si="49"/>
        <v>Not Popular</v>
      </c>
      <c r="H777" s="21" t="str">
        <f t="shared" si="50"/>
        <v>Action or Drama</v>
      </c>
      <c r="I777" s="21" t="str">
        <f t="shared" si="51"/>
        <v>Comedy</v>
      </c>
      <c r="J777" s="21" t="str">
        <f t="shared" si="48"/>
        <v>Old</v>
      </c>
    </row>
    <row r="778" spans="1:10" x14ac:dyDescent="0.35">
      <c r="A778" s="4" t="s">
        <v>1961</v>
      </c>
      <c r="B778" s="4" t="s">
        <v>1962</v>
      </c>
      <c r="C778" s="4" t="s">
        <v>31</v>
      </c>
      <c r="D778" s="20">
        <v>5.0999999999999996</v>
      </c>
      <c r="E778" s="4">
        <v>21512</v>
      </c>
      <c r="F778" s="4">
        <v>2002</v>
      </c>
      <c r="G778" s="21" t="str">
        <f t="shared" si="49"/>
        <v>Popular</v>
      </c>
      <c r="H778" s="21" t="str">
        <f t="shared" si="50"/>
        <v>Action or Drama</v>
      </c>
      <c r="I778" s="21" t="str">
        <f t="shared" si="51"/>
        <v>Not Comedy</v>
      </c>
      <c r="J778" s="21" t="str">
        <f t="shared" si="48"/>
        <v>Old</v>
      </c>
    </row>
    <row r="779" spans="1:10" x14ac:dyDescent="0.35">
      <c r="A779" s="4" t="s">
        <v>419</v>
      </c>
      <c r="B779" s="4" t="s">
        <v>420</v>
      </c>
      <c r="C779" s="4" t="s">
        <v>116</v>
      </c>
      <c r="D779" s="20">
        <v>3.6</v>
      </c>
      <c r="E779" s="4">
        <v>18142</v>
      </c>
      <c r="F779" s="4">
        <v>2002</v>
      </c>
      <c r="G779" s="21" t="str">
        <f t="shared" si="49"/>
        <v>Not Popular</v>
      </c>
      <c r="H779" s="21" t="str">
        <f t="shared" si="50"/>
        <v>Other</v>
      </c>
      <c r="I779" s="21" t="str">
        <f t="shared" si="51"/>
        <v>Comedy</v>
      </c>
      <c r="J779" s="21" t="str">
        <f t="shared" si="48"/>
        <v>Old</v>
      </c>
    </row>
    <row r="780" spans="1:10" x14ac:dyDescent="0.35">
      <c r="A780" s="4" t="s">
        <v>2032</v>
      </c>
      <c r="B780" s="4" t="s">
        <v>2033</v>
      </c>
      <c r="C780" s="4" t="s">
        <v>214</v>
      </c>
      <c r="D780" s="20">
        <v>5.0999999999999996</v>
      </c>
      <c r="E780" s="4">
        <v>13878</v>
      </c>
      <c r="F780" s="4">
        <v>2002</v>
      </c>
      <c r="G780" s="21" t="str">
        <f t="shared" si="49"/>
        <v>Popular</v>
      </c>
      <c r="H780" s="21" t="str">
        <f t="shared" si="50"/>
        <v>Other</v>
      </c>
      <c r="I780" s="21" t="str">
        <f t="shared" si="51"/>
        <v>Comedy</v>
      </c>
      <c r="J780" s="21" t="str">
        <f t="shared" si="48"/>
        <v>Old</v>
      </c>
    </row>
    <row r="781" spans="1:10" x14ac:dyDescent="0.35">
      <c r="A781" s="4" t="s">
        <v>284</v>
      </c>
      <c r="B781" s="4" t="s">
        <v>285</v>
      </c>
      <c r="C781" s="4" t="s">
        <v>286</v>
      </c>
      <c r="D781" s="20">
        <v>3.1</v>
      </c>
      <c r="E781" s="4">
        <v>30005</v>
      </c>
      <c r="F781" s="4">
        <v>2002</v>
      </c>
      <c r="G781" s="21" t="str">
        <f t="shared" si="49"/>
        <v>Not Popular</v>
      </c>
      <c r="H781" s="21" t="str">
        <f t="shared" si="50"/>
        <v>Action or Drama</v>
      </c>
      <c r="I781" s="21" t="str">
        <f t="shared" si="51"/>
        <v>Not Comedy</v>
      </c>
      <c r="J781" s="21" t="str">
        <f t="shared" si="48"/>
        <v>Old</v>
      </c>
    </row>
    <row r="782" spans="1:10" x14ac:dyDescent="0.35">
      <c r="A782" s="4" t="s">
        <v>191</v>
      </c>
      <c r="B782" s="4" t="s">
        <v>192</v>
      </c>
      <c r="C782" s="4" t="s">
        <v>193</v>
      </c>
      <c r="D782" s="20">
        <v>2.6</v>
      </c>
      <c r="E782" s="4">
        <v>40098</v>
      </c>
      <c r="F782" s="4">
        <v>2002</v>
      </c>
      <c r="G782" s="21" t="str">
        <f t="shared" si="49"/>
        <v>Not Popular</v>
      </c>
      <c r="H782" s="21" t="str">
        <f t="shared" si="50"/>
        <v>Other</v>
      </c>
      <c r="I782" s="21" t="str">
        <f t="shared" si="51"/>
        <v>Comedy</v>
      </c>
      <c r="J782" s="21" t="str">
        <f t="shared" si="48"/>
        <v>Old</v>
      </c>
    </row>
    <row r="783" spans="1:10" x14ac:dyDescent="0.35">
      <c r="A783" s="4" t="s">
        <v>1626</v>
      </c>
      <c r="B783" s="4" t="s">
        <v>1627</v>
      </c>
      <c r="C783" s="4" t="s">
        <v>175</v>
      </c>
      <c r="D783" s="20">
        <v>4.9000000000000004</v>
      </c>
      <c r="E783" s="4">
        <v>14869</v>
      </c>
      <c r="F783" s="4">
        <v>2002</v>
      </c>
      <c r="G783" s="21" t="str">
        <f t="shared" si="49"/>
        <v>Not Popular</v>
      </c>
      <c r="H783" s="21" t="str">
        <f t="shared" si="50"/>
        <v>Horror or Thriller</v>
      </c>
      <c r="I783" s="21" t="str">
        <f t="shared" si="51"/>
        <v>Not Comedy</v>
      </c>
      <c r="J783" s="21" t="str">
        <f t="shared" si="48"/>
        <v>Old</v>
      </c>
    </row>
    <row r="784" spans="1:10" x14ac:dyDescent="0.35">
      <c r="A784" s="4" t="s">
        <v>529</v>
      </c>
      <c r="B784" s="4" t="s">
        <v>530</v>
      </c>
      <c r="C784" s="4" t="s">
        <v>82</v>
      </c>
      <c r="D784" s="20">
        <v>3.9</v>
      </c>
      <c r="E784" s="4">
        <v>50725</v>
      </c>
      <c r="F784" s="4">
        <v>2002</v>
      </c>
      <c r="G784" s="21" t="str">
        <f t="shared" si="49"/>
        <v>Not Popular</v>
      </c>
      <c r="H784" s="21" t="str">
        <f t="shared" si="50"/>
        <v>Horror or Thriller</v>
      </c>
      <c r="I784" s="21" t="str">
        <f t="shared" si="51"/>
        <v>Not Comedy</v>
      </c>
      <c r="J784" s="21" t="str">
        <f t="shared" si="48"/>
        <v>Old</v>
      </c>
    </row>
    <row r="785" spans="1:10" x14ac:dyDescent="0.35">
      <c r="A785" s="4" t="s">
        <v>1103</v>
      </c>
      <c r="B785" s="4" t="s">
        <v>1104</v>
      </c>
      <c r="C785" s="4" t="s">
        <v>101</v>
      </c>
      <c r="D785" s="20">
        <v>4.5999999999999996</v>
      </c>
      <c r="E785" s="4">
        <v>17006</v>
      </c>
      <c r="F785" s="4">
        <v>2002</v>
      </c>
      <c r="G785" s="21" t="str">
        <f t="shared" si="49"/>
        <v>Not Popular</v>
      </c>
      <c r="H785" s="21" t="str">
        <f t="shared" si="50"/>
        <v>Action or Drama</v>
      </c>
      <c r="I785" s="21" t="str">
        <f t="shared" si="51"/>
        <v>Not Comedy</v>
      </c>
      <c r="J785" s="21" t="str">
        <f t="shared" si="48"/>
        <v>Old</v>
      </c>
    </row>
    <row r="786" spans="1:10" x14ac:dyDescent="0.35">
      <c r="A786" s="4" t="s">
        <v>1300</v>
      </c>
      <c r="B786" s="4" t="s">
        <v>1301</v>
      </c>
      <c r="C786" s="4" t="s">
        <v>116</v>
      </c>
      <c r="D786" s="20">
        <v>4.7</v>
      </c>
      <c r="E786" s="4">
        <v>11368</v>
      </c>
      <c r="F786" s="4">
        <v>2002</v>
      </c>
      <c r="G786" s="21" t="str">
        <f t="shared" si="49"/>
        <v>Not Popular</v>
      </c>
      <c r="H786" s="21" t="str">
        <f t="shared" si="50"/>
        <v>Other</v>
      </c>
      <c r="I786" s="21" t="str">
        <f t="shared" si="51"/>
        <v>Comedy</v>
      </c>
      <c r="J786" s="21" t="str">
        <f t="shared" si="48"/>
        <v>Old</v>
      </c>
    </row>
    <row r="787" spans="1:10" x14ac:dyDescent="0.35">
      <c r="A787" s="4" t="s">
        <v>350</v>
      </c>
      <c r="B787" s="4" t="s">
        <v>351</v>
      </c>
      <c r="C787" s="4" t="s">
        <v>352</v>
      </c>
      <c r="D787" s="20">
        <v>3.4</v>
      </c>
      <c r="E787" s="4">
        <v>23043</v>
      </c>
      <c r="F787" s="4">
        <v>2002</v>
      </c>
      <c r="G787" s="21" t="str">
        <f t="shared" si="49"/>
        <v>Not Popular</v>
      </c>
      <c r="H787" s="21" t="str">
        <f t="shared" si="50"/>
        <v>Horror or Thriller</v>
      </c>
      <c r="I787" s="21" t="str">
        <f t="shared" si="51"/>
        <v>Not Comedy</v>
      </c>
      <c r="J787" s="21" t="str">
        <f t="shared" si="48"/>
        <v>Old</v>
      </c>
    </row>
    <row r="788" spans="1:10" x14ac:dyDescent="0.35">
      <c r="A788" s="4" t="s">
        <v>490</v>
      </c>
      <c r="B788" s="4" t="s">
        <v>491</v>
      </c>
      <c r="C788" s="4" t="s">
        <v>128</v>
      </c>
      <c r="D788" s="20">
        <v>3.8</v>
      </c>
      <c r="E788" s="4">
        <v>45106</v>
      </c>
      <c r="F788" s="4">
        <v>2002</v>
      </c>
      <c r="G788" s="21" t="str">
        <f t="shared" si="49"/>
        <v>Not Popular</v>
      </c>
      <c r="H788" s="21" t="str">
        <f t="shared" si="50"/>
        <v>Action or Drama</v>
      </c>
      <c r="I788" s="21" t="str">
        <f t="shared" si="51"/>
        <v>Comedy</v>
      </c>
      <c r="J788" s="21" t="str">
        <f t="shared" si="48"/>
        <v>Old</v>
      </c>
    </row>
    <row r="789" spans="1:10" x14ac:dyDescent="0.35">
      <c r="A789" s="4" t="s">
        <v>1794</v>
      </c>
      <c r="B789" s="4" t="s">
        <v>1795</v>
      </c>
      <c r="C789" s="4" t="s">
        <v>1796</v>
      </c>
      <c r="D789" s="20">
        <v>5</v>
      </c>
      <c r="E789" s="4">
        <v>14209</v>
      </c>
      <c r="F789" s="4">
        <v>2002</v>
      </c>
      <c r="G789" s="21" t="str">
        <f t="shared" si="49"/>
        <v>Not Popular</v>
      </c>
      <c r="H789" s="21" t="str">
        <f t="shared" si="50"/>
        <v>Other</v>
      </c>
      <c r="I789" s="21" t="str">
        <f t="shared" si="51"/>
        <v>Not Comedy</v>
      </c>
      <c r="J789" s="21" t="str">
        <f t="shared" si="48"/>
        <v>Old</v>
      </c>
    </row>
    <row r="790" spans="1:10" x14ac:dyDescent="0.35">
      <c r="A790" s="4" t="s">
        <v>1575</v>
      </c>
      <c r="B790" s="4" t="s">
        <v>1576</v>
      </c>
      <c r="C790" s="4" t="s">
        <v>11</v>
      </c>
      <c r="D790" s="20">
        <v>4.9000000000000004</v>
      </c>
      <c r="E790" s="4">
        <v>32630</v>
      </c>
      <c r="F790" s="4">
        <v>2002</v>
      </c>
      <c r="G790" s="21" t="str">
        <f t="shared" si="49"/>
        <v>Not Popular</v>
      </c>
      <c r="H790" s="21" t="str">
        <f t="shared" si="50"/>
        <v>Other</v>
      </c>
      <c r="I790" s="21" t="str">
        <f t="shared" si="51"/>
        <v>Comedy</v>
      </c>
      <c r="J790" s="21" t="str">
        <f t="shared" si="48"/>
        <v>Old</v>
      </c>
    </row>
    <row r="791" spans="1:10" x14ac:dyDescent="0.35">
      <c r="A791" s="4" t="s">
        <v>460</v>
      </c>
      <c r="B791" s="4" t="s">
        <v>461</v>
      </c>
      <c r="C791" s="4" t="s">
        <v>462</v>
      </c>
      <c r="D791" s="20">
        <v>3.7</v>
      </c>
      <c r="E791" s="4">
        <v>21267</v>
      </c>
      <c r="F791" s="4">
        <v>2002</v>
      </c>
      <c r="G791" s="21" t="str">
        <f t="shared" si="49"/>
        <v>Not Popular</v>
      </c>
      <c r="H791" s="21" t="str">
        <f t="shared" si="50"/>
        <v>Action or Drama</v>
      </c>
      <c r="I791" s="21" t="str">
        <f t="shared" si="51"/>
        <v>Not Comedy</v>
      </c>
      <c r="J791" s="21" t="str">
        <f t="shared" si="48"/>
        <v>Old</v>
      </c>
    </row>
    <row r="792" spans="1:10" x14ac:dyDescent="0.35">
      <c r="A792" s="4" t="s">
        <v>2086</v>
      </c>
      <c r="B792" s="4" t="s">
        <v>2087</v>
      </c>
      <c r="C792" s="4" t="s">
        <v>146</v>
      </c>
      <c r="D792" s="20">
        <v>5.0999999999999996</v>
      </c>
      <c r="E792" s="4">
        <v>10231</v>
      </c>
      <c r="F792" s="4">
        <v>2002</v>
      </c>
      <c r="G792" s="21" t="str">
        <f t="shared" si="49"/>
        <v>Popular</v>
      </c>
      <c r="H792" s="21" t="str">
        <f t="shared" si="50"/>
        <v>Action or Drama</v>
      </c>
      <c r="I792" s="21" t="str">
        <f t="shared" si="51"/>
        <v>Comedy</v>
      </c>
      <c r="J792" s="21" t="str">
        <f t="shared" si="48"/>
        <v>Old</v>
      </c>
    </row>
    <row r="793" spans="1:10" x14ac:dyDescent="0.35">
      <c r="A793" s="4" t="s">
        <v>463</v>
      </c>
      <c r="B793" s="4" t="s">
        <v>464</v>
      </c>
      <c r="C793" s="4" t="s">
        <v>82</v>
      </c>
      <c r="D793" s="20">
        <v>3.7</v>
      </c>
      <c r="E793" s="4">
        <v>18409</v>
      </c>
      <c r="F793" s="4">
        <v>2002</v>
      </c>
      <c r="G793" s="21" t="str">
        <f t="shared" si="49"/>
        <v>Not Popular</v>
      </c>
      <c r="H793" s="21" t="str">
        <f t="shared" si="50"/>
        <v>Horror or Thriller</v>
      </c>
      <c r="I793" s="21" t="str">
        <f t="shared" si="51"/>
        <v>Not Comedy</v>
      </c>
      <c r="J793" s="21" t="str">
        <f t="shared" si="48"/>
        <v>Old</v>
      </c>
    </row>
    <row r="794" spans="1:10" x14ac:dyDescent="0.35">
      <c r="A794" s="4" t="s">
        <v>775</v>
      </c>
      <c r="B794" s="4" t="s">
        <v>776</v>
      </c>
      <c r="C794" s="4" t="s">
        <v>777</v>
      </c>
      <c r="D794" s="20">
        <v>4.3</v>
      </c>
      <c r="E794" s="4">
        <v>22352</v>
      </c>
      <c r="F794" s="4">
        <v>2002</v>
      </c>
      <c r="G794" s="21" t="str">
        <f t="shared" si="49"/>
        <v>Not Popular</v>
      </c>
      <c r="H794" s="21" t="str">
        <f t="shared" si="50"/>
        <v>Other</v>
      </c>
      <c r="I794" s="21" t="str">
        <f t="shared" si="51"/>
        <v>Not Comedy</v>
      </c>
      <c r="J794" s="21" t="str">
        <f t="shared" si="48"/>
        <v>Old</v>
      </c>
    </row>
    <row r="795" spans="1:10" x14ac:dyDescent="0.35">
      <c r="A795" s="4" t="s">
        <v>1515</v>
      </c>
      <c r="B795" s="4" t="s">
        <v>1516</v>
      </c>
      <c r="C795" s="4" t="s">
        <v>933</v>
      </c>
      <c r="D795" s="20">
        <v>4.8</v>
      </c>
      <c r="E795" s="4">
        <v>10241</v>
      </c>
      <c r="F795" s="4">
        <v>2002</v>
      </c>
      <c r="G795" s="21" t="str">
        <f t="shared" si="49"/>
        <v>Not Popular</v>
      </c>
      <c r="H795" s="21" t="str">
        <f t="shared" si="50"/>
        <v>Action or Drama</v>
      </c>
      <c r="I795" s="21" t="str">
        <f t="shared" si="51"/>
        <v>Not Comedy</v>
      </c>
      <c r="J795" s="21" t="str">
        <f t="shared" ref="J795:J858" si="52">IF(F795&gt;2020, "Recent", "Old")</f>
        <v>Old</v>
      </c>
    </row>
    <row r="796" spans="1:10" x14ac:dyDescent="0.35">
      <c r="A796" s="4" t="s">
        <v>1577</v>
      </c>
      <c r="B796" s="4" t="s">
        <v>1578</v>
      </c>
      <c r="C796" s="4" t="s">
        <v>175</v>
      </c>
      <c r="D796" s="20">
        <v>4.9000000000000004</v>
      </c>
      <c r="E796" s="4">
        <v>30687</v>
      </c>
      <c r="F796" s="4">
        <v>2001</v>
      </c>
      <c r="G796" s="21" t="str">
        <f t="shared" si="49"/>
        <v>Not Popular</v>
      </c>
      <c r="H796" s="21" t="str">
        <f t="shared" si="50"/>
        <v>Horror or Thriller</v>
      </c>
      <c r="I796" s="21" t="str">
        <f t="shared" si="51"/>
        <v>Not Comedy</v>
      </c>
      <c r="J796" s="21" t="str">
        <f t="shared" si="52"/>
        <v>Old</v>
      </c>
    </row>
    <row r="797" spans="1:10" x14ac:dyDescent="0.35">
      <c r="A797" s="4" t="s">
        <v>1270</v>
      </c>
      <c r="B797" s="4" t="s">
        <v>1271</v>
      </c>
      <c r="C797" s="4" t="s">
        <v>1272</v>
      </c>
      <c r="D797" s="20">
        <v>4.7</v>
      </c>
      <c r="E797" s="4">
        <v>15158</v>
      </c>
      <c r="F797" s="4">
        <v>2001</v>
      </c>
      <c r="G797" s="21" t="str">
        <f t="shared" si="49"/>
        <v>Not Popular</v>
      </c>
      <c r="H797" s="21" t="str">
        <f t="shared" si="50"/>
        <v>Action or Drama</v>
      </c>
      <c r="I797" s="21" t="str">
        <f t="shared" si="51"/>
        <v>Not Comedy</v>
      </c>
      <c r="J797" s="21" t="str">
        <f t="shared" si="52"/>
        <v>Old</v>
      </c>
    </row>
    <row r="798" spans="1:10" x14ac:dyDescent="0.35">
      <c r="A798" s="4" t="s">
        <v>1332</v>
      </c>
      <c r="B798" s="4" t="s">
        <v>1333</v>
      </c>
      <c r="C798" s="4" t="s">
        <v>104</v>
      </c>
      <c r="D798" s="20">
        <v>4.8</v>
      </c>
      <c r="E798" s="4">
        <v>64742</v>
      </c>
      <c r="F798" s="4">
        <v>2001</v>
      </c>
      <c r="G798" s="21" t="str">
        <f t="shared" si="49"/>
        <v>Not Popular</v>
      </c>
      <c r="H798" s="21" t="str">
        <f t="shared" si="50"/>
        <v>Other</v>
      </c>
      <c r="I798" s="21" t="str">
        <f t="shared" si="51"/>
        <v>Comedy</v>
      </c>
      <c r="J798" s="21" t="str">
        <f t="shared" si="52"/>
        <v>Old</v>
      </c>
    </row>
    <row r="799" spans="1:10" x14ac:dyDescent="0.35">
      <c r="A799" s="4" t="s">
        <v>1999</v>
      </c>
      <c r="B799" s="4" t="s">
        <v>2000</v>
      </c>
      <c r="C799" s="4" t="s">
        <v>128</v>
      </c>
      <c r="D799" s="20">
        <v>5.0999999999999996</v>
      </c>
      <c r="E799" s="4">
        <v>16811</v>
      </c>
      <c r="F799" s="4">
        <v>2001</v>
      </c>
      <c r="G799" s="21" t="str">
        <f t="shared" si="49"/>
        <v>Popular</v>
      </c>
      <c r="H799" s="21" t="str">
        <f t="shared" si="50"/>
        <v>Action or Drama</v>
      </c>
      <c r="I799" s="21" t="str">
        <f t="shared" si="51"/>
        <v>Comedy</v>
      </c>
      <c r="J799" s="21" t="str">
        <f t="shared" si="52"/>
        <v>Old</v>
      </c>
    </row>
    <row r="800" spans="1:10" x14ac:dyDescent="0.35">
      <c r="A800" s="4" t="s">
        <v>1797</v>
      </c>
      <c r="B800" s="4" t="s">
        <v>1798</v>
      </c>
      <c r="C800" s="4" t="s">
        <v>116</v>
      </c>
      <c r="D800" s="20">
        <v>5</v>
      </c>
      <c r="E800" s="4">
        <v>13897</v>
      </c>
      <c r="F800" s="4">
        <v>2001</v>
      </c>
      <c r="G800" s="21" t="str">
        <f t="shared" si="49"/>
        <v>Not Popular</v>
      </c>
      <c r="H800" s="21" t="str">
        <f t="shared" si="50"/>
        <v>Other</v>
      </c>
      <c r="I800" s="21" t="str">
        <f t="shared" si="51"/>
        <v>Comedy</v>
      </c>
      <c r="J800" s="21" t="str">
        <f t="shared" si="52"/>
        <v>Old</v>
      </c>
    </row>
    <row r="801" spans="1:10" x14ac:dyDescent="0.35">
      <c r="A801" s="4" t="s">
        <v>1416</v>
      </c>
      <c r="B801" s="4" t="s">
        <v>1417</v>
      </c>
      <c r="C801" s="4" t="s">
        <v>227</v>
      </c>
      <c r="D801" s="20">
        <v>4.8</v>
      </c>
      <c r="E801" s="4">
        <v>19460</v>
      </c>
      <c r="F801" s="4">
        <v>2001</v>
      </c>
      <c r="G801" s="21" t="str">
        <f t="shared" si="49"/>
        <v>Not Popular</v>
      </c>
      <c r="H801" s="21" t="str">
        <f t="shared" si="50"/>
        <v>Other</v>
      </c>
      <c r="I801" s="21" t="str">
        <f t="shared" si="51"/>
        <v>Comedy</v>
      </c>
      <c r="J801" s="21" t="str">
        <f t="shared" si="52"/>
        <v>Old</v>
      </c>
    </row>
    <row r="802" spans="1:10" x14ac:dyDescent="0.35">
      <c r="A802" s="4" t="s">
        <v>936</v>
      </c>
      <c r="B802" s="4" t="s">
        <v>937</v>
      </c>
      <c r="C802" s="4" t="s">
        <v>155</v>
      </c>
      <c r="D802" s="20">
        <v>4.5</v>
      </c>
      <c r="E802" s="4">
        <v>63098</v>
      </c>
      <c r="F802" s="4">
        <v>2001</v>
      </c>
      <c r="G802" s="21" t="str">
        <f t="shared" si="49"/>
        <v>Not Popular</v>
      </c>
      <c r="H802" s="21" t="str">
        <f t="shared" si="50"/>
        <v>Action or Drama</v>
      </c>
      <c r="I802" s="21" t="str">
        <f t="shared" si="51"/>
        <v>Not Comedy</v>
      </c>
      <c r="J802" s="21" t="str">
        <f t="shared" si="52"/>
        <v>Old</v>
      </c>
    </row>
    <row r="803" spans="1:10" x14ac:dyDescent="0.35">
      <c r="A803" s="4" t="s">
        <v>156</v>
      </c>
      <c r="B803" s="4" t="s">
        <v>157</v>
      </c>
      <c r="C803" s="4" t="s">
        <v>158</v>
      </c>
      <c r="D803" s="20">
        <v>2.4</v>
      </c>
      <c r="E803" s="4">
        <v>24198</v>
      </c>
      <c r="F803" s="4">
        <v>2001</v>
      </c>
      <c r="G803" s="21" t="str">
        <f t="shared" si="49"/>
        <v>Not Popular</v>
      </c>
      <c r="H803" s="21" t="str">
        <f t="shared" si="50"/>
        <v>Action or Drama</v>
      </c>
      <c r="I803" s="21" t="str">
        <f t="shared" si="51"/>
        <v>Not Comedy</v>
      </c>
      <c r="J803" s="21" t="str">
        <f t="shared" si="52"/>
        <v>Old</v>
      </c>
    </row>
    <row r="804" spans="1:10" x14ac:dyDescent="0.35">
      <c r="A804" s="4" t="s">
        <v>1545</v>
      </c>
      <c r="B804" s="4" t="s">
        <v>1546</v>
      </c>
      <c r="C804" s="4" t="s">
        <v>155</v>
      </c>
      <c r="D804" s="20">
        <v>4.9000000000000004</v>
      </c>
      <c r="E804" s="4">
        <v>58866</v>
      </c>
      <c r="F804" s="4">
        <v>2001</v>
      </c>
      <c r="G804" s="21" t="str">
        <f t="shared" si="49"/>
        <v>Not Popular</v>
      </c>
      <c r="H804" s="21" t="str">
        <f t="shared" si="50"/>
        <v>Action or Drama</v>
      </c>
      <c r="I804" s="21" t="str">
        <f t="shared" si="51"/>
        <v>Not Comedy</v>
      </c>
      <c r="J804" s="21" t="str">
        <f t="shared" si="52"/>
        <v>Old</v>
      </c>
    </row>
    <row r="805" spans="1:10" x14ac:dyDescent="0.35">
      <c r="A805" s="4" t="s">
        <v>1183</v>
      </c>
      <c r="B805" s="4" t="s">
        <v>1184</v>
      </c>
      <c r="C805" s="4" t="s">
        <v>11</v>
      </c>
      <c r="D805" s="20">
        <v>4.7</v>
      </c>
      <c r="E805" s="4">
        <v>52219</v>
      </c>
      <c r="F805" s="4">
        <v>2001</v>
      </c>
      <c r="G805" s="21" t="str">
        <f t="shared" si="49"/>
        <v>Not Popular</v>
      </c>
      <c r="H805" s="21" t="str">
        <f t="shared" si="50"/>
        <v>Other</v>
      </c>
      <c r="I805" s="21" t="str">
        <f t="shared" si="51"/>
        <v>Comedy</v>
      </c>
      <c r="J805" s="21" t="str">
        <f t="shared" si="52"/>
        <v>Old</v>
      </c>
    </row>
    <row r="806" spans="1:10" x14ac:dyDescent="0.35">
      <c r="A806" s="4" t="s">
        <v>1046</v>
      </c>
      <c r="B806" s="4" t="s">
        <v>1047</v>
      </c>
      <c r="C806" s="4" t="s">
        <v>1048</v>
      </c>
      <c r="D806" s="20">
        <v>4.5999999999999996</v>
      </c>
      <c r="E806" s="4">
        <v>43600</v>
      </c>
      <c r="F806" s="4">
        <v>2001</v>
      </c>
      <c r="G806" s="21" t="str">
        <f t="shared" si="49"/>
        <v>Not Popular</v>
      </c>
      <c r="H806" s="21" t="str">
        <f t="shared" si="50"/>
        <v>Action or Drama</v>
      </c>
      <c r="I806" s="21" t="str">
        <f t="shared" si="51"/>
        <v>Not Comedy</v>
      </c>
      <c r="J806" s="21" t="str">
        <f t="shared" si="52"/>
        <v>Old</v>
      </c>
    </row>
    <row r="807" spans="1:10" x14ac:dyDescent="0.35">
      <c r="A807" s="4" t="s">
        <v>1191</v>
      </c>
      <c r="B807" s="4" t="s">
        <v>1192</v>
      </c>
      <c r="C807" s="4" t="s">
        <v>140</v>
      </c>
      <c r="D807" s="20">
        <v>4.7</v>
      </c>
      <c r="E807" s="4">
        <v>48063</v>
      </c>
      <c r="F807" s="4">
        <v>2001</v>
      </c>
      <c r="G807" s="21" t="str">
        <f t="shared" si="49"/>
        <v>Not Popular</v>
      </c>
      <c r="H807" s="21" t="str">
        <f t="shared" si="50"/>
        <v>Other</v>
      </c>
      <c r="I807" s="21" t="str">
        <f t="shared" si="51"/>
        <v>Comedy</v>
      </c>
      <c r="J807" s="21" t="str">
        <f t="shared" si="52"/>
        <v>Old</v>
      </c>
    </row>
    <row r="808" spans="1:10" x14ac:dyDescent="0.35">
      <c r="A808" s="4" t="s">
        <v>1385</v>
      </c>
      <c r="B808" s="4" t="s">
        <v>1386</v>
      </c>
      <c r="C808" s="4" t="s">
        <v>178</v>
      </c>
      <c r="D808" s="20">
        <v>4.8</v>
      </c>
      <c r="E808" s="4">
        <v>26542</v>
      </c>
      <c r="F808" s="4">
        <v>2001</v>
      </c>
      <c r="G808" s="21" t="str">
        <f t="shared" si="49"/>
        <v>Not Popular</v>
      </c>
      <c r="H808" s="21" t="str">
        <f t="shared" si="50"/>
        <v>Action or Drama</v>
      </c>
      <c r="I808" s="21" t="str">
        <f t="shared" si="51"/>
        <v>Comedy</v>
      </c>
      <c r="J808" s="21" t="str">
        <f t="shared" si="52"/>
        <v>Old</v>
      </c>
    </row>
    <row r="809" spans="1:10" x14ac:dyDescent="0.35">
      <c r="A809" s="4" t="s">
        <v>1284</v>
      </c>
      <c r="B809" s="4" t="s">
        <v>1285</v>
      </c>
      <c r="C809" s="4" t="s">
        <v>214</v>
      </c>
      <c r="D809" s="20">
        <v>4.7</v>
      </c>
      <c r="E809" s="4">
        <v>13867</v>
      </c>
      <c r="F809" s="4">
        <v>2001</v>
      </c>
      <c r="G809" s="21" t="str">
        <f t="shared" si="49"/>
        <v>Not Popular</v>
      </c>
      <c r="H809" s="21" t="str">
        <f t="shared" si="50"/>
        <v>Other</v>
      </c>
      <c r="I809" s="21" t="str">
        <f t="shared" si="51"/>
        <v>Comedy</v>
      </c>
      <c r="J809" s="21" t="str">
        <f t="shared" si="52"/>
        <v>Old</v>
      </c>
    </row>
    <row r="810" spans="1:10" x14ac:dyDescent="0.35">
      <c r="A810" s="4" t="s">
        <v>2152</v>
      </c>
      <c r="B810" s="4" t="s">
        <v>2153</v>
      </c>
      <c r="C810" s="4" t="s">
        <v>178</v>
      </c>
      <c r="D810" s="20">
        <v>5.2</v>
      </c>
      <c r="E810" s="4">
        <v>63312</v>
      </c>
      <c r="F810" s="4">
        <v>2001</v>
      </c>
      <c r="G810" s="21" t="str">
        <f t="shared" si="49"/>
        <v>Popular</v>
      </c>
      <c r="H810" s="21" t="str">
        <f t="shared" si="50"/>
        <v>Action or Drama</v>
      </c>
      <c r="I810" s="21" t="str">
        <f t="shared" si="51"/>
        <v>Comedy</v>
      </c>
      <c r="J810" s="21" t="str">
        <f t="shared" si="52"/>
        <v>Old</v>
      </c>
    </row>
    <row r="811" spans="1:10" x14ac:dyDescent="0.35">
      <c r="A811" s="4" t="s">
        <v>1565</v>
      </c>
      <c r="B811" s="4" t="s">
        <v>1566</v>
      </c>
      <c r="C811" s="4" t="s">
        <v>152</v>
      </c>
      <c r="D811" s="20">
        <v>4.9000000000000004</v>
      </c>
      <c r="E811" s="4">
        <v>43983</v>
      </c>
      <c r="F811" s="4">
        <v>2001</v>
      </c>
      <c r="G811" s="21" t="str">
        <f t="shared" si="49"/>
        <v>Not Popular</v>
      </c>
      <c r="H811" s="21" t="str">
        <f t="shared" si="50"/>
        <v>Other</v>
      </c>
      <c r="I811" s="21" t="str">
        <f t="shared" si="51"/>
        <v>Comedy</v>
      </c>
      <c r="J811" s="21" t="str">
        <f t="shared" si="52"/>
        <v>Old</v>
      </c>
    </row>
    <row r="812" spans="1:10" x14ac:dyDescent="0.35">
      <c r="A812" s="4" t="s">
        <v>882</v>
      </c>
      <c r="B812" s="4" t="s">
        <v>883</v>
      </c>
      <c r="C812" s="4" t="s">
        <v>448</v>
      </c>
      <c r="D812" s="20">
        <v>4.4000000000000004</v>
      </c>
      <c r="E812" s="4">
        <v>19287</v>
      </c>
      <c r="F812" s="4">
        <v>2000</v>
      </c>
      <c r="G812" s="21" t="str">
        <f t="shared" si="49"/>
        <v>Not Popular</v>
      </c>
      <c r="H812" s="21" t="str">
        <f t="shared" si="50"/>
        <v>Horror or Thriller</v>
      </c>
      <c r="I812" s="21" t="str">
        <f t="shared" si="51"/>
        <v>Not Comedy</v>
      </c>
      <c r="J812" s="21" t="str">
        <f t="shared" si="52"/>
        <v>Old</v>
      </c>
    </row>
    <row r="813" spans="1:10" x14ac:dyDescent="0.35">
      <c r="A813" s="4" t="s">
        <v>1298</v>
      </c>
      <c r="B813" s="4" t="s">
        <v>1299</v>
      </c>
      <c r="C813" s="4" t="s">
        <v>128</v>
      </c>
      <c r="D813" s="20">
        <v>4.7</v>
      </c>
      <c r="E813" s="4">
        <v>11815</v>
      </c>
      <c r="F813" s="4">
        <v>2000</v>
      </c>
      <c r="G813" s="21" t="str">
        <f t="shared" si="49"/>
        <v>Not Popular</v>
      </c>
      <c r="H813" s="21" t="str">
        <f t="shared" si="50"/>
        <v>Action or Drama</v>
      </c>
      <c r="I813" s="21" t="str">
        <f t="shared" si="51"/>
        <v>Comedy</v>
      </c>
      <c r="J813" s="21" t="str">
        <f t="shared" si="52"/>
        <v>Old</v>
      </c>
    </row>
    <row r="814" spans="1:10" x14ac:dyDescent="0.35">
      <c r="A814" s="4" t="s">
        <v>453</v>
      </c>
      <c r="B814" s="4" t="s">
        <v>454</v>
      </c>
      <c r="C814" s="4" t="s">
        <v>455</v>
      </c>
      <c r="D814" s="20">
        <v>3.7</v>
      </c>
      <c r="E814" s="4">
        <v>25926</v>
      </c>
      <c r="F814" s="4">
        <v>2000</v>
      </c>
      <c r="G814" s="21" t="str">
        <f t="shared" si="49"/>
        <v>Not Popular</v>
      </c>
      <c r="H814" s="21" t="str">
        <f t="shared" si="50"/>
        <v>Other</v>
      </c>
      <c r="I814" s="21" t="str">
        <f t="shared" si="51"/>
        <v>Comedy</v>
      </c>
      <c r="J814" s="21" t="str">
        <f t="shared" si="52"/>
        <v>Old</v>
      </c>
    </row>
    <row r="815" spans="1:10" x14ac:dyDescent="0.35">
      <c r="A815" s="4" t="s">
        <v>1638</v>
      </c>
      <c r="B815" s="4" t="s">
        <v>1639</v>
      </c>
      <c r="C815" s="4" t="s">
        <v>338</v>
      </c>
      <c r="D815" s="20">
        <v>4.9000000000000004</v>
      </c>
      <c r="E815" s="4">
        <v>13059</v>
      </c>
      <c r="F815" s="4">
        <v>2000</v>
      </c>
      <c r="G815" s="21" t="str">
        <f t="shared" si="49"/>
        <v>Not Popular</v>
      </c>
      <c r="H815" s="21" t="str">
        <f t="shared" si="50"/>
        <v>Action or Drama</v>
      </c>
      <c r="I815" s="21" t="str">
        <f t="shared" si="51"/>
        <v>Not Comedy</v>
      </c>
      <c r="J815" s="21" t="str">
        <f t="shared" si="52"/>
        <v>Old</v>
      </c>
    </row>
    <row r="816" spans="1:10" x14ac:dyDescent="0.35">
      <c r="A816" s="4" t="s">
        <v>780</v>
      </c>
      <c r="B816" s="4" t="s">
        <v>781</v>
      </c>
      <c r="C816" s="4" t="s">
        <v>217</v>
      </c>
      <c r="D816" s="20">
        <v>4.3</v>
      </c>
      <c r="E816" s="4">
        <v>21396</v>
      </c>
      <c r="F816" s="4">
        <v>2000</v>
      </c>
      <c r="G816" s="21" t="str">
        <f t="shared" si="49"/>
        <v>Not Popular</v>
      </c>
      <c r="H816" s="21" t="str">
        <f t="shared" si="50"/>
        <v>Other</v>
      </c>
      <c r="I816" s="21" t="str">
        <f t="shared" si="51"/>
        <v>Comedy</v>
      </c>
      <c r="J816" s="21" t="str">
        <f t="shared" si="52"/>
        <v>Old</v>
      </c>
    </row>
    <row r="817" spans="1:10" x14ac:dyDescent="0.35">
      <c r="A817" s="4" t="s">
        <v>1414</v>
      </c>
      <c r="B817" s="4" t="s">
        <v>1415</v>
      </c>
      <c r="C817" s="4" t="s">
        <v>474</v>
      </c>
      <c r="D817" s="20">
        <v>4.8</v>
      </c>
      <c r="E817" s="4">
        <v>19765</v>
      </c>
      <c r="F817" s="4">
        <v>2000</v>
      </c>
      <c r="G817" s="21" t="str">
        <f t="shared" si="49"/>
        <v>Not Popular</v>
      </c>
      <c r="H817" s="21" t="str">
        <f t="shared" si="50"/>
        <v>Horror or Thriller</v>
      </c>
      <c r="I817" s="21" t="str">
        <f t="shared" si="51"/>
        <v>Not Comedy</v>
      </c>
      <c r="J817" s="21" t="str">
        <f t="shared" si="52"/>
        <v>Old</v>
      </c>
    </row>
    <row r="818" spans="1:10" x14ac:dyDescent="0.35">
      <c r="A818" s="4" t="s">
        <v>621</v>
      </c>
      <c r="B818" s="4" t="s">
        <v>622</v>
      </c>
      <c r="C818" s="4" t="s">
        <v>211</v>
      </c>
      <c r="D818" s="20">
        <v>4</v>
      </c>
      <c r="E818" s="4">
        <v>11678</v>
      </c>
      <c r="F818" s="4">
        <v>2000</v>
      </c>
      <c r="G818" s="21" t="str">
        <f t="shared" si="49"/>
        <v>Not Popular</v>
      </c>
      <c r="H818" s="21" t="str">
        <f t="shared" si="50"/>
        <v>Horror or Thriller</v>
      </c>
      <c r="I818" s="21" t="str">
        <f t="shared" si="51"/>
        <v>Comedy</v>
      </c>
      <c r="J818" s="21" t="str">
        <f t="shared" si="52"/>
        <v>Old</v>
      </c>
    </row>
    <row r="819" spans="1:10" x14ac:dyDescent="0.35">
      <c r="A819" s="4" t="s">
        <v>942</v>
      </c>
      <c r="B819" s="4" t="s">
        <v>943</v>
      </c>
      <c r="C819" s="4" t="s">
        <v>944</v>
      </c>
      <c r="D819" s="20">
        <v>4.5</v>
      </c>
      <c r="E819" s="4">
        <v>53985</v>
      </c>
      <c r="F819" s="4">
        <v>2000</v>
      </c>
      <c r="G819" s="21" t="str">
        <f t="shared" si="49"/>
        <v>Not Popular</v>
      </c>
      <c r="H819" s="21" t="str">
        <f t="shared" si="50"/>
        <v>Other</v>
      </c>
      <c r="I819" s="21" t="str">
        <f t="shared" si="51"/>
        <v>Comedy</v>
      </c>
      <c r="J819" s="21" t="str">
        <f t="shared" si="52"/>
        <v>Old</v>
      </c>
    </row>
    <row r="820" spans="1:10" x14ac:dyDescent="0.35">
      <c r="A820" s="4" t="s">
        <v>2062</v>
      </c>
      <c r="B820" s="4" t="s">
        <v>2063</v>
      </c>
      <c r="C820" s="4" t="s">
        <v>214</v>
      </c>
      <c r="D820" s="20">
        <v>5.0999999999999996</v>
      </c>
      <c r="E820" s="4">
        <v>11034</v>
      </c>
      <c r="F820" s="4">
        <v>2000</v>
      </c>
      <c r="G820" s="21" t="str">
        <f t="shared" si="49"/>
        <v>Popular</v>
      </c>
      <c r="H820" s="21" t="str">
        <f t="shared" si="50"/>
        <v>Other</v>
      </c>
      <c r="I820" s="21" t="str">
        <f t="shared" si="51"/>
        <v>Comedy</v>
      </c>
      <c r="J820" s="21" t="str">
        <f t="shared" si="52"/>
        <v>Old</v>
      </c>
    </row>
    <row r="821" spans="1:10" x14ac:dyDescent="0.35">
      <c r="A821" s="4" t="s">
        <v>1491</v>
      </c>
      <c r="B821" s="4" t="s">
        <v>1492</v>
      </c>
      <c r="C821" s="4" t="s">
        <v>584</v>
      </c>
      <c r="D821" s="20">
        <v>4.8</v>
      </c>
      <c r="E821" s="4">
        <v>11487</v>
      </c>
      <c r="F821" s="4">
        <v>2000</v>
      </c>
      <c r="G821" s="21" t="str">
        <f t="shared" si="49"/>
        <v>Not Popular</v>
      </c>
      <c r="H821" s="21" t="str">
        <f t="shared" si="50"/>
        <v>Action or Drama</v>
      </c>
      <c r="I821" s="21" t="str">
        <f t="shared" si="51"/>
        <v>Not Comedy</v>
      </c>
      <c r="J821" s="21" t="str">
        <f t="shared" si="52"/>
        <v>Old</v>
      </c>
    </row>
    <row r="822" spans="1:10" x14ac:dyDescent="0.35">
      <c r="A822" s="4" t="s">
        <v>821</v>
      </c>
      <c r="B822" s="4" t="s">
        <v>822</v>
      </c>
      <c r="C822" s="4" t="s">
        <v>376</v>
      </c>
      <c r="D822" s="20">
        <v>4.3</v>
      </c>
      <c r="E822" s="4">
        <v>10733</v>
      </c>
      <c r="F822" s="4">
        <v>2000</v>
      </c>
      <c r="G822" s="21" t="str">
        <f t="shared" si="49"/>
        <v>Not Popular</v>
      </c>
      <c r="H822" s="21" t="str">
        <f t="shared" si="50"/>
        <v>Action or Drama</v>
      </c>
      <c r="I822" s="21" t="str">
        <f t="shared" si="51"/>
        <v>Not Comedy</v>
      </c>
      <c r="J822" s="21" t="str">
        <f t="shared" si="52"/>
        <v>Old</v>
      </c>
    </row>
    <row r="823" spans="1:10" x14ac:dyDescent="0.35">
      <c r="A823" s="4" t="s">
        <v>1082</v>
      </c>
      <c r="B823" s="4" t="s">
        <v>1083</v>
      </c>
      <c r="C823" s="4" t="s">
        <v>166</v>
      </c>
      <c r="D823" s="20">
        <v>4.5999999999999996</v>
      </c>
      <c r="E823" s="4">
        <v>21523</v>
      </c>
      <c r="F823" s="4">
        <v>2000</v>
      </c>
      <c r="G823" s="21" t="str">
        <f t="shared" si="49"/>
        <v>Not Popular</v>
      </c>
      <c r="H823" s="21" t="str">
        <f t="shared" si="50"/>
        <v>Action or Drama</v>
      </c>
      <c r="I823" s="21" t="str">
        <f t="shared" si="51"/>
        <v>Not Comedy</v>
      </c>
      <c r="J823" s="21" t="str">
        <f t="shared" si="52"/>
        <v>Old</v>
      </c>
    </row>
    <row r="824" spans="1:10" x14ac:dyDescent="0.35">
      <c r="A824" s="4" t="s">
        <v>1636</v>
      </c>
      <c r="B824" s="4" t="s">
        <v>1637</v>
      </c>
      <c r="C824" s="4" t="s">
        <v>646</v>
      </c>
      <c r="D824" s="20">
        <v>4.9000000000000004</v>
      </c>
      <c r="E824" s="4">
        <v>13301</v>
      </c>
      <c r="F824" s="4">
        <v>2000</v>
      </c>
      <c r="G824" s="21" t="str">
        <f t="shared" si="49"/>
        <v>Not Popular</v>
      </c>
      <c r="H824" s="21" t="str">
        <f t="shared" si="50"/>
        <v>Action or Drama</v>
      </c>
      <c r="I824" s="21" t="str">
        <f t="shared" si="51"/>
        <v>Comedy</v>
      </c>
      <c r="J824" s="21" t="str">
        <f t="shared" si="52"/>
        <v>Old</v>
      </c>
    </row>
    <row r="825" spans="1:10" x14ac:dyDescent="0.35">
      <c r="A825" s="4" t="s">
        <v>2180</v>
      </c>
      <c r="B825" s="4" t="s">
        <v>2181</v>
      </c>
      <c r="C825" s="4" t="s">
        <v>56</v>
      </c>
      <c r="D825" s="20">
        <v>5.2</v>
      </c>
      <c r="E825" s="4">
        <v>37384</v>
      </c>
      <c r="F825" s="4">
        <v>2000</v>
      </c>
      <c r="G825" s="21" t="str">
        <f t="shared" si="49"/>
        <v>Popular</v>
      </c>
      <c r="H825" s="21" t="str">
        <f t="shared" si="50"/>
        <v>Action or Drama</v>
      </c>
      <c r="I825" s="21" t="str">
        <f t="shared" si="51"/>
        <v>Not Comedy</v>
      </c>
      <c r="J825" s="21" t="str">
        <f t="shared" si="52"/>
        <v>Old</v>
      </c>
    </row>
    <row r="826" spans="1:10" x14ac:dyDescent="0.35">
      <c r="A826" s="4" t="s">
        <v>451</v>
      </c>
      <c r="B826" s="4" t="s">
        <v>452</v>
      </c>
      <c r="C826" s="4" t="s">
        <v>166</v>
      </c>
      <c r="D826" s="20">
        <v>3.7</v>
      </c>
      <c r="E826" s="4">
        <v>36690</v>
      </c>
      <c r="F826" s="4">
        <v>2000</v>
      </c>
      <c r="G826" s="21" t="str">
        <f t="shared" si="49"/>
        <v>Not Popular</v>
      </c>
      <c r="H826" s="21" t="str">
        <f t="shared" si="50"/>
        <v>Action or Drama</v>
      </c>
      <c r="I826" s="21" t="str">
        <f t="shared" si="51"/>
        <v>Not Comedy</v>
      </c>
      <c r="J826" s="21" t="str">
        <f t="shared" si="52"/>
        <v>Old</v>
      </c>
    </row>
    <row r="827" spans="1:10" x14ac:dyDescent="0.35">
      <c r="A827" s="4" t="s">
        <v>1571</v>
      </c>
      <c r="B827" s="4" t="s">
        <v>1572</v>
      </c>
      <c r="C827" s="4" t="s">
        <v>267</v>
      </c>
      <c r="D827" s="20">
        <v>4.9000000000000004</v>
      </c>
      <c r="E827" s="4">
        <v>37216</v>
      </c>
      <c r="F827" s="4">
        <v>2000</v>
      </c>
      <c r="G827" s="21" t="str">
        <f t="shared" si="49"/>
        <v>Not Popular</v>
      </c>
      <c r="H827" s="21" t="str">
        <f t="shared" si="50"/>
        <v>Action or Drama</v>
      </c>
      <c r="I827" s="21" t="str">
        <f t="shared" si="51"/>
        <v>Not Comedy</v>
      </c>
      <c r="J827" s="21" t="str">
        <f t="shared" si="52"/>
        <v>Old</v>
      </c>
    </row>
    <row r="828" spans="1:10" x14ac:dyDescent="0.35">
      <c r="A828" s="4" t="s">
        <v>1250</v>
      </c>
      <c r="B828" s="4" t="s">
        <v>1251</v>
      </c>
      <c r="C828" s="4" t="s">
        <v>128</v>
      </c>
      <c r="D828" s="20">
        <v>4.7</v>
      </c>
      <c r="E828" s="4">
        <v>20420</v>
      </c>
      <c r="F828" s="4">
        <v>2000</v>
      </c>
      <c r="G828" s="21" t="str">
        <f t="shared" si="49"/>
        <v>Not Popular</v>
      </c>
      <c r="H828" s="21" t="str">
        <f t="shared" si="50"/>
        <v>Action or Drama</v>
      </c>
      <c r="I828" s="21" t="str">
        <f t="shared" si="51"/>
        <v>Comedy</v>
      </c>
      <c r="J828" s="21" t="str">
        <f t="shared" si="52"/>
        <v>Old</v>
      </c>
    </row>
    <row r="829" spans="1:10" x14ac:dyDescent="0.35">
      <c r="A829" s="4" t="s">
        <v>1783</v>
      </c>
      <c r="B829" s="4" t="s">
        <v>1784</v>
      </c>
      <c r="C829" s="4" t="s">
        <v>128</v>
      </c>
      <c r="D829" s="20">
        <v>5</v>
      </c>
      <c r="E829" s="4">
        <v>15875</v>
      </c>
      <c r="F829" s="4">
        <v>2000</v>
      </c>
      <c r="G829" s="21" t="str">
        <f t="shared" si="49"/>
        <v>Not Popular</v>
      </c>
      <c r="H829" s="21" t="str">
        <f t="shared" si="50"/>
        <v>Action or Drama</v>
      </c>
      <c r="I829" s="21" t="str">
        <f t="shared" si="51"/>
        <v>Comedy</v>
      </c>
      <c r="J829" s="21" t="str">
        <f t="shared" si="52"/>
        <v>Old</v>
      </c>
    </row>
    <row r="830" spans="1:10" x14ac:dyDescent="0.35">
      <c r="A830" s="4" t="s">
        <v>892</v>
      </c>
      <c r="B830" s="4" t="s">
        <v>893</v>
      </c>
      <c r="C830" s="4" t="s">
        <v>14</v>
      </c>
      <c r="D830" s="20">
        <v>4.4000000000000004</v>
      </c>
      <c r="E830" s="4">
        <v>16373</v>
      </c>
      <c r="F830" s="4">
        <v>2000</v>
      </c>
      <c r="G830" s="21" t="str">
        <f t="shared" si="49"/>
        <v>Not Popular</v>
      </c>
      <c r="H830" s="21" t="str">
        <f t="shared" si="50"/>
        <v>Action or Drama</v>
      </c>
      <c r="I830" s="21" t="str">
        <f t="shared" si="51"/>
        <v>Not Comedy</v>
      </c>
      <c r="J830" s="21" t="str">
        <f t="shared" si="52"/>
        <v>Old</v>
      </c>
    </row>
    <row r="831" spans="1:10" x14ac:dyDescent="0.35">
      <c r="A831" s="4" t="s">
        <v>595</v>
      </c>
      <c r="B831" s="4" t="s">
        <v>596</v>
      </c>
      <c r="C831" s="4" t="s">
        <v>597</v>
      </c>
      <c r="D831" s="20">
        <v>4</v>
      </c>
      <c r="E831" s="4">
        <v>40658</v>
      </c>
      <c r="F831" s="4">
        <v>2000</v>
      </c>
      <c r="G831" s="21" t="str">
        <f t="shared" si="49"/>
        <v>Not Popular</v>
      </c>
      <c r="H831" s="21" t="str">
        <f t="shared" si="50"/>
        <v>Horror or Thriller</v>
      </c>
      <c r="I831" s="21" t="str">
        <f t="shared" si="51"/>
        <v>Not Comedy</v>
      </c>
      <c r="J831" s="21" t="str">
        <f t="shared" si="52"/>
        <v>Old</v>
      </c>
    </row>
    <row r="832" spans="1:10" x14ac:dyDescent="0.35">
      <c r="A832" s="4" t="s">
        <v>2010</v>
      </c>
      <c r="B832" s="4" t="s">
        <v>2011</v>
      </c>
      <c r="C832" s="4" t="s">
        <v>669</v>
      </c>
      <c r="D832" s="20">
        <v>5.0999999999999996</v>
      </c>
      <c r="E832" s="4">
        <v>15538</v>
      </c>
      <c r="F832" s="4">
        <v>2000</v>
      </c>
      <c r="G832" s="21" t="str">
        <f t="shared" si="49"/>
        <v>Popular</v>
      </c>
      <c r="H832" s="21" t="str">
        <f t="shared" si="50"/>
        <v>Action or Drama</v>
      </c>
      <c r="I832" s="21" t="str">
        <f t="shared" si="51"/>
        <v>Not Comedy</v>
      </c>
      <c r="J832" s="21" t="str">
        <f t="shared" si="52"/>
        <v>Old</v>
      </c>
    </row>
    <row r="833" spans="1:10" x14ac:dyDescent="0.35">
      <c r="A833" s="4" t="s">
        <v>2124</v>
      </c>
      <c r="B833" s="4" t="s">
        <v>2125</v>
      </c>
      <c r="C833" s="4" t="s">
        <v>146</v>
      </c>
      <c r="D833" s="20">
        <v>5.2</v>
      </c>
      <c r="E833" s="4">
        <v>92136</v>
      </c>
      <c r="F833" s="4">
        <v>2000</v>
      </c>
      <c r="G833" s="21" t="str">
        <f t="shared" si="49"/>
        <v>Popular</v>
      </c>
      <c r="H833" s="21" t="str">
        <f t="shared" si="50"/>
        <v>Action or Drama</v>
      </c>
      <c r="I833" s="21" t="str">
        <f t="shared" si="51"/>
        <v>Comedy</v>
      </c>
      <c r="J833" s="21" t="str">
        <f t="shared" si="52"/>
        <v>Old</v>
      </c>
    </row>
    <row r="834" spans="1:10" x14ac:dyDescent="0.35">
      <c r="A834" s="4" t="s">
        <v>161</v>
      </c>
      <c r="B834" s="4" t="s">
        <v>162</v>
      </c>
      <c r="C834" s="4" t="s">
        <v>163</v>
      </c>
      <c r="D834" s="20">
        <v>2.5</v>
      </c>
      <c r="E834" s="4">
        <v>83924</v>
      </c>
      <c r="F834" s="4">
        <v>2000</v>
      </c>
      <c r="G834" s="21" t="str">
        <f t="shared" si="49"/>
        <v>Not Popular</v>
      </c>
      <c r="H834" s="21" t="str">
        <f t="shared" si="50"/>
        <v>Action or Drama</v>
      </c>
      <c r="I834" s="21" t="str">
        <f t="shared" si="51"/>
        <v>Not Comedy</v>
      </c>
      <c r="J834" s="21" t="str">
        <f t="shared" si="52"/>
        <v>Old</v>
      </c>
    </row>
    <row r="835" spans="1:10" x14ac:dyDescent="0.35">
      <c r="A835" s="4" t="s">
        <v>884</v>
      </c>
      <c r="B835" s="4" t="s">
        <v>885</v>
      </c>
      <c r="C835" s="4" t="s">
        <v>606</v>
      </c>
      <c r="D835" s="20">
        <v>4.4000000000000004</v>
      </c>
      <c r="E835" s="4">
        <v>18776</v>
      </c>
      <c r="F835" s="4">
        <v>2000</v>
      </c>
      <c r="G835" s="21" t="str">
        <f t="shared" ref="G835:G898" si="53">IF(AND(D835&gt;5, E835&gt;1000), "Popular", "Not Popular")</f>
        <v>Not Popular</v>
      </c>
      <c r="H835" s="21" t="str">
        <f t="shared" ref="H835:H898" si="54">IF(OR(ISNUMBER(SEARCH("Action", C835)), ISNUMBER(SEARCH("Drama", C835))), "Action or Drama", IF(OR(ISNUMBER(SEARCH("Horror", C835)), ISNUMBER(SEARCH("Thriller", C835))), "Horror or Thriller", "Other"))</f>
        <v>Action or Drama</v>
      </c>
      <c r="I835" s="21" t="str">
        <f t="shared" ref="I835:I898" si="55">IF(NOT(ISNUMBER(SEARCH("Comedy", C835))), "Not Comedy", "Comedy")</f>
        <v>Not Comedy</v>
      </c>
      <c r="J835" s="21" t="str">
        <f t="shared" si="52"/>
        <v>Old</v>
      </c>
    </row>
    <row r="836" spans="1:10" x14ac:dyDescent="0.35">
      <c r="A836" s="4" t="s">
        <v>387</v>
      </c>
      <c r="B836" s="4" t="s">
        <v>388</v>
      </c>
      <c r="C836" s="4" t="s">
        <v>104</v>
      </c>
      <c r="D836" s="20">
        <v>3.5</v>
      </c>
      <c r="E836" s="4">
        <v>13085</v>
      </c>
      <c r="F836" s="4">
        <v>2000</v>
      </c>
      <c r="G836" s="21" t="str">
        <f t="shared" si="53"/>
        <v>Not Popular</v>
      </c>
      <c r="H836" s="21" t="str">
        <f t="shared" si="54"/>
        <v>Other</v>
      </c>
      <c r="I836" s="21" t="str">
        <f t="shared" si="55"/>
        <v>Comedy</v>
      </c>
      <c r="J836" s="21" t="str">
        <f t="shared" si="52"/>
        <v>Old</v>
      </c>
    </row>
    <row r="837" spans="1:10" x14ac:dyDescent="0.35">
      <c r="A837" s="4" t="s">
        <v>1357</v>
      </c>
      <c r="B837" s="4" t="s">
        <v>1358</v>
      </c>
      <c r="C837" s="4" t="s">
        <v>217</v>
      </c>
      <c r="D837" s="20">
        <v>4.8</v>
      </c>
      <c r="E837" s="4">
        <v>40156</v>
      </c>
      <c r="F837" s="4">
        <v>2000</v>
      </c>
      <c r="G837" s="21" t="str">
        <f t="shared" si="53"/>
        <v>Not Popular</v>
      </c>
      <c r="H837" s="21" t="str">
        <f t="shared" si="54"/>
        <v>Other</v>
      </c>
      <c r="I837" s="21" t="str">
        <f t="shared" si="55"/>
        <v>Comedy</v>
      </c>
      <c r="J837" s="21" t="str">
        <f t="shared" si="52"/>
        <v>Old</v>
      </c>
    </row>
    <row r="838" spans="1:10" x14ac:dyDescent="0.35">
      <c r="A838" s="4" t="s">
        <v>787</v>
      </c>
      <c r="B838" s="4" t="s">
        <v>788</v>
      </c>
      <c r="C838" s="4" t="s">
        <v>163</v>
      </c>
      <c r="D838" s="20">
        <v>4.3</v>
      </c>
      <c r="E838" s="4">
        <v>17596</v>
      </c>
      <c r="F838" s="4">
        <v>1999</v>
      </c>
      <c r="G838" s="21" t="str">
        <f t="shared" si="53"/>
        <v>Not Popular</v>
      </c>
      <c r="H838" s="21" t="str">
        <f t="shared" si="54"/>
        <v>Action or Drama</v>
      </c>
      <c r="I838" s="21" t="str">
        <f t="shared" si="55"/>
        <v>Not Comedy</v>
      </c>
      <c r="J838" s="21" t="str">
        <f t="shared" si="52"/>
        <v>Old</v>
      </c>
    </row>
    <row r="839" spans="1:10" x14ac:dyDescent="0.35">
      <c r="A839" s="4" t="s">
        <v>1523</v>
      </c>
      <c r="B839" s="4" t="s">
        <v>1524</v>
      </c>
      <c r="C839" s="4" t="s">
        <v>62</v>
      </c>
      <c r="D839" s="20">
        <v>4.9000000000000004</v>
      </c>
      <c r="E839" s="4">
        <v>168977</v>
      </c>
      <c r="F839" s="4">
        <v>1999</v>
      </c>
      <c r="G839" s="21" t="str">
        <f t="shared" si="53"/>
        <v>Not Popular</v>
      </c>
      <c r="H839" s="21" t="str">
        <f t="shared" si="54"/>
        <v>Action or Drama</v>
      </c>
      <c r="I839" s="21" t="str">
        <f t="shared" si="55"/>
        <v>Comedy</v>
      </c>
      <c r="J839" s="21" t="str">
        <f t="shared" si="52"/>
        <v>Old</v>
      </c>
    </row>
    <row r="840" spans="1:10" x14ac:dyDescent="0.35">
      <c r="A840" s="4" t="s">
        <v>1737</v>
      </c>
      <c r="B840" s="4" t="s">
        <v>1738</v>
      </c>
      <c r="C840" s="4" t="s">
        <v>155</v>
      </c>
      <c r="D840" s="20">
        <v>5</v>
      </c>
      <c r="E840" s="4">
        <v>30458</v>
      </c>
      <c r="F840" s="4">
        <v>1999</v>
      </c>
      <c r="G840" s="21" t="str">
        <f t="shared" si="53"/>
        <v>Not Popular</v>
      </c>
      <c r="H840" s="21" t="str">
        <f t="shared" si="54"/>
        <v>Action or Drama</v>
      </c>
      <c r="I840" s="21" t="str">
        <f t="shared" si="55"/>
        <v>Not Comedy</v>
      </c>
      <c r="J840" s="21" t="str">
        <f t="shared" si="52"/>
        <v>Old</v>
      </c>
    </row>
    <row r="841" spans="1:10" x14ac:dyDescent="0.35">
      <c r="A841" s="4" t="s">
        <v>702</v>
      </c>
      <c r="B841" s="4" t="s">
        <v>703</v>
      </c>
      <c r="C841" s="4" t="s">
        <v>172</v>
      </c>
      <c r="D841" s="20">
        <v>4.2</v>
      </c>
      <c r="E841" s="4">
        <v>31116</v>
      </c>
      <c r="F841" s="4">
        <v>1999</v>
      </c>
      <c r="G841" s="21" t="str">
        <f t="shared" si="53"/>
        <v>Not Popular</v>
      </c>
      <c r="H841" s="21" t="str">
        <f t="shared" si="54"/>
        <v>Action or Drama</v>
      </c>
      <c r="I841" s="21" t="str">
        <f t="shared" si="55"/>
        <v>Not Comedy</v>
      </c>
      <c r="J841" s="21" t="str">
        <f t="shared" si="52"/>
        <v>Old</v>
      </c>
    </row>
    <row r="842" spans="1:10" x14ac:dyDescent="0.35">
      <c r="A842" s="4" t="s">
        <v>1418</v>
      </c>
      <c r="B842" s="4" t="s">
        <v>1419</v>
      </c>
      <c r="C842" s="4" t="s">
        <v>1075</v>
      </c>
      <c r="D842" s="20">
        <v>4.8</v>
      </c>
      <c r="E842" s="4">
        <v>18388</v>
      </c>
      <c r="F842" s="4">
        <v>1999</v>
      </c>
      <c r="G842" s="21" t="str">
        <f t="shared" si="53"/>
        <v>Not Popular</v>
      </c>
      <c r="H842" s="21" t="str">
        <f t="shared" si="54"/>
        <v>Action or Drama</v>
      </c>
      <c r="I842" s="21" t="str">
        <f t="shared" si="55"/>
        <v>Not Comedy</v>
      </c>
      <c r="J842" s="21" t="str">
        <f t="shared" si="52"/>
        <v>Old</v>
      </c>
    </row>
    <row r="843" spans="1:10" x14ac:dyDescent="0.35">
      <c r="A843" s="4" t="s">
        <v>1680</v>
      </c>
      <c r="B843" s="4" t="s">
        <v>1681</v>
      </c>
      <c r="C843" s="4" t="s">
        <v>915</v>
      </c>
      <c r="D843" s="20">
        <v>5</v>
      </c>
      <c r="E843" s="4">
        <v>81840</v>
      </c>
      <c r="F843" s="4">
        <v>1999</v>
      </c>
      <c r="G843" s="21" t="str">
        <f t="shared" si="53"/>
        <v>Not Popular</v>
      </c>
      <c r="H843" s="21" t="str">
        <f t="shared" si="54"/>
        <v>Horror or Thriller</v>
      </c>
      <c r="I843" s="21" t="str">
        <f t="shared" si="55"/>
        <v>Not Comedy</v>
      </c>
      <c r="J843" s="21" t="str">
        <f t="shared" si="52"/>
        <v>Old</v>
      </c>
    </row>
    <row r="844" spans="1:10" x14ac:dyDescent="0.35">
      <c r="A844" s="4" t="s">
        <v>1978</v>
      </c>
      <c r="B844" s="4" t="s">
        <v>1979</v>
      </c>
      <c r="C844" s="4" t="s">
        <v>116</v>
      </c>
      <c r="D844" s="20">
        <v>5.0999999999999996</v>
      </c>
      <c r="E844" s="4">
        <v>19148</v>
      </c>
      <c r="F844" s="4">
        <v>1999</v>
      </c>
      <c r="G844" s="21" t="str">
        <f t="shared" si="53"/>
        <v>Popular</v>
      </c>
      <c r="H844" s="21" t="str">
        <f t="shared" si="54"/>
        <v>Other</v>
      </c>
      <c r="I844" s="21" t="str">
        <f t="shared" si="55"/>
        <v>Comedy</v>
      </c>
      <c r="J844" s="21" t="str">
        <f t="shared" si="52"/>
        <v>Old</v>
      </c>
    </row>
    <row r="845" spans="1:10" x14ac:dyDescent="0.35">
      <c r="A845" s="4" t="s">
        <v>2024</v>
      </c>
      <c r="B845" s="4" t="s">
        <v>2025</v>
      </c>
      <c r="C845" s="4" t="s">
        <v>59</v>
      </c>
      <c r="D845" s="20">
        <v>5.0999999999999996</v>
      </c>
      <c r="E845" s="4">
        <v>14637</v>
      </c>
      <c r="F845" s="4">
        <v>1999</v>
      </c>
      <c r="G845" s="21" t="str">
        <f t="shared" si="53"/>
        <v>Popular</v>
      </c>
      <c r="H845" s="21" t="str">
        <f t="shared" si="54"/>
        <v>Other</v>
      </c>
      <c r="I845" s="21" t="str">
        <f t="shared" si="55"/>
        <v>Comedy</v>
      </c>
      <c r="J845" s="21" t="str">
        <f t="shared" si="52"/>
        <v>Old</v>
      </c>
    </row>
    <row r="846" spans="1:10" x14ac:dyDescent="0.35">
      <c r="A846" s="4" t="s">
        <v>692</v>
      </c>
      <c r="B846" s="4" t="s">
        <v>693</v>
      </c>
      <c r="C846" s="4" t="s">
        <v>178</v>
      </c>
      <c r="D846" s="20">
        <v>4.2</v>
      </c>
      <c r="E846" s="4">
        <v>51595</v>
      </c>
      <c r="F846" s="4">
        <v>1999</v>
      </c>
      <c r="G846" s="21" t="str">
        <f t="shared" si="53"/>
        <v>Not Popular</v>
      </c>
      <c r="H846" s="21" t="str">
        <f t="shared" si="54"/>
        <v>Action or Drama</v>
      </c>
      <c r="I846" s="21" t="str">
        <f t="shared" si="55"/>
        <v>Comedy</v>
      </c>
      <c r="J846" s="21" t="str">
        <f t="shared" si="52"/>
        <v>Old</v>
      </c>
    </row>
    <row r="847" spans="1:10" x14ac:dyDescent="0.35">
      <c r="A847" s="4" t="s">
        <v>1468</v>
      </c>
      <c r="B847" s="4" t="s">
        <v>1469</v>
      </c>
      <c r="C847" s="4" t="s">
        <v>1470</v>
      </c>
      <c r="D847" s="20">
        <v>4.8</v>
      </c>
      <c r="E847" s="4">
        <v>12851</v>
      </c>
      <c r="F847" s="4">
        <v>1999</v>
      </c>
      <c r="G847" s="21" t="str">
        <f t="shared" si="53"/>
        <v>Not Popular</v>
      </c>
      <c r="H847" s="21" t="str">
        <f t="shared" si="54"/>
        <v>Horror or Thriller</v>
      </c>
      <c r="I847" s="21" t="str">
        <f t="shared" si="55"/>
        <v>Not Comedy</v>
      </c>
      <c r="J847" s="21" t="str">
        <f t="shared" si="52"/>
        <v>Old</v>
      </c>
    </row>
    <row r="848" spans="1:10" x14ac:dyDescent="0.35">
      <c r="A848" s="4" t="s">
        <v>718</v>
      </c>
      <c r="B848" s="4" t="s">
        <v>719</v>
      </c>
      <c r="C848" s="4" t="s">
        <v>352</v>
      </c>
      <c r="D848" s="20">
        <v>4.2</v>
      </c>
      <c r="E848" s="4">
        <v>17724</v>
      </c>
      <c r="F848" s="4">
        <v>1999</v>
      </c>
      <c r="G848" s="21" t="str">
        <f t="shared" si="53"/>
        <v>Not Popular</v>
      </c>
      <c r="H848" s="21" t="str">
        <f t="shared" si="54"/>
        <v>Horror or Thriller</v>
      </c>
      <c r="I848" s="21" t="str">
        <f t="shared" si="55"/>
        <v>Not Comedy</v>
      </c>
      <c r="J848" s="21" t="str">
        <f t="shared" si="52"/>
        <v>Old</v>
      </c>
    </row>
    <row r="849" spans="1:10" x14ac:dyDescent="0.35">
      <c r="A849" s="4" t="s">
        <v>1781</v>
      </c>
      <c r="B849" s="4" t="s">
        <v>1782</v>
      </c>
      <c r="C849" s="4" t="s">
        <v>846</v>
      </c>
      <c r="D849" s="20">
        <v>5</v>
      </c>
      <c r="E849" s="4">
        <v>16170</v>
      </c>
      <c r="F849" s="4">
        <v>1999</v>
      </c>
      <c r="G849" s="21" t="str">
        <f t="shared" si="53"/>
        <v>Not Popular</v>
      </c>
      <c r="H849" s="21" t="str">
        <f t="shared" si="54"/>
        <v>Action or Drama</v>
      </c>
      <c r="I849" s="21" t="str">
        <f t="shared" si="55"/>
        <v>Not Comedy</v>
      </c>
      <c r="J849" s="21" t="str">
        <f t="shared" si="52"/>
        <v>Old</v>
      </c>
    </row>
    <row r="850" spans="1:10" x14ac:dyDescent="0.35">
      <c r="A850" s="4" t="s">
        <v>578</v>
      </c>
      <c r="B850" s="4" t="s">
        <v>579</v>
      </c>
      <c r="C850" s="4" t="s">
        <v>455</v>
      </c>
      <c r="D850" s="20">
        <v>3.9</v>
      </c>
      <c r="E850" s="4">
        <v>11508</v>
      </c>
      <c r="F850" s="4">
        <v>1999</v>
      </c>
      <c r="G850" s="21" t="str">
        <f t="shared" si="53"/>
        <v>Not Popular</v>
      </c>
      <c r="H850" s="21" t="str">
        <f t="shared" si="54"/>
        <v>Other</v>
      </c>
      <c r="I850" s="21" t="str">
        <f t="shared" si="55"/>
        <v>Comedy</v>
      </c>
      <c r="J850" s="21" t="str">
        <f t="shared" si="52"/>
        <v>Old</v>
      </c>
    </row>
    <row r="851" spans="1:10" x14ac:dyDescent="0.35">
      <c r="A851" s="4" t="s">
        <v>670</v>
      </c>
      <c r="B851" s="4" t="s">
        <v>671</v>
      </c>
      <c r="C851" s="4" t="s">
        <v>166</v>
      </c>
      <c r="D851" s="20">
        <v>4.0999999999999996</v>
      </c>
      <c r="E851" s="4">
        <v>12725</v>
      </c>
      <c r="F851" s="4">
        <v>1999</v>
      </c>
      <c r="G851" s="21" t="str">
        <f t="shared" si="53"/>
        <v>Not Popular</v>
      </c>
      <c r="H851" s="21" t="str">
        <f t="shared" si="54"/>
        <v>Action or Drama</v>
      </c>
      <c r="I851" s="21" t="str">
        <f t="shared" si="55"/>
        <v>Not Comedy</v>
      </c>
      <c r="J851" s="21" t="str">
        <f t="shared" si="52"/>
        <v>Old</v>
      </c>
    </row>
    <row r="852" spans="1:10" x14ac:dyDescent="0.35">
      <c r="A852" s="4" t="s">
        <v>676</v>
      </c>
      <c r="B852" s="4" t="s">
        <v>677</v>
      </c>
      <c r="C852" s="4" t="s">
        <v>474</v>
      </c>
      <c r="D852" s="20">
        <v>4.0999999999999996</v>
      </c>
      <c r="E852" s="4">
        <v>11649</v>
      </c>
      <c r="F852" s="4">
        <v>1999</v>
      </c>
      <c r="G852" s="21" t="str">
        <f t="shared" si="53"/>
        <v>Not Popular</v>
      </c>
      <c r="H852" s="21" t="str">
        <f t="shared" si="54"/>
        <v>Horror or Thriller</v>
      </c>
      <c r="I852" s="21" t="str">
        <f t="shared" si="55"/>
        <v>Not Comedy</v>
      </c>
      <c r="J852" s="21" t="str">
        <f t="shared" si="52"/>
        <v>Old</v>
      </c>
    </row>
    <row r="853" spans="1:10" x14ac:dyDescent="0.35">
      <c r="A853" s="4" t="s">
        <v>194</v>
      </c>
      <c r="B853" s="4" t="s">
        <v>195</v>
      </c>
      <c r="C853" s="4" t="s">
        <v>193</v>
      </c>
      <c r="D853" s="20">
        <v>2.6</v>
      </c>
      <c r="E853" s="4">
        <v>27849</v>
      </c>
      <c r="F853" s="4">
        <v>1999</v>
      </c>
      <c r="G853" s="21" t="str">
        <f t="shared" si="53"/>
        <v>Not Popular</v>
      </c>
      <c r="H853" s="21" t="str">
        <f t="shared" si="54"/>
        <v>Other</v>
      </c>
      <c r="I853" s="21" t="str">
        <f t="shared" si="55"/>
        <v>Comedy</v>
      </c>
      <c r="J853" s="21" t="str">
        <f t="shared" si="52"/>
        <v>Old</v>
      </c>
    </row>
    <row r="854" spans="1:10" x14ac:dyDescent="0.35">
      <c r="A854" s="4" t="s">
        <v>730</v>
      </c>
      <c r="B854" s="4" t="s">
        <v>731</v>
      </c>
      <c r="C854" s="4" t="s">
        <v>294</v>
      </c>
      <c r="D854" s="20">
        <v>4.2</v>
      </c>
      <c r="E854" s="4">
        <v>13489</v>
      </c>
      <c r="F854" s="4">
        <v>1998</v>
      </c>
      <c r="G854" s="21" t="str">
        <f t="shared" si="53"/>
        <v>Not Popular</v>
      </c>
      <c r="H854" s="21" t="str">
        <f t="shared" si="54"/>
        <v>Action or Drama</v>
      </c>
      <c r="I854" s="21" t="str">
        <f t="shared" si="55"/>
        <v>Not Comedy</v>
      </c>
      <c r="J854" s="21" t="str">
        <f t="shared" si="52"/>
        <v>Old</v>
      </c>
    </row>
    <row r="855" spans="1:10" x14ac:dyDescent="0.35">
      <c r="A855" s="4" t="s">
        <v>488</v>
      </c>
      <c r="B855" s="4" t="s">
        <v>489</v>
      </c>
      <c r="C855" s="4" t="s">
        <v>163</v>
      </c>
      <c r="D855" s="20">
        <v>3.8</v>
      </c>
      <c r="E855" s="4">
        <v>45902</v>
      </c>
      <c r="F855" s="4">
        <v>1998</v>
      </c>
      <c r="G855" s="21" t="str">
        <f t="shared" si="53"/>
        <v>Not Popular</v>
      </c>
      <c r="H855" s="21" t="str">
        <f t="shared" si="54"/>
        <v>Action or Drama</v>
      </c>
      <c r="I855" s="21" t="str">
        <f t="shared" si="55"/>
        <v>Not Comedy</v>
      </c>
      <c r="J855" s="21" t="str">
        <f t="shared" si="52"/>
        <v>Old</v>
      </c>
    </row>
    <row r="856" spans="1:10" x14ac:dyDescent="0.35">
      <c r="A856" s="4" t="s">
        <v>956</v>
      </c>
      <c r="B856" s="4" t="s">
        <v>957</v>
      </c>
      <c r="C856" s="4" t="s">
        <v>155</v>
      </c>
      <c r="D856" s="20">
        <v>4.5</v>
      </c>
      <c r="E856" s="4">
        <v>32271</v>
      </c>
      <c r="F856" s="4">
        <v>1998</v>
      </c>
      <c r="G856" s="21" t="str">
        <f t="shared" si="53"/>
        <v>Not Popular</v>
      </c>
      <c r="H856" s="21" t="str">
        <f t="shared" si="54"/>
        <v>Action or Drama</v>
      </c>
      <c r="I856" s="21" t="str">
        <f t="shared" si="55"/>
        <v>Not Comedy</v>
      </c>
      <c r="J856" s="21" t="str">
        <f t="shared" si="52"/>
        <v>Old</v>
      </c>
    </row>
    <row r="857" spans="1:10" x14ac:dyDescent="0.35">
      <c r="A857" s="4" t="s">
        <v>1035</v>
      </c>
      <c r="B857" s="4" t="s">
        <v>1036</v>
      </c>
      <c r="C857" s="4" t="s">
        <v>175</v>
      </c>
      <c r="D857" s="20">
        <v>4.5999999999999996</v>
      </c>
      <c r="E857" s="4">
        <v>51262</v>
      </c>
      <c r="F857" s="4">
        <v>1998</v>
      </c>
      <c r="G857" s="21" t="str">
        <f t="shared" si="53"/>
        <v>Not Popular</v>
      </c>
      <c r="H857" s="21" t="str">
        <f t="shared" si="54"/>
        <v>Horror or Thriller</v>
      </c>
      <c r="I857" s="21" t="str">
        <f t="shared" si="55"/>
        <v>Not Comedy</v>
      </c>
      <c r="J857" s="21" t="str">
        <f t="shared" si="52"/>
        <v>Old</v>
      </c>
    </row>
    <row r="858" spans="1:10" x14ac:dyDescent="0.35">
      <c r="A858" s="4" t="s">
        <v>1427</v>
      </c>
      <c r="B858" s="4" t="s">
        <v>1428</v>
      </c>
      <c r="C858" s="4" t="s">
        <v>1429</v>
      </c>
      <c r="D858" s="20">
        <v>4.8</v>
      </c>
      <c r="E858" s="4">
        <v>17740</v>
      </c>
      <c r="F858" s="4">
        <v>1998</v>
      </c>
      <c r="G858" s="21" t="str">
        <f t="shared" si="53"/>
        <v>Not Popular</v>
      </c>
      <c r="H858" s="21" t="str">
        <f t="shared" si="54"/>
        <v>Action or Drama</v>
      </c>
      <c r="I858" s="21" t="str">
        <f t="shared" si="55"/>
        <v>Not Comedy</v>
      </c>
      <c r="J858" s="21" t="str">
        <f t="shared" si="52"/>
        <v>Old</v>
      </c>
    </row>
    <row r="859" spans="1:10" x14ac:dyDescent="0.35">
      <c r="A859" s="4" t="s">
        <v>2128</v>
      </c>
      <c r="B859" s="4" t="s">
        <v>2129</v>
      </c>
      <c r="C859" s="4" t="s">
        <v>163</v>
      </c>
      <c r="D859" s="20">
        <v>5.2</v>
      </c>
      <c r="E859" s="4">
        <v>75507</v>
      </c>
      <c r="F859" s="4">
        <v>1998</v>
      </c>
      <c r="G859" s="21" t="str">
        <f t="shared" si="53"/>
        <v>Popular</v>
      </c>
      <c r="H859" s="21" t="str">
        <f t="shared" si="54"/>
        <v>Action or Drama</v>
      </c>
      <c r="I859" s="21" t="str">
        <f t="shared" si="55"/>
        <v>Not Comedy</v>
      </c>
      <c r="J859" s="21" t="str">
        <f t="shared" ref="J859:J922" si="56">IF(F859&gt;2020, "Recent", "Old")</f>
        <v>Old</v>
      </c>
    </row>
    <row r="860" spans="1:10" x14ac:dyDescent="0.35">
      <c r="A860" s="4" t="s">
        <v>1620</v>
      </c>
      <c r="B860" s="4" t="s">
        <v>1621</v>
      </c>
      <c r="C860" s="4" t="s">
        <v>101</v>
      </c>
      <c r="D860" s="20">
        <v>4.9000000000000004</v>
      </c>
      <c r="E860" s="4">
        <v>16691</v>
      </c>
      <c r="F860" s="4">
        <v>1998</v>
      </c>
      <c r="G860" s="21" t="str">
        <f t="shared" si="53"/>
        <v>Not Popular</v>
      </c>
      <c r="H860" s="21" t="str">
        <f t="shared" si="54"/>
        <v>Action or Drama</v>
      </c>
      <c r="I860" s="21" t="str">
        <f t="shared" si="55"/>
        <v>Not Comedy</v>
      </c>
      <c r="J860" s="21" t="str">
        <f t="shared" si="56"/>
        <v>Old</v>
      </c>
    </row>
    <row r="861" spans="1:10" x14ac:dyDescent="0.35">
      <c r="A861" s="4" t="s">
        <v>1325</v>
      </c>
      <c r="B861" s="4" t="s">
        <v>1326</v>
      </c>
      <c r="C861" s="4" t="s">
        <v>175</v>
      </c>
      <c r="D861" s="20">
        <v>4.8</v>
      </c>
      <c r="E861" s="4">
        <v>80450</v>
      </c>
      <c r="F861" s="4">
        <v>1998</v>
      </c>
      <c r="G861" s="21" t="str">
        <f t="shared" si="53"/>
        <v>Not Popular</v>
      </c>
      <c r="H861" s="21" t="str">
        <f t="shared" si="54"/>
        <v>Horror or Thriller</v>
      </c>
      <c r="I861" s="21" t="str">
        <f t="shared" si="55"/>
        <v>Not Comedy</v>
      </c>
      <c r="J861" s="21" t="str">
        <f t="shared" si="56"/>
        <v>Old</v>
      </c>
    </row>
    <row r="862" spans="1:10" x14ac:dyDescent="0.35">
      <c r="A862" s="4" t="s">
        <v>1763</v>
      </c>
      <c r="B862" s="4" t="s">
        <v>1764</v>
      </c>
      <c r="C862" s="4" t="s">
        <v>646</v>
      </c>
      <c r="D862" s="20">
        <v>5</v>
      </c>
      <c r="E862" s="4">
        <v>21173</v>
      </c>
      <c r="F862" s="4">
        <v>1998</v>
      </c>
      <c r="G862" s="21" t="str">
        <f t="shared" si="53"/>
        <v>Not Popular</v>
      </c>
      <c r="H862" s="21" t="str">
        <f t="shared" si="54"/>
        <v>Action or Drama</v>
      </c>
      <c r="I862" s="21" t="str">
        <f t="shared" si="55"/>
        <v>Comedy</v>
      </c>
      <c r="J862" s="21" t="str">
        <f t="shared" si="56"/>
        <v>Old</v>
      </c>
    </row>
    <row r="863" spans="1:10" x14ac:dyDescent="0.35">
      <c r="A863" s="4" t="s">
        <v>1573</v>
      </c>
      <c r="B863" s="4" t="s">
        <v>1574</v>
      </c>
      <c r="C863" s="4" t="s">
        <v>146</v>
      </c>
      <c r="D863" s="20">
        <v>4.9000000000000004</v>
      </c>
      <c r="E863" s="4">
        <v>35175</v>
      </c>
      <c r="F863" s="4">
        <v>1998</v>
      </c>
      <c r="G863" s="21" t="str">
        <f t="shared" si="53"/>
        <v>Not Popular</v>
      </c>
      <c r="H863" s="21" t="str">
        <f t="shared" si="54"/>
        <v>Action or Drama</v>
      </c>
      <c r="I863" s="21" t="str">
        <f t="shared" si="55"/>
        <v>Comedy</v>
      </c>
      <c r="J863" s="21" t="str">
        <f t="shared" si="56"/>
        <v>Old</v>
      </c>
    </row>
    <row r="864" spans="1:10" x14ac:dyDescent="0.35">
      <c r="A864" s="4" t="s">
        <v>276</v>
      </c>
      <c r="B864" s="4" t="s">
        <v>277</v>
      </c>
      <c r="C864" s="4" t="s">
        <v>178</v>
      </c>
      <c r="D864" s="20">
        <v>3</v>
      </c>
      <c r="E864" s="4">
        <v>12537</v>
      </c>
      <c r="F864" s="4">
        <v>1998</v>
      </c>
      <c r="G864" s="21" t="str">
        <f t="shared" si="53"/>
        <v>Not Popular</v>
      </c>
      <c r="H864" s="21" t="str">
        <f t="shared" si="54"/>
        <v>Action or Drama</v>
      </c>
      <c r="I864" s="21" t="str">
        <f t="shared" si="55"/>
        <v>Comedy</v>
      </c>
      <c r="J864" s="21" t="str">
        <f t="shared" si="56"/>
        <v>Old</v>
      </c>
    </row>
    <row r="865" spans="1:10" x14ac:dyDescent="0.35">
      <c r="A865" s="4" t="s">
        <v>1805</v>
      </c>
      <c r="B865" s="4" t="s">
        <v>1806</v>
      </c>
      <c r="C865" s="4" t="s">
        <v>294</v>
      </c>
      <c r="D865" s="20">
        <v>5</v>
      </c>
      <c r="E865" s="4">
        <v>12884</v>
      </c>
      <c r="F865" s="4">
        <v>1997</v>
      </c>
      <c r="G865" s="21" t="str">
        <f t="shared" si="53"/>
        <v>Not Popular</v>
      </c>
      <c r="H865" s="21" t="str">
        <f t="shared" si="54"/>
        <v>Action or Drama</v>
      </c>
      <c r="I865" s="21" t="str">
        <f t="shared" si="55"/>
        <v>Not Comedy</v>
      </c>
      <c r="J865" s="21" t="str">
        <f t="shared" si="56"/>
        <v>Old</v>
      </c>
    </row>
    <row r="866" spans="1:10" x14ac:dyDescent="0.35">
      <c r="A866" s="4" t="s">
        <v>475</v>
      </c>
      <c r="B866" s="4" t="s">
        <v>476</v>
      </c>
      <c r="C866" s="4" t="s">
        <v>477</v>
      </c>
      <c r="D866" s="20">
        <v>3.7</v>
      </c>
      <c r="E866" s="4">
        <v>10065</v>
      </c>
      <c r="F866" s="4">
        <v>1997</v>
      </c>
      <c r="G866" s="21" t="str">
        <f t="shared" si="53"/>
        <v>Not Popular</v>
      </c>
      <c r="H866" s="21" t="str">
        <f t="shared" si="54"/>
        <v>Action or Drama</v>
      </c>
      <c r="I866" s="21" t="str">
        <f t="shared" si="55"/>
        <v>Not Comedy</v>
      </c>
      <c r="J866" s="21" t="str">
        <f t="shared" si="56"/>
        <v>Old</v>
      </c>
    </row>
    <row r="867" spans="1:10" x14ac:dyDescent="0.35">
      <c r="A867" s="4" t="s">
        <v>182</v>
      </c>
      <c r="B867" s="4" t="s">
        <v>183</v>
      </c>
      <c r="C867" s="4" t="s">
        <v>184</v>
      </c>
      <c r="D867" s="20">
        <v>2.5</v>
      </c>
      <c r="E867" s="4">
        <v>10099</v>
      </c>
      <c r="F867" s="4">
        <v>1997</v>
      </c>
      <c r="G867" s="21" t="str">
        <f t="shared" si="53"/>
        <v>Not Popular</v>
      </c>
      <c r="H867" s="21" t="str">
        <f t="shared" si="54"/>
        <v>Other</v>
      </c>
      <c r="I867" s="21" t="str">
        <f t="shared" si="55"/>
        <v>Not Comedy</v>
      </c>
      <c r="J867" s="21" t="str">
        <f t="shared" si="56"/>
        <v>Old</v>
      </c>
    </row>
    <row r="868" spans="1:10" x14ac:dyDescent="0.35">
      <c r="A868" s="4" t="s">
        <v>273</v>
      </c>
      <c r="B868" s="4" t="s">
        <v>274</v>
      </c>
      <c r="C868" s="4" t="s">
        <v>275</v>
      </c>
      <c r="D868" s="20">
        <v>3</v>
      </c>
      <c r="E868" s="4">
        <v>15292</v>
      </c>
      <c r="F868" s="4">
        <v>1997</v>
      </c>
      <c r="G868" s="21" t="str">
        <f t="shared" si="53"/>
        <v>Not Popular</v>
      </c>
      <c r="H868" s="21" t="str">
        <f t="shared" si="54"/>
        <v>Action or Drama</v>
      </c>
      <c r="I868" s="21" t="str">
        <f t="shared" si="55"/>
        <v>Not Comedy</v>
      </c>
      <c r="J868" s="21" t="str">
        <f t="shared" si="56"/>
        <v>Old</v>
      </c>
    </row>
    <row r="869" spans="1:10" x14ac:dyDescent="0.35">
      <c r="A869" s="4" t="s">
        <v>449</v>
      </c>
      <c r="B869" s="4" t="s">
        <v>450</v>
      </c>
      <c r="C869" s="4" t="s">
        <v>291</v>
      </c>
      <c r="D869" s="20">
        <v>3.7</v>
      </c>
      <c r="E869" s="4">
        <v>38236</v>
      </c>
      <c r="F869" s="4">
        <v>1997</v>
      </c>
      <c r="G869" s="21" t="str">
        <f t="shared" si="53"/>
        <v>Not Popular</v>
      </c>
      <c r="H869" s="21" t="str">
        <f t="shared" si="54"/>
        <v>Other</v>
      </c>
      <c r="I869" s="21" t="str">
        <f t="shared" si="55"/>
        <v>Comedy</v>
      </c>
      <c r="J869" s="21" t="str">
        <f t="shared" si="56"/>
        <v>Old</v>
      </c>
    </row>
    <row r="870" spans="1:10" x14ac:dyDescent="0.35">
      <c r="A870" s="4" t="s">
        <v>527</v>
      </c>
      <c r="B870" s="4" t="s">
        <v>528</v>
      </c>
      <c r="C870" s="4" t="s">
        <v>275</v>
      </c>
      <c r="D870" s="20">
        <v>3.9</v>
      </c>
      <c r="E870" s="4">
        <v>87201</v>
      </c>
      <c r="F870" s="4">
        <v>1997</v>
      </c>
      <c r="G870" s="21" t="str">
        <f t="shared" si="53"/>
        <v>Not Popular</v>
      </c>
      <c r="H870" s="21" t="str">
        <f t="shared" si="54"/>
        <v>Action or Drama</v>
      </c>
      <c r="I870" s="21" t="str">
        <f t="shared" si="55"/>
        <v>Not Comedy</v>
      </c>
      <c r="J870" s="21" t="str">
        <f t="shared" si="56"/>
        <v>Old</v>
      </c>
    </row>
    <row r="871" spans="1:10" x14ac:dyDescent="0.35">
      <c r="A871" s="4" t="s">
        <v>2134</v>
      </c>
      <c r="B871" s="4" t="s">
        <v>2135</v>
      </c>
      <c r="C871" s="4" t="s">
        <v>56</v>
      </c>
      <c r="D871" s="20">
        <v>5.2</v>
      </c>
      <c r="E871" s="4">
        <v>73490</v>
      </c>
      <c r="F871" s="4">
        <v>1997</v>
      </c>
      <c r="G871" s="21" t="str">
        <f t="shared" si="53"/>
        <v>Popular</v>
      </c>
      <c r="H871" s="21" t="str">
        <f t="shared" si="54"/>
        <v>Action or Drama</v>
      </c>
      <c r="I871" s="21" t="str">
        <f t="shared" si="55"/>
        <v>Not Comedy</v>
      </c>
      <c r="J871" s="21" t="str">
        <f t="shared" si="56"/>
        <v>Old</v>
      </c>
    </row>
    <row r="872" spans="1:10" x14ac:dyDescent="0.35">
      <c r="A872" s="4" t="s">
        <v>661</v>
      </c>
      <c r="B872" s="4" t="s">
        <v>662</v>
      </c>
      <c r="C872" s="4" t="s">
        <v>217</v>
      </c>
      <c r="D872" s="20">
        <v>4.0999999999999996</v>
      </c>
      <c r="E872" s="4">
        <v>16358</v>
      </c>
      <c r="F872" s="4">
        <v>1997</v>
      </c>
      <c r="G872" s="21" t="str">
        <f t="shared" si="53"/>
        <v>Not Popular</v>
      </c>
      <c r="H872" s="21" t="str">
        <f t="shared" si="54"/>
        <v>Other</v>
      </c>
      <c r="I872" s="21" t="str">
        <f t="shared" si="55"/>
        <v>Comedy</v>
      </c>
      <c r="J872" s="21" t="str">
        <f t="shared" si="56"/>
        <v>Old</v>
      </c>
    </row>
    <row r="873" spans="1:10" x14ac:dyDescent="0.35">
      <c r="A873" s="4" t="s">
        <v>403</v>
      </c>
      <c r="B873" s="4" t="s">
        <v>404</v>
      </c>
      <c r="C873" s="4" t="s">
        <v>166</v>
      </c>
      <c r="D873" s="20">
        <v>3.6</v>
      </c>
      <c r="E873" s="4">
        <v>58941</v>
      </c>
      <c r="F873" s="4">
        <v>1997</v>
      </c>
      <c r="G873" s="21" t="str">
        <f t="shared" si="53"/>
        <v>Not Popular</v>
      </c>
      <c r="H873" s="21" t="str">
        <f t="shared" si="54"/>
        <v>Action or Drama</v>
      </c>
      <c r="I873" s="21" t="str">
        <f t="shared" si="55"/>
        <v>Not Comedy</v>
      </c>
      <c r="J873" s="21" t="str">
        <f t="shared" si="56"/>
        <v>Old</v>
      </c>
    </row>
    <row r="874" spans="1:10" x14ac:dyDescent="0.35">
      <c r="A874" s="4" t="s">
        <v>1308</v>
      </c>
      <c r="B874" s="4" t="s">
        <v>1309</v>
      </c>
      <c r="C874" s="4" t="s">
        <v>270</v>
      </c>
      <c r="D874" s="20">
        <v>4.7</v>
      </c>
      <c r="E874" s="4">
        <v>10942</v>
      </c>
      <c r="F874" s="4">
        <v>1997</v>
      </c>
      <c r="G874" s="21" t="str">
        <f t="shared" si="53"/>
        <v>Not Popular</v>
      </c>
      <c r="H874" s="21" t="str">
        <f t="shared" si="54"/>
        <v>Horror or Thriller</v>
      </c>
      <c r="I874" s="21" t="str">
        <f t="shared" si="55"/>
        <v>Comedy</v>
      </c>
      <c r="J874" s="21" t="str">
        <f t="shared" si="56"/>
        <v>Old</v>
      </c>
    </row>
    <row r="875" spans="1:10" x14ac:dyDescent="0.35">
      <c r="A875" s="4" t="s">
        <v>1771</v>
      </c>
      <c r="B875" s="4" t="s">
        <v>1772</v>
      </c>
      <c r="C875" s="4" t="s">
        <v>178</v>
      </c>
      <c r="D875" s="20">
        <v>5</v>
      </c>
      <c r="E875" s="4">
        <v>17382</v>
      </c>
      <c r="F875" s="4">
        <v>1997</v>
      </c>
      <c r="G875" s="21" t="str">
        <f t="shared" si="53"/>
        <v>Not Popular</v>
      </c>
      <c r="H875" s="21" t="str">
        <f t="shared" si="54"/>
        <v>Action or Drama</v>
      </c>
      <c r="I875" s="21" t="str">
        <f t="shared" si="55"/>
        <v>Comedy</v>
      </c>
      <c r="J875" s="21" t="str">
        <f t="shared" si="56"/>
        <v>Old</v>
      </c>
    </row>
    <row r="876" spans="1:10" x14ac:dyDescent="0.35">
      <c r="A876" s="4" t="s">
        <v>1025</v>
      </c>
      <c r="B876" s="4" t="s">
        <v>1026</v>
      </c>
      <c r="C876" s="4" t="s">
        <v>146</v>
      </c>
      <c r="D876" s="20">
        <v>4.5999999999999996</v>
      </c>
      <c r="E876" s="4">
        <v>129033</v>
      </c>
      <c r="F876" s="4">
        <v>1997</v>
      </c>
      <c r="G876" s="21" t="str">
        <f t="shared" si="53"/>
        <v>Not Popular</v>
      </c>
      <c r="H876" s="21" t="str">
        <f t="shared" si="54"/>
        <v>Action or Drama</v>
      </c>
      <c r="I876" s="21" t="str">
        <f t="shared" si="55"/>
        <v>Comedy</v>
      </c>
      <c r="J876" s="21" t="str">
        <f t="shared" si="56"/>
        <v>Old</v>
      </c>
    </row>
    <row r="877" spans="1:10" x14ac:dyDescent="0.35">
      <c r="A877" s="4" t="s">
        <v>1508</v>
      </c>
      <c r="B877" s="4" t="s">
        <v>1509</v>
      </c>
      <c r="C877" s="4" t="s">
        <v>214</v>
      </c>
      <c r="D877" s="20">
        <v>4.8</v>
      </c>
      <c r="E877" s="4">
        <v>10755</v>
      </c>
      <c r="F877" s="4">
        <v>1997</v>
      </c>
      <c r="G877" s="21" t="str">
        <f t="shared" si="53"/>
        <v>Not Popular</v>
      </c>
      <c r="H877" s="21" t="str">
        <f t="shared" si="54"/>
        <v>Other</v>
      </c>
      <c r="I877" s="21" t="str">
        <f t="shared" si="55"/>
        <v>Comedy</v>
      </c>
      <c r="J877" s="21" t="str">
        <f t="shared" si="56"/>
        <v>Old</v>
      </c>
    </row>
    <row r="878" spans="1:10" x14ac:dyDescent="0.35">
      <c r="A878" s="4" t="s">
        <v>1310</v>
      </c>
      <c r="B878" s="4" t="s">
        <v>1311</v>
      </c>
      <c r="C878" s="4" t="s">
        <v>762</v>
      </c>
      <c r="D878" s="20">
        <v>4.7</v>
      </c>
      <c r="E878" s="4">
        <v>10923</v>
      </c>
      <c r="F878" s="4">
        <v>1997</v>
      </c>
      <c r="G878" s="21" t="str">
        <f t="shared" si="53"/>
        <v>Not Popular</v>
      </c>
      <c r="H878" s="21" t="str">
        <f t="shared" si="54"/>
        <v>Action or Drama</v>
      </c>
      <c r="I878" s="21" t="str">
        <f t="shared" si="55"/>
        <v>Not Comedy</v>
      </c>
      <c r="J878" s="21" t="str">
        <f t="shared" si="56"/>
        <v>Old</v>
      </c>
    </row>
    <row r="879" spans="1:10" x14ac:dyDescent="0.35">
      <c r="A879" s="4" t="s">
        <v>1974</v>
      </c>
      <c r="B879" s="4" t="s">
        <v>1975</v>
      </c>
      <c r="C879" s="4" t="s">
        <v>568</v>
      </c>
      <c r="D879" s="20">
        <v>5.0999999999999996</v>
      </c>
      <c r="E879" s="4">
        <v>19398</v>
      </c>
      <c r="F879" s="4">
        <v>1997</v>
      </c>
      <c r="G879" s="21" t="str">
        <f t="shared" si="53"/>
        <v>Popular</v>
      </c>
      <c r="H879" s="21" t="str">
        <f t="shared" si="54"/>
        <v>Action or Drama</v>
      </c>
      <c r="I879" s="21" t="str">
        <f t="shared" si="55"/>
        <v>Not Comedy</v>
      </c>
      <c r="J879" s="21" t="str">
        <f t="shared" si="56"/>
        <v>Old</v>
      </c>
    </row>
    <row r="880" spans="1:10" x14ac:dyDescent="0.35">
      <c r="A880" s="4" t="s">
        <v>1361</v>
      </c>
      <c r="B880" s="4" t="s">
        <v>1362</v>
      </c>
      <c r="C880" s="4" t="s">
        <v>62</v>
      </c>
      <c r="D880" s="20">
        <v>4.8</v>
      </c>
      <c r="E880" s="4">
        <v>37206</v>
      </c>
      <c r="F880" s="4">
        <v>1997</v>
      </c>
      <c r="G880" s="21" t="str">
        <f t="shared" si="53"/>
        <v>Not Popular</v>
      </c>
      <c r="H880" s="21" t="str">
        <f t="shared" si="54"/>
        <v>Action or Drama</v>
      </c>
      <c r="I880" s="21" t="str">
        <f t="shared" si="55"/>
        <v>Comedy</v>
      </c>
      <c r="J880" s="21" t="str">
        <f t="shared" si="56"/>
        <v>Old</v>
      </c>
    </row>
    <row r="881" spans="1:10" x14ac:dyDescent="0.35">
      <c r="A881" s="4" t="s">
        <v>478</v>
      </c>
      <c r="B881" s="4" t="s">
        <v>479</v>
      </c>
      <c r="C881" s="4" t="s">
        <v>172</v>
      </c>
      <c r="D881" s="20">
        <v>3.8</v>
      </c>
      <c r="E881" s="4">
        <v>272072</v>
      </c>
      <c r="F881" s="4">
        <v>1997</v>
      </c>
      <c r="G881" s="21" t="str">
        <f t="shared" si="53"/>
        <v>Not Popular</v>
      </c>
      <c r="H881" s="21" t="str">
        <f t="shared" si="54"/>
        <v>Action or Drama</v>
      </c>
      <c r="I881" s="21" t="str">
        <f t="shared" si="55"/>
        <v>Not Comedy</v>
      </c>
      <c r="J881" s="21" t="str">
        <f t="shared" si="56"/>
        <v>Old</v>
      </c>
    </row>
    <row r="882" spans="1:10" x14ac:dyDescent="0.35">
      <c r="A882" s="4" t="s">
        <v>1527</v>
      </c>
      <c r="B882" s="4" t="s">
        <v>1528</v>
      </c>
      <c r="C882" s="4" t="s">
        <v>122</v>
      </c>
      <c r="D882" s="20">
        <v>4.9000000000000004</v>
      </c>
      <c r="E882" s="4">
        <v>114363</v>
      </c>
      <c r="F882" s="4">
        <v>1997</v>
      </c>
      <c r="G882" s="21" t="str">
        <f t="shared" si="53"/>
        <v>Not Popular</v>
      </c>
      <c r="H882" s="21" t="str">
        <f t="shared" si="54"/>
        <v>Action or Drama</v>
      </c>
      <c r="I882" s="21" t="str">
        <f t="shared" si="55"/>
        <v>Not Comedy</v>
      </c>
      <c r="J882" s="21" t="str">
        <f t="shared" si="56"/>
        <v>Old</v>
      </c>
    </row>
    <row r="883" spans="1:10" x14ac:dyDescent="0.35">
      <c r="A883" s="4" t="s">
        <v>1935</v>
      </c>
      <c r="B883" s="4" t="s">
        <v>1936</v>
      </c>
      <c r="C883" s="4" t="s">
        <v>270</v>
      </c>
      <c r="D883" s="20">
        <v>5.0999999999999996</v>
      </c>
      <c r="E883" s="4">
        <v>27665</v>
      </c>
      <c r="F883" s="4">
        <v>1997</v>
      </c>
      <c r="G883" s="21" t="str">
        <f t="shared" si="53"/>
        <v>Popular</v>
      </c>
      <c r="H883" s="21" t="str">
        <f t="shared" si="54"/>
        <v>Horror or Thriller</v>
      </c>
      <c r="I883" s="21" t="str">
        <f t="shared" si="55"/>
        <v>Comedy</v>
      </c>
      <c r="J883" s="21" t="str">
        <f t="shared" si="56"/>
        <v>Old</v>
      </c>
    </row>
    <row r="884" spans="1:10" x14ac:dyDescent="0.35">
      <c r="A884" s="4" t="s">
        <v>1911</v>
      </c>
      <c r="B884" s="4" t="s">
        <v>1912</v>
      </c>
      <c r="C884" s="4" t="s">
        <v>178</v>
      </c>
      <c r="D884" s="20">
        <v>5.0999999999999996</v>
      </c>
      <c r="E884" s="4">
        <v>36282</v>
      </c>
      <c r="F884" s="4">
        <v>1996</v>
      </c>
      <c r="G884" s="21" t="str">
        <f t="shared" si="53"/>
        <v>Popular</v>
      </c>
      <c r="H884" s="21" t="str">
        <f t="shared" si="54"/>
        <v>Action or Drama</v>
      </c>
      <c r="I884" s="21" t="str">
        <f t="shared" si="55"/>
        <v>Comedy</v>
      </c>
      <c r="J884" s="21" t="str">
        <f t="shared" si="56"/>
        <v>Old</v>
      </c>
    </row>
    <row r="885" spans="1:10" x14ac:dyDescent="0.35">
      <c r="A885" s="4" t="s">
        <v>1819</v>
      </c>
      <c r="B885" s="4" t="s">
        <v>1820</v>
      </c>
      <c r="C885" s="4" t="s">
        <v>116</v>
      </c>
      <c r="D885" s="20">
        <v>5</v>
      </c>
      <c r="E885" s="4">
        <v>11679</v>
      </c>
      <c r="F885" s="4">
        <v>1996</v>
      </c>
      <c r="G885" s="21" t="str">
        <f t="shared" si="53"/>
        <v>Not Popular</v>
      </c>
      <c r="H885" s="21" t="str">
        <f t="shared" si="54"/>
        <v>Other</v>
      </c>
      <c r="I885" s="21" t="str">
        <f t="shared" si="55"/>
        <v>Comedy</v>
      </c>
      <c r="J885" s="21" t="str">
        <f t="shared" si="56"/>
        <v>Old</v>
      </c>
    </row>
    <row r="886" spans="1:10" x14ac:dyDescent="0.35">
      <c r="A886" s="4" t="s">
        <v>1055</v>
      </c>
      <c r="B886" s="4" t="s">
        <v>1056</v>
      </c>
      <c r="C886" s="4" t="s">
        <v>474</v>
      </c>
      <c r="D886" s="20">
        <v>4.5999999999999996</v>
      </c>
      <c r="E886" s="4">
        <v>36082</v>
      </c>
      <c r="F886" s="4">
        <v>1996</v>
      </c>
      <c r="G886" s="21" t="str">
        <f t="shared" si="53"/>
        <v>Not Popular</v>
      </c>
      <c r="H886" s="21" t="str">
        <f t="shared" si="54"/>
        <v>Horror or Thriller</v>
      </c>
      <c r="I886" s="21" t="str">
        <f t="shared" si="55"/>
        <v>Not Comedy</v>
      </c>
      <c r="J886" s="21" t="str">
        <f t="shared" si="56"/>
        <v>Old</v>
      </c>
    </row>
    <row r="887" spans="1:10" x14ac:dyDescent="0.35">
      <c r="A887" s="4" t="s">
        <v>1078</v>
      </c>
      <c r="B887" s="4" t="s">
        <v>1079</v>
      </c>
      <c r="C887" s="4" t="s">
        <v>338</v>
      </c>
      <c r="D887" s="20">
        <v>4.5999999999999996</v>
      </c>
      <c r="E887" s="4">
        <v>22517</v>
      </c>
      <c r="F887" s="4">
        <v>1996</v>
      </c>
      <c r="G887" s="21" t="str">
        <f t="shared" si="53"/>
        <v>Not Popular</v>
      </c>
      <c r="H887" s="21" t="str">
        <f t="shared" si="54"/>
        <v>Action or Drama</v>
      </c>
      <c r="I887" s="21" t="str">
        <f t="shared" si="55"/>
        <v>Not Comedy</v>
      </c>
      <c r="J887" s="21" t="str">
        <f t="shared" si="56"/>
        <v>Old</v>
      </c>
    </row>
    <row r="888" spans="1:10" x14ac:dyDescent="0.35">
      <c r="A888" s="4" t="s">
        <v>1037</v>
      </c>
      <c r="B888" s="4" t="s">
        <v>1038</v>
      </c>
      <c r="C888" s="4" t="s">
        <v>1039</v>
      </c>
      <c r="D888" s="20">
        <v>4.5999999999999996</v>
      </c>
      <c r="E888" s="4">
        <v>48925</v>
      </c>
      <c r="F888" s="4">
        <v>1996</v>
      </c>
      <c r="G888" s="21" t="str">
        <f t="shared" si="53"/>
        <v>Not Popular</v>
      </c>
      <c r="H888" s="21" t="str">
        <f t="shared" si="54"/>
        <v>Action or Drama</v>
      </c>
      <c r="I888" s="21" t="str">
        <f t="shared" si="55"/>
        <v>Comedy</v>
      </c>
      <c r="J888" s="21" t="str">
        <f t="shared" si="56"/>
        <v>Old</v>
      </c>
    </row>
    <row r="889" spans="1:10" x14ac:dyDescent="0.35">
      <c r="A889" s="4" t="s">
        <v>287</v>
      </c>
      <c r="B889" s="4" t="s">
        <v>288</v>
      </c>
      <c r="C889" s="4" t="s">
        <v>140</v>
      </c>
      <c r="D889" s="20">
        <v>3.1</v>
      </c>
      <c r="E889" s="4">
        <v>25970</v>
      </c>
      <c r="F889" s="4">
        <v>1996</v>
      </c>
      <c r="G889" s="21" t="str">
        <f t="shared" si="53"/>
        <v>Not Popular</v>
      </c>
      <c r="H889" s="21" t="str">
        <f t="shared" si="54"/>
        <v>Other</v>
      </c>
      <c r="I889" s="21" t="str">
        <f t="shared" si="55"/>
        <v>Comedy</v>
      </c>
      <c r="J889" s="21" t="str">
        <f t="shared" si="56"/>
        <v>Old</v>
      </c>
    </row>
    <row r="890" spans="1:10" x14ac:dyDescent="0.35">
      <c r="A890" s="4" t="s">
        <v>1939</v>
      </c>
      <c r="B890" s="4" t="s">
        <v>1940</v>
      </c>
      <c r="C890" s="4" t="s">
        <v>98</v>
      </c>
      <c r="D890" s="20">
        <v>5.0999999999999996</v>
      </c>
      <c r="E890" s="4">
        <v>25248</v>
      </c>
      <c r="F890" s="4">
        <v>1996</v>
      </c>
      <c r="G890" s="21" t="str">
        <f t="shared" si="53"/>
        <v>Popular</v>
      </c>
      <c r="H890" s="21" t="str">
        <f t="shared" si="54"/>
        <v>Horror or Thriller</v>
      </c>
      <c r="I890" s="21" t="str">
        <f t="shared" si="55"/>
        <v>Not Comedy</v>
      </c>
      <c r="J890" s="21" t="str">
        <f t="shared" si="56"/>
        <v>Old</v>
      </c>
    </row>
    <row r="891" spans="1:10" x14ac:dyDescent="0.35">
      <c r="A891" s="4" t="s">
        <v>860</v>
      </c>
      <c r="B891" s="4" t="s">
        <v>861</v>
      </c>
      <c r="C891" s="4" t="s">
        <v>11</v>
      </c>
      <c r="D891" s="20">
        <v>4.4000000000000004</v>
      </c>
      <c r="E891" s="4">
        <v>30265</v>
      </c>
      <c r="F891" s="4">
        <v>1996</v>
      </c>
      <c r="G891" s="21" t="str">
        <f t="shared" si="53"/>
        <v>Not Popular</v>
      </c>
      <c r="H891" s="21" t="str">
        <f t="shared" si="54"/>
        <v>Other</v>
      </c>
      <c r="I891" s="21" t="str">
        <f t="shared" si="55"/>
        <v>Comedy</v>
      </c>
      <c r="J891" s="21" t="str">
        <f t="shared" si="56"/>
        <v>Old</v>
      </c>
    </row>
    <row r="892" spans="1:10" x14ac:dyDescent="0.35">
      <c r="A892" s="4" t="s">
        <v>372</v>
      </c>
      <c r="B892" s="4" t="s">
        <v>373</v>
      </c>
      <c r="C892" s="4" t="s">
        <v>172</v>
      </c>
      <c r="D892" s="20">
        <v>3.5</v>
      </c>
      <c r="E892" s="4">
        <v>31722</v>
      </c>
      <c r="F892" s="4">
        <v>1996</v>
      </c>
      <c r="G892" s="21" t="str">
        <f t="shared" si="53"/>
        <v>Not Popular</v>
      </c>
      <c r="H892" s="21" t="str">
        <f t="shared" si="54"/>
        <v>Action or Drama</v>
      </c>
      <c r="I892" s="21" t="str">
        <f t="shared" si="55"/>
        <v>Not Comedy</v>
      </c>
      <c r="J892" s="21" t="str">
        <f t="shared" si="56"/>
        <v>Old</v>
      </c>
    </row>
    <row r="893" spans="1:10" x14ac:dyDescent="0.35">
      <c r="A893" s="4" t="s">
        <v>1231</v>
      </c>
      <c r="B893" s="4" t="s">
        <v>1232</v>
      </c>
      <c r="C893" s="4" t="s">
        <v>270</v>
      </c>
      <c r="D893" s="20">
        <v>4.7</v>
      </c>
      <c r="E893" s="4">
        <v>25626</v>
      </c>
      <c r="F893" s="4">
        <v>1995</v>
      </c>
      <c r="G893" s="21" t="str">
        <f t="shared" si="53"/>
        <v>Not Popular</v>
      </c>
      <c r="H893" s="21" t="str">
        <f t="shared" si="54"/>
        <v>Horror or Thriller</v>
      </c>
      <c r="I893" s="21" t="str">
        <f t="shared" si="55"/>
        <v>Comedy</v>
      </c>
      <c r="J893" s="21" t="str">
        <f t="shared" si="56"/>
        <v>Old</v>
      </c>
    </row>
    <row r="894" spans="1:10" x14ac:dyDescent="0.35">
      <c r="A894" s="4" t="s">
        <v>920</v>
      </c>
      <c r="B894" s="4" t="s">
        <v>921</v>
      </c>
      <c r="C894" s="4" t="s">
        <v>448</v>
      </c>
      <c r="D894" s="20">
        <v>4.4000000000000004</v>
      </c>
      <c r="E894" s="4">
        <v>10182</v>
      </c>
      <c r="F894" s="4">
        <v>1995</v>
      </c>
      <c r="G894" s="21" t="str">
        <f t="shared" si="53"/>
        <v>Not Popular</v>
      </c>
      <c r="H894" s="21" t="str">
        <f t="shared" si="54"/>
        <v>Horror or Thriller</v>
      </c>
      <c r="I894" s="21" t="str">
        <f t="shared" si="55"/>
        <v>Not Comedy</v>
      </c>
      <c r="J894" s="21" t="str">
        <f t="shared" si="56"/>
        <v>Old</v>
      </c>
    </row>
    <row r="895" spans="1:10" x14ac:dyDescent="0.35">
      <c r="A895" s="4" t="s">
        <v>1872</v>
      </c>
      <c r="B895" s="4" t="s">
        <v>1873</v>
      </c>
      <c r="C895" s="4" t="s">
        <v>14</v>
      </c>
      <c r="D895" s="20">
        <v>5.0999999999999996</v>
      </c>
      <c r="E895" s="4">
        <v>76488</v>
      </c>
      <c r="F895" s="4">
        <v>1995</v>
      </c>
      <c r="G895" s="21" t="str">
        <f t="shared" si="53"/>
        <v>Popular</v>
      </c>
      <c r="H895" s="21" t="str">
        <f t="shared" si="54"/>
        <v>Action or Drama</v>
      </c>
      <c r="I895" s="21" t="str">
        <f t="shared" si="55"/>
        <v>Not Comedy</v>
      </c>
      <c r="J895" s="21" t="str">
        <f t="shared" si="56"/>
        <v>Old</v>
      </c>
    </row>
    <row r="896" spans="1:10" x14ac:dyDescent="0.35">
      <c r="A896" s="4" t="s">
        <v>199</v>
      </c>
      <c r="B896" s="4" t="s">
        <v>200</v>
      </c>
      <c r="C896" s="4" t="s">
        <v>143</v>
      </c>
      <c r="D896" s="20">
        <v>2.6</v>
      </c>
      <c r="E896" s="4">
        <v>10442</v>
      </c>
      <c r="F896" s="4">
        <v>1995</v>
      </c>
      <c r="G896" s="21" t="str">
        <f t="shared" si="53"/>
        <v>Not Popular</v>
      </c>
      <c r="H896" s="21" t="str">
        <f t="shared" si="54"/>
        <v>Action or Drama</v>
      </c>
      <c r="I896" s="21" t="str">
        <f t="shared" si="55"/>
        <v>Not Comedy</v>
      </c>
      <c r="J896" s="21" t="str">
        <f t="shared" si="56"/>
        <v>Old</v>
      </c>
    </row>
    <row r="897" spans="1:10" x14ac:dyDescent="0.35">
      <c r="A897" s="4" t="s">
        <v>1198</v>
      </c>
      <c r="B897" s="4" t="s">
        <v>1199</v>
      </c>
      <c r="C897" s="4" t="s">
        <v>82</v>
      </c>
      <c r="D897" s="20">
        <v>4.7</v>
      </c>
      <c r="E897" s="4">
        <v>43509</v>
      </c>
      <c r="F897" s="4">
        <v>1995</v>
      </c>
      <c r="G897" s="21" t="str">
        <f t="shared" si="53"/>
        <v>Not Popular</v>
      </c>
      <c r="H897" s="21" t="str">
        <f t="shared" si="54"/>
        <v>Horror or Thriller</v>
      </c>
      <c r="I897" s="21" t="str">
        <f t="shared" si="55"/>
        <v>Not Comedy</v>
      </c>
      <c r="J897" s="21" t="str">
        <f t="shared" si="56"/>
        <v>Old</v>
      </c>
    </row>
    <row r="898" spans="1:10" x14ac:dyDescent="0.35">
      <c r="A898" s="4" t="s">
        <v>1970</v>
      </c>
      <c r="B898" s="4" t="s">
        <v>1971</v>
      </c>
      <c r="C898" s="4" t="s">
        <v>762</v>
      </c>
      <c r="D898" s="20">
        <v>5.0999999999999996</v>
      </c>
      <c r="E898" s="4">
        <v>19856</v>
      </c>
      <c r="F898" s="4">
        <v>1995</v>
      </c>
      <c r="G898" s="21" t="str">
        <f t="shared" si="53"/>
        <v>Popular</v>
      </c>
      <c r="H898" s="21" t="str">
        <f t="shared" si="54"/>
        <v>Action or Drama</v>
      </c>
      <c r="I898" s="21" t="str">
        <f t="shared" si="55"/>
        <v>Not Comedy</v>
      </c>
      <c r="J898" s="21" t="str">
        <f t="shared" si="56"/>
        <v>Old</v>
      </c>
    </row>
    <row r="899" spans="1:10" x14ac:dyDescent="0.35">
      <c r="A899" s="4" t="s">
        <v>899</v>
      </c>
      <c r="B899" s="4" t="s">
        <v>900</v>
      </c>
      <c r="C899" s="4" t="s">
        <v>901</v>
      </c>
      <c r="D899" s="20">
        <v>4.4000000000000004</v>
      </c>
      <c r="E899" s="4">
        <v>14073</v>
      </c>
      <c r="F899" s="4">
        <v>1995</v>
      </c>
      <c r="G899" s="21" t="str">
        <f t="shared" ref="G899:G962" si="57">IF(AND(D899&gt;5, E899&gt;1000), "Popular", "Not Popular")</f>
        <v>Not Popular</v>
      </c>
      <c r="H899" s="21" t="str">
        <f t="shared" ref="H899:H962" si="58">IF(OR(ISNUMBER(SEARCH("Action", C899)), ISNUMBER(SEARCH("Drama", C899))), "Action or Drama", IF(OR(ISNUMBER(SEARCH("Horror", C899)), ISNUMBER(SEARCH("Thriller", C899))), "Horror or Thriller", "Other"))</f>
        <v>Action or Drama</v>
      </c>
      <c r="I899" s="21" t="str">
        <f t="shared" ref="I899:I962" si="59">IF(NOT(ISNUMBER(SEARCH("Comedy", C899))), "Not Comedy", "Comedy")</f>
        <v>Not Comedy</v>
      </c>
      <c r="J899" s="21" t="str">
        <f t="shared" si="56"/>
        <v>Old</v>
      </c>
    </row>
    <row r="900" spans="1:10" x14ac:dyDescent="0.35">
      <c r="A900" s="4" t="s">
        <v>1057</v>
      </c>
      <c r="B900" s="4" t="s">
        <v>1058</v>
      </c>
      <c r="C900" s="4" t="s">
        <v>1059</v>
      </c>
      <c r="D900" s="20">
        <v>4.5999999999999996</v>
      </c>
      <c r="E900" s="4">
        <v>34690</v>
      </c>
      <c r="F900" s="4">
        <v>1994</v>
      </c>
      <c r="G900" s="21" t="str">
        <f t="shared" si="57"/>
        <v>Not Popular</v>
      </c>
      <c r="H900" s="21" t="str">
        <f t="shared" si="58"/>
        <v>Action or Drama</v>
      </c>
      <c r="I900" s="21" t="str">
        <f t="shared" si="59"/>
        <v>Not Comedy</v>
      </c>
      <c r="J900" s="21" t="str">
        <f t="shared" si="56"/>
        <v>Old</v>
      </c>
    </row>
    <row r="901" spans="1:10" x14ac:dyDescent="0.35">
      <c r="A901" s="4" t="s">
        <v>309</v>
      </c>
      <c r="B901" s="4" t="s">
        <v>310</v>
      </c>
      <c r="C901" s="4" t="s">
        <v>217</v>
      </c>
      <c r="D901" s="20">
        <v>3.2</v>
      </c>
      <c r="E901" s="4">
        <v>12633</v>
      </c>
      <c r="F901" s="4">
        <v>1994</v>
      </c>
      <c r="G901" s="21" t="str">
        <f t="shared" si="57"/>
        <v>Not Popular</v>
      </c>
      <c r="H901" s="21" t="str">
        <f t="shared" si="58"/>
        <v>Other</v>
      </c>
      <c r="I901" s="21" t="str">
        <f t="shared" si="59"/>
        <v>Comedy</v>
      </c>
      <c r="J901" s="21" t="str">
        <f t="shared" si="56"/>
        <v>Old</v>
      </c>
    </row>
    <row r="902" spans="1:10" x14ac:dyDescent="0.35">
      <c r="A902" s="4" t="s">
        <v>1676</v>
      </c>
      <c r="B902" s="4" t="s">
        <v>1677</v>
      </c>
      <c r="C902" s="4" t="s">
        <v>140</v>
      </c>
      <c r="D902" s="20">
        <v>5</v>
      </c>
      <c r="E902" s="4">
        <v>87941</v>
      </c>
      <c r="F902" s="4">
        <v>1994</v>
      </c>
      <c r="G902" s="21" t="str">
        <f t="shared" si="57"/>
        <v>Not Popular</v>
      </c>
      <c r="H902" s="21" t="str">
        <f t="shared" si="58"/>
        <v>Other</v>
      </c>
      <c r="I902" s="21" t="str">
        <f t="shared" si="59"/>
        <v>Comedy</v>
      </c>
      <c r="J902" s="21" t="str">
        <f t="shared" si="56"/>
        <v>Old</v>
      </c>
    </row>
    <row r="903" spans="1:10" x14ac:dyDescent="0.35">
      <c r="A903" s="4" t="s">
        <v>347</v>
      </c>
      <c r="B903" s="4" t="s">
        <v>348</v>
      </c>
      <c r="C903" s="4" t="s">
        <v>349</v>
      </c>
      <c r="D903" s="20">
        <v>3.4</v>
      </c>
      <c r="E903" s="4">
        <v>26805</v>
      </c>
      <c r="F903" s="4">
        <v>1994</v>
      </c>
      <c r="G903" s="21" t="str">
        <f t="shared" si="57"/>
        <v>Not Popular</v>
      </c>
      <c r="H903" s="21" t="str">
        <f t="shared" si="58"/>
        <v>Horror or Thriller</v>
      </c>
      <c r="I903" s="21" t="str">
        <f t="shared" si="59"/>
        <v>Comedy</v>
      </c>
      <c r="J903" s="21" t="str">
        <f t="shared" si="56"/>
        <v>Old</v>
      </c>
    </row>
    <row r="904" spans="1:10" x14ac:dyDescent="0.35">
      <c r="A904" s="4" t="s">
        <v>635</v>
      </c>
      <c r="B904" s="4" t="s">
        <v>636</v>
      </c>
      <c r="C904" s="4" t="s">
        <v>178</v>
      </c>
      <c r="D904" s="20">
        <v>4.0999999999999996</v>
      </c>
      <c r="E904" s="4">
        <v>76574</v>
      </c>
      <c r="F904" s="4">
        <v>1994</v>
      </c>
      <c r="G904" s="21" t="str">
        <f t="shared" si="57"/>
        <v>Not Popular</v>
      </c>
      <c r="H904" s="21" t="str">
        <f t="shared" si="58"/>
        <v>Action or Drama</v>
      </c>
      <c r="I904" s="21" t="str">
        <f t="shared" si="59"/>
        <v>Comedy</v>
      </c>
      <c r="J904" s="21" t="str">
        <f t="shared" si="56"/>
        <v>Old</v>
      </c>
    </row>
    <row r="905" spans="1:10" x14ac:dyDescent="0.35">
      <c r="A905" s="4" t="s">
        <v>368</v>
      </c>
      <c r="B905" s="4" t="s">
        <v>369</v>
      </c>
      <c r="C905" s="4" t="s">
        <v>214</v>
      </c>
      <c r="D905" s="20">
        <v>3.5</v>
      </c>
      <c r="E905" s="4">
        <v>36715</v>
      </c>
      <c r="F905" s="4">
        <v>1994</v>
      </c>
      <c r="G905" s="21" t="str">
        <f t="shared" si="57"/>
        <v>Not Popular</v>
      </c>
      <c r="H905" s="21" t="str">
        <f t="shared" si="58"/>
        <v>Other</v>
      </c>
      <c r="I905" s="21" t="str">
        <f t="shared" si="59"/>
        <v>Comedy</v>
      </c>
      <c r="J905" s="21" t="str">
        <f t="shared" si="56"/>
        <v>Old</v>
      </c>
    </row>
    <row r="906" spans="1:10" x14ac:dyDescent="0.35">
      <c r="A906" s="4" t="s">
        <v>1068</v>
      </c>
      <c r="B906" s="4" t="s">
        <v>1069</v>
      </c>
      <c r="C906" s="4" t="s">
        <v>134</v>
      </c>
      <c r="D906" s="20">
        <v>4.5999999999999996</v>
      </c>
      <c r="E906" s="4">
        <v>25861</v>
      </c>
      <c r="F906" s="4">
        <v>1994</v>
      </c>
      <c r="G906" s="21" t="str">
        <f t="shared" si="57"/>
        <v>Not Popular</v>
      </c>
      <c r="H906" s="21" t="str">
        <f t="shared" si="58"/>
        <v>Action or Drama</v>
      </c>
      <c r="I906" s="21" t="str">
        <f t="shared" si="59"/>
        <v>Not Comedy</v>
      </c>
      <c r="J906" s="21" t="str">
        <f t="shared" si="56"/>
        <v>Old</v>
      </c>
    </row>
    <row r="907" spans="1:10" x14ac:dyDescent="0.35">
      <c r="A907" s="4" t="s">
        <v>988</v>
      </c>
      <c r="B907" s="4" t="s">
        <v>989</v>
      </c>
      <c r="C907" s="4" t="s">
        <v>549</v>
      </c>
      <c r="D907" s="20">
        <v>4.5</v>
      </c>
      <c r="E907" s="4">
        <v>14962</v>
      </c>
      <c r="F907" s="4">
        <v>1994</v>
      </c>
      <c r="G907" s="21" t="str">
        <f t="shared" si="57"/>
        <v>Not Popular</v>
      </c>
      <c r="H907" s="21" t="str">
        <f t="shared" si="58"/>
        <v>Action or Drama</v>
      </c>
      <c r="I907" s="21" t="str">
        <f t="shared" si="59"/>
        <v>Comedy</v>
      </c>
      <c r="J907" s="21" t="str">
        <f t="shared" si="56"/>
        <v>Old</v>
      </c>
    </row>
    <row r="908" spans="1:10" x14ac:dyDescent="0.35">
      <c r="A908" s="4" t="s">
        <v>1132</v>
      </c>
      <c r="B908" s="4" t="s">
        <v>1133</v>
      </c>
      <c r="C908" s="4" t="s">
        <v>270</v>
      </c>
      <c r="D908" s="20">
        <v>4.5999999999999996</v>
      </c>
      <c r="E908" s="4">
        <v>12193</v>
      </c>
      <c r="F908" s="4">
        <v>1994</v>
      </c>
      <c r="G908" s="21" t="str">
        <f t="shared" si="57"/>
        <v>Not Popular</v>
      </c>
      <c r="H908" s="21" t="str">
        <f t="shared" si="58"/>
        <v>Horror or Thriller</v>
      </c>
      <c r="I908" s="21" t="str">
        <f t="shared" si="59"/>
        <v>Comedy</v>
      </c>
      <c r="J908" s="21" t="str">
        <f t="shared" si="56"/>
        <v>Old</v>
      </c>
    </row>
    <row r="909" spans="1:10" x14ac:dyDescent="0.35">
      <c r="A909" s="4" t="s">
        <v>1167</v>
      </c>
      <c r="B909" s="4" t="s">
        <v>1168</v>
      </c>
      <c r="C909" s="4" t="s">
        <v>944</v>
      </c>
      <c r="D909" s="20">
        <v>4.7</v>
      </c>
      <c r="E909" s="4">
        <v>74118</v>
      </c>
      <c r="F909" s="4">
        <v>1994</v>
      </c>
      <c r="G909" s="21" t="str">
        <f t="shared" si="57"/>
        <v>Not Popular</v>
      </c>
      <c r="H909" s="21" t="str">
        <f t="shared" si="58"/>
        <v>Other</v>
      </c>
      <c r="I909" s="21" t="str">
        <f t="shared" si="59"/>
        <v>Comedy</v>
      </c>
      <c r="J909" s="21" t="str">
        <f t="shared" si="56"/>
        <v>Old</v>
      </c>
    </row>
    <row r="910" spans="1:10" x14ac:dyDescent="0.35">
      <c r="A910" s="4" t="s">
        <v>239</v>
      </c>
      <c r="B910" s="4" t="s">
        <v>240</v>
      </c>
      <c r="C910" s="4" t="s">
        <v>11</v>
      </c>
      <c r="D910" s="20">
        <v>2.8</v>
      </c>
      <c r="E910" s="4">
        <v>10574</v>
      </c>
      <c r="F910" s="4">
        <v>1994</v>
      </c>
      <c r="G910" s="21" t="str">
        <f t="shared" si="57"/>
        <v>Not Popular</v>
      </c>
      <c r="H910" s="21" t="str">
        <f t="shared" si="58"/>
        <v>Other</v>
      </c>
      <c r="I910" s="21" t="str">
        <f t="shared" si="59"/>
        <v>Comedy</v>
      </c>
      <c r="J910" s="21" t="str">
        <f t="shared" si="56"/>
        <v>Old</v>
      </c>
    </row>
    <row r="911" spans="1:10" x14ac:dyDescent="0.35">
      <c r="A911" s="4" t="s">
        <v>1787</v>
      </c>
      <c r="B911" s="4" t="s">
        <v>1788</v>
      </c>
      <c r="C911" s="4" t="s">
        <v>1789</v>
      </c>
      <c r="D911" s="20">
        <v>5</v>
      </c>
      <c r="E911" s="4">
        <v>14933</v>
      </c>
      <c r="F911" s="4">
        <v>1994</v>
      </c>
      <c r="G911" s="21" t="str">
        <f t="shared" si="57"/>
        <v>Not Popular</v>
      </c>
      <c r="H911" s="21" t="str">
        <f t="shared" si="58"/>
        <v>Other</v>
      </c>
      <c r="I911" s="21" t="str">
        <f t="shared" si="59"/>
        <v>Comedy</v>
      </c>
      <c r="J911" s="21" t="str">
        <f t="shared" si="56"/>
        <v>Old</v>
      </c>
    </row>
    <row r="912" spans="1:10" x14ac:dyDescent="0.35">
      <c r="A912" s="4" t="s">
        <v>974</v>
      </c>
      <c r="B912" s="4" t="s">
        <v>975</v>
      </c>
      <c r="C912" s="4" t="s">
        <v>976</v>
      </c>
      <c r="D912" s="20">
        <v>4.5</v>
      </c>
      <c r="E912" s="4">
        <v>22416</v>
      </c>
      <c r="F912" s="4">
        <v>1994</v>
      </c>
      <c r="G912" s="21" t="str">
        <f t="shared" si="57"/>
        <v>Not Popular</v>
      </c>
      <c r="H912" s="21" t="str">
        <f t="shared" si="58"/>
        <v>Action or Drama</v>
      </c>
      <c r="I912" s="21" t="str">
        <f t="shared" si="59"/>
        <v>Not Comedy</v>
      </c>
      <c r="J912" s="21" t="str">
        <f t="shared" si="56"/>
        <v>Old</v>
      </c>
    </row>
    <row r="913" spans="1:10" x14ac:dyDescent="0.35">
      <c r="A913" s="4" t="s">
        <v>572</v>
      </c>
      <c r="B913" s="4" t="s">
        <v>573</v>
      </c>
      <c r="C913" s="4" t="s">
        <v>178</v>
      </c>
      <c r="D913" s="20">
        <v>3.9</v>
      </c>
      <c r="E913" s="4">
        <v>14096</v>
      </c>
      <c r="F913" s="4">
        <v>1994</v>
      </c>
      <c r="G913" s="21" t="str">
        <f t="shared" si="57"/>
        <v>Not Popular</v>
      </c>
      <c r="H913" s="21" t="str">
        <f t="shared" si="58"/>
        <v>Action or Drama</v>
      </c>
      <c r="I913" s="21" t="str">
        <f t="shared" si="59"/>
        <v>Comedy</v>
      </c>
      <c r="J913" s="21" t="str">
        <f t="shared" si="56"/>
        <v>Old</v>
      </c>
    </row>
    <row r="914" spans="1:10" x14ac:dyDescent="0.35">
      <c r="A914" s="4" t="s">
        <v>2076</v>
      </c>
      <c r="B914" s="4" t="s">
        <v>2077</v>
      </c>
      <c r="C914" s="4" t="s">
        <v>146</v>
      </c>
      <c r="D914" s="20">
        <v>5.0999999999999996</v>
      </c>
      <c r="E914" s="4">
        <v>10754</v>
      </c>
      <c r="F914" s="4">
        <v>1994</v>
      </c>
      <c r="G914" s="21" t="str">
        <f t="shared" si="57"/>
        <v>Popular</v>
      </c>
      <c r="H914" s="21" t="str">
        <f t="shared" si="58"/>
        <v>Action or Drama</v>
      </c>
      <c r="I914" s="21" t="str">
        <f t="shared" si="59"/>
        <v>Comedy</v>
      </c>
      <c r="J914" s="21" t="str">
        <f t="shared" si="56"/>
        <v>Old</v>
      </c>
    </row>
    <row r="915" spans="1:10" x14ac:dyDescent="0.35">
      <c r="A915" s="4" t="s">
        <v>1156</v>
      </c>
      <c r="B915" s="4" t="s">
        <v>1157</v>
      </c>
      <c r="C915" s="4" t="s">
        <v>524</v>
      </c>
      <c r="D915" s="20">
        <v>4.5999999999999996</v>
      </c>
      <c r="E915" s="4">
        <v>10089</v>
      </c>
      <c r="F915" s="4">
        <v>1994</v>
      </c>
      <c r="G915" s="21" t="str">
        <f t="shared" si="57"/>
        <v>Not Popular</v>
      </c>
      <c r="H915" s="21" t="str">
        <f t="shared" si="58"/>
        <v>Action or Drama</v>
      </c>
      <c r="I915" s="21" t="str">
        <f t="shared" si="59"/>
        <v>Comedy</v>
      </c>
      <c r="J915" s="21" t="str">
        <f t="shared" si="56"/>
        <v>Old</v>
      </c>
    </row>
    <row r="916" spans="1:10" x14ac:dyDescent="0.35">
      <c r="A916" s="4" t="s">
        <v>1458</v>
      </c>
      <c r="B916" s="4" t="s">
        <v>1459</v>
      </c>
      <c r="C916" s="4" t="s">
        <v>152</v>
      </c>
      <c r="D916" s="20">
        <v>4.8</v>
      </c>
      <c r="E916" s="4">
        <v>14707</v>
      </c>
      <c r="F916" s="4">
        <v>1993</v>
      </c>
      <c r="G916" s="21" t="str">
        <f t="shared" si="57"/>
        <v>Not Popular</v>
      </c>
      <c r="H916" s="21" t="str">
        <f t="shared" si="58"/>
        <v>Other</v>
      </c>
      <c r="I916" s="21" t="str">
        <f t="shared" si="59"/>
        <v>Comedy</v>
      </c>
      <c r="J916" s="21" t="str">
        <f t="shared" si="56"/>
        <v>Old</v>
      </c>
    </row>
    <row r="917" spans="1:10" x14ac:dyDescent="0.35">
      <c r="A917" s="4" t="s">
        <v>1968</v>
      </c>
      <c r="B917" s="4" t="s">
        <v>1969</v>
      </c>
      <c r="C917" s="4" t="s">
        <v>44</v>
      </c>
      <c r="D917" s="20">
        <v>5.0999999999999996</v>
      </c>
      <c r="E917" s="4">
        <v>20183</v>
      </c>
      <c r="F917" s="4">
        <v>1993</v>
      </c>
      <c r="G917" s="21" t="str">
        <f t="shared" si="57"/>
        <v>Popular</v>
      </c>
      <c r="H917" s="21" t="str">
        <f t="shared" si="58"/>
        <v>Other</v>
      </c>
      <c r="I917" s="21" t="str">
        <f t="shared" si="59"/>
        <v>Comedy</v>
      </c>
      <c r="J917" s="21" t="str">
        <f t="shared" si="56"/>
        <v>Old</v>
      </c>
    </row>
    <row r="918" spans="1:10" x14ac:dyDescent="0.35">
      <c r="A918" s="4" t="s">
        <v>1363</v>
      </c>
      <c r="B918" s="4" t="s">
        <v>1364</v>
      </c>
      <c r="C918" s="4" t="s">
        <v>178</v>
      </c>
      <c r="D918" s="20">
        <v>4.8</v>
      </c>
      <c r="E918" s="4">
        <v>37029</v>
      </c>
      <c r="F918" s="4">
        <v>1993</v>
      </c>
      <c r="G918" s="21" t="str">
        <f t="shared" si="57"/>
        <v>Not Popular</v>
      </c>
      <c r="H918" s="21" t="str">
        <f t="shared" si="58"/>
        <v>Action or Drama</v>
      </c>
      <c r="I918" s="21" t="str">
        <f t="shared" si="59"/>
        <v>Comedy</v>
      </c>
      <c r="J918" s="21" t="str">
        <f t="shared" si="56"/>
        <v>Old</v>
      </c>
    </row>
    <row r="919" spans="1:10" x14ac:dyDescent="0.35">
      <c r="A919" s="4" t="s">
        <v>687</v>
      </c>
      <c r="B919" s="4" t="s">
        <v>688</v>
      </c>
      <c r="C919" s="4" t="s">
        <v>217</v>
      </c>
      <c r="D919" s="20">
        <v>4.2</v>
      </c>
      <c r="E919" s="4">
        <v>64107</v>
      </c>
      <c r="F919" s="4">
        <v>1993</v>
      </c>
      <c r="G919" s="21" t="str">
        <f t="shared" si="57"/>
        <v>Not Popular</v>
      </c>
      <c r="H919" s="21" t="str">
        <f t="shared" si="58"/>
        <v>Other</v>
      </c>
      <c r="I919" s="21" t="str">
        <f t="shared" si="59"/>
        <v>Comedy</v>
      </c>
      <c r="J919" s="21" t="str">
        <f t="shared" si="56"/>
        <v>Old</v>
      </c>
    </row>
    <row r="920" spans="1:10" x14ac:dyDescent="0.35">
      <c r="A920" s="4" t="s">
        <v>1915</v>
      </c>
      <c r="B920" s="4" t="s">
        <v>1916</v>
      </c>
      <c r="C920" s="4" t="s">
        <v>31</v>
      </c>
      <c r="D920" s="20">
        <v>5.0999999999999996</v>
      </c>
      <c r="E920" s="4">
        <v>34730</v>
      </c>
      <c r="F920" s="4">
        <v>1993</v>
      </c>
      <c r="G920" s="21" t="str">
        <f t="shared" si="57"/>
        <v>Popular</v>
      </c>
      <c r="H920" s="21" t="str">
        <f t="shared" si="58"/>
        <v>Action or Drama</v>
      </c>
      <c r="I920" s="21" t="str">
        <f t="shared" si="59"/>
        <v>Not Comedy</v>
      </c>
      <c r="J920" s="21" t="str">
        <f t="shared" si="56"/>
        <v>Old</v>
      </c>
    </row>
    <row r="921" spans="1:10" x14ac:dyDescent="0.35">
      <c r="A921" s="4" t="s">
        <v>689</v>
      </c>
      <c r="B921" s="4" t="s">
        <v>690</v>
      </c>
      <c r="C921" s="4" t="s">
        <v>691</v>
      </c>
      <c r="D921" s="20">
        <v>4.2</v>
      </c>
      <c r="E921" s="4">
        <v>55420</v>
      </c>
      <c r="F921" s="4">
        <v>1993</v>
      </c>
      <c r="G921" s="21" t="str">
        <f t="shared" si="57"/>
        <v>Not Popular</v>
      </c>
      <c r="H921" s="21" t="str">
        <f t="shared" si="58"/>
        <v>Action or Drama</v>
      </c>
      <c r="I921" s="21" t="str">
        <f t="shared" si="59"/>
        <v>Not Comedy</v>
      </c>
      <c r="J921" s="21" t="str">
        <f t="shared" si="56"/>
        <v>Old</v>
      </c>
    </row>
    <row r="922" spans="1:10" x14ac:dyDescent="0.35">
      <c r="A922" s="4" t="s">
        <v>522</v>
      </c>
      <c r="B922" s="4" t="s">
        <v>523</v>
      </c>
      <c r="C922" s="4" t="s">
        <v>524</v>
      </c>
      <c r="D922" s="20">
        <v>3.8</v>
      </c>
      <c r="E922" s="4">
        <v>10355</v>
      </c>
      <c r="F922" s="4">
        <v>1993</v>
      </c>
      <c r="G922" s="21" t="str">
        <f t="shared" si="57"/>
        <v>Not Popular</v>
      </c>
      <c r="H922" s="21" t="str">
        <f t="shared" si="58"/>
        <v>Action or Drama</v>
      </c>
      <c r="I922" s="21" t="str">
        <f t="shared" si="59"/>
        <v>Comedy</v>
      </c>
      <c r="J922" s="21" t="str">
        <f t="shared" si="56"/>
        <v>Old</v>
      </c>
    </row>
    <row r="923" spans="1:10" x14ac:dyDescent="0.35">
      <c r="A923" s="4" t="s">
        <v>1988</v>
      </c>
      <c r="B923" s="4" t="s">
        <v>1989</v>
      </c>
      <c r="C923" s="4" t="s">
        <v>11</v>
      </c>
      <c r="D923" s="20">
        <v>5.0999999999999996</v>
      </c>
      <c r="E923" s="4">
        <v>18057</v>
      </c>
      <c r="F923" s="4">
        <v>1993</v>
      </c>
      <c r="G923" s="21" t="str">
        <f t="shared" si="57"/>
        <v>Popular</v>
      </c>
      <c r="H923" s="21" t="str">
        <f t="shared" si="58"/>
        <v>Other</v>
      </c>
      <c r="I923" s="21" t="str">
        <f t="shared" si="59"/>
        <v>Comedy</v>
      </c>
      <c r="J923" s="21" t="str">
        <f t="shared" ref="J923:J986" si="60">IF(F923&gt;2020, "Recent", "Old")</f>
        <v>Old</v>
      </c>
    </row>
    <row r="924" spans="1:10" x14ac:dyDescent="0.35">
      <c r="A924" s="4" t="s">
        <v>853</v>
      </c>
      <c r="B924" s="4" t="s">
        <v>854</v>
      </c>
      <c r="C924" s="4" t="s">
        <v>455</v>
      </c>
      <c r="D924" s="20">
        <v>4.4000000000000004</v>
      </c>
      <c r="E924" s="4">
        <v>31357</v>
      </c>
      <c r="F924" s="4">
        <v>1993</v>
      </c>
      <c r="G924" s="21" t="str">
        <f t="shared" si="57"/>
        <v>Not Popular</v>
      </c>
      <c r="H924" s="21" t="str">
        <f t="shared" si="58"/>
        <v>Other</v>
      </c>
      <c r="I924" s="21" t="str">
        <f t="shared" si="59"/>
        <v>Comedy</v>
      </c>
      <c r="J924" s="21" t="str">
        <f t="shared" si="60"/>
        <v>Old</v>
      </c>
    </row>
    <row r="925" spans="1:10" x14ac:dyDescent="0.35">
      <c r="A925" s="4" t="s">
        <v>1375</v>
      </c>
      <c r="B925" s="4" t="s">
        <v>1376</v>
      </c>
      <c r="C925" s="4" t="s">
        <v>270</v>
      </c>
      <c r="D925" s="20">
        <v>4.8</v>
      </c>
      <c r="E925" s="4">
        <v>31239</v>
      </c>
      <c r="F925" s="4">
        <v>1993</v>
      </c>
      <c r="G925" s="21" t="str">
        <f t="shared" si="57"/>
        <v>Not Popular</v>
      </c>
      <c r="H925" s="21" t="str">
        <f t="shared" si="58"/>
        <v>Horror or Thriller</v>
      </c>
      <c r="I925" s="21" t="str">
        <f t="shared" si="59"/>
        <v>Comedy</v>
      </c>
      <c r="J925" s="21" t="str">
        <f t="shared" si="60"/>
        <v>Old</v>
      </c>
    </row>
    <row r="926" spans="1:10" x14ac:dyDescent="0.35">
      <c r="A926" s="4" t="s">
        <v>637</v>
      </c>
      <c r="B926" s="4" t="s">
        <v>638</v>
      </c>
      <c r="C926" s="4" t="s">
        <v>639</v>
      </c>
      <c r="D926" s="20">
        <v>4.0999999999999996</v>
      </c>
      <c r="E926" s="4">
        <v>38080</v>
      </c>
      <c r="F926" s="4">
        <v>1993</v>
      </c>
      <c r="G926" s="21" t="str">
        <f t="shared" si="57"/>
        <v>Not Popular</v>
      </c>
      <c r="H926" s="21" t="str">
        <f t="shared" si="58"/>
        <v>Horror or Thriller</v>
      </c>
      <c r="I926" s="21" t="str">
        <f t="shared" si="59"/>
        <v>Not Comedy</v>
      </c>
      <c r="J926" s="21" t="str">
        <f t="shared" si="60"/>
        <v>Old</v>
      </c>
    </row>
    <row r="927" spans="1:10" x14ac:dyDescent="0.35">
      <c r="A927" s="4" t="s">
        <v>1286</v>
      </c>
      <c r="B927" s="4" t="s">
        <v>1287</v>
      </c>
      <c r="C927" s="4" t="s">
        <v>933</v>
      </c>
      <c r="D927" s="20">
        <v>4.7</v>
      </c>
      <c r="E927" s="4">
        <v>13343</v>
      </c>
      <c r="F927" s="4">
        <v>1993</v>
      </c>
      <c r="G927" s="21" t="str">
        <f t="shared" si="57"/>
        <v>Not Popular</v>
      </c>
      <c r="H927" s="21" t="str">
        <f t="shared" si="58"/>
        <v>Action or Drama</v>
      </c>
      <c r="I927" s="21" t="str">
        <f t="shared" si="59"/>
        <v>Not Comedy</v>
      </c>
      <c r="J927" s="21" t="str">
        <f t="shared" si="60"/>
        <v>Old</v>
      </c>
    </row>
    <row r="928" spans="1:10" x14ac:dyDescent="0.35">
      <c r="A928" s="4" t="s">
        <v>1109</v>
      </c>
      <c r="B928" s="4" t="s">
        <v>1110</v>
      </c>
      <c r="C928" s="4" t="s">
        <v>31</v>
      </c>
      <c r="D928" s="20">
        <v>4.5999999999999996</v>
      </c>
      <c r="E928" s="4">
        <v>16708</v>
      </c>
      <c r="F928" s="4">
        <v>1993</v>
      </c>
      <c r="G928" s="21" t="str">
        <f t="shared" si="57"/>
        <v>Not Popular</v>
      </c>
      <c r="H928" s="21" t="str">
        <f t="shared" si="58"/>
        <v>Action or Drama</v>
      </c>
      <c r="I928" s="21" t="str">
        <f t="shared" si="59"/>
        <v>Not Comedy</v>
      </c>
      <c r="J928" s="21" t="str">
        <f t="shared" si="60"/>
        <v>Old</v>
      </c>
    </row>
    <row r="929" spans="1:10" x14ac:dyDescent="0.35">
      <c r="A929" s="4" t="s">
        <v>1739</v>
      </c>
      <c r="B929" s="4" t="s">
        <v>1740</v>
      </c>
      <c r="C929" s="4" t="s">
        <v>455</v>
      </c>
      <c r="D929" s="20">
        <v>5</v>
      </c>
      <c r="E929" s="4">
        <v>30157</v>
      </c>
      <c r="F929" s="4">
        <v>1993</v>
      </c>
      <c r="G929" s="21" t="str">
        <f t="shared" si="57"/>
        <v>Not Popular</v>
      </c>
      <c r="H929" s="21" t="str">
        <f t="shared" si="58"/>
        <v>Other</v>
      </c>
      <c r="I929" s="21" t="str">
        <f t="shared" si="59"/>
        <v>Comedy</v>
      </c>
      <c r="J929" s="21" t="str">
        <f t="shared" si="60"/>
        <v>Old</v>
      </c>
    </row>
    <row r="930" spans="1:10" x14ac:dyDescent="0.35">
      <c r="A930" s="4" t="s">
        <v>1917</v>
      </c>
      <c r="B930" s="4" t="s">
        <v>1918</v>
      </c>
      <c r="C930" s="4" t="s">
        <v>549</v>
      </c>
      <c r="D930" s="20">
        <v>5.0999999999999996</v>
      </c>
      <c r="E930" s="4">
        <v>34036</v>
      </c>
      <c r="F930" s="4">
        <v>1992</v>
      </c>
      <c r="G930" s="21" t="str">
        <f t="shared" si="57"/>
        <v>Popular</v>
      </c>
      <c r="H930" s="21" t="str">
        <f t="shared" si="58"/>
        <v>Action or Drama</v>
      </c>
      <c r="I930" s="21" t="str">
        <f t="shared" si="59"/>
        <v>Comedy</v>
      </c>
      <c r="J930" s="21" t="str">
        <f t="shared" si="60"/>
        <v>Old</v>
      </c>
    </row>
    <row r="931" spans="1:10" x14ac:dyDescent="0.35">
      <c r="A931" s="4" t="s">
        <v>841</v>
      </c>
      <c r="B931" s="4" t="s">
        <v>842</v>
      </c>
      <c r="C931" s="4" t="s">
        <v>843</v>
      </c>
      <c r="D931" s="20">
        <v>4.4000000000000004</v>
      </c>
      <c r="E931" s="4">
        <v>45378</v>
      </c>
      <c r="F931" s="4">
        <v>1992</v>
      </c>
      <c r="G931" s="21" t="str">
        <f t="shared" si="57"/>
        <v>Not Popular</v>
      </c>
      <c r="H931" s="21" t="str">
        <f t="shared" si="58"/>
        <v>Action or Drama</v>
      </c>
      <c r="I931" s="21" t="str">
        <f t="shared" si="59"/>
        <v>Comedy</v>
      </c>
      <c r="J931" s="21" t="str">
        <f t="shared" si="60"/>
        <v>Old</v>
      </c>
    </row>
    <row r="932" spans="1:10" x14ac:dyDescent="0.35">
      <c r="A932" s="4" t="s">
        <v>1596</v>
      </c>
      <c r="B932" s="4" t="s">
        <v>1597</v>
      </c>
      <c r="C932" s="4" t="s">
        <v>639</v>
      </c>
      <c r="D932" s="20">
        <v>4.9000000000000004</v>
      </c>
      <c r="E932" s="4">
        <v>23991</v>
      </c>
      <c r="F932" s="4">
        <v>1992</v>
      </c>
      <c r="G932" s="21" t="str">
        <f t="shared" si="57"/>
        <v>Not Popular</v>
      </c>
      <c r="H932" s="21" t="str">
        <f t="shared" si="58"/>
        <v>Horror or Thriller</v>
      </c>
      <c r="I932" s="21" t="str">
        <f t="shared" si="59"/>
        <v>Not Comedy</v>
      </c>
      <c r="J932" s="21" t="str">
        <f t="shared" si="60"/>
        <v>Old</v>
      </c>
    </row>
    <row r="933" spans="1:10" x14ac:dyDescent="0.35">
      <c r="A933" s="4" t="s">
        <v>1561</v>
      </c>
      <c r="B933" s="4" t="s">
        <v>1562</v>
      </c>
      <c r="C933" s="4" t="s">
        <v>217</v>
      </c>
      <c r="D933" s="20">
        <v>4.9000000000000004</v>
      </c>
      <c r="E933" s="4">
        <v>47571</v>
      </c>
      <c r="F933" s="4">
        <v>1992</v>
      </c>
      <c r="G933" s="21" t="str">
        <f t="shared" si="57"/>
        <v>Not Popular</v>
      </c>
      <c r="H933" s="21" t="str">
        <f t="shared" si="58"/>
        <v>Other</v>
      </c>
      <c r="I933" s="21" t="str">
        <f t="shared" si="59"/>
        <v>Comedy</v>
      </c>
      <c r="J933" s="21" t="str">
        <f t="shared" si="60"/>
        <v>Old</v>
      </c>
    </row>
    <row r="934" spans="1:10" x14ac:dyDescent="0.35">
      <c r="A934" s="4" t="s">
        <v>1391</v>
      </c>
      <c r="B934" s="4" t="s">
        <v>1392</v>
      </c>
      <c r="C934" s="4" t="s">
        <v>87</v>
      </c>
      <c r="D934" s="20">
        <v>4.8</v>
      </c>
      <c r="E934" s="4">
        <v>25429</v>
      </c>
      <c r="F934" s="4">
        <v>1992</v>
      </c>
      <c r="G934" s="21" t="str">
        <f t="shared" si="57"/>
        <v>Not Popular</v>
      </c>
      <c r="H934" s="21" t="str">
        <f t="shared" si="58"/>
        <v>Other</v>
      </c>
      <c r="I934" s="21" t="str">
        <f t="shared" si="59"/>
        <v>Comedy</v>
      </c>
      <c r="J934" s="21" t="str">
        <f t="shared" si="60"/>
        <v>Old</v>
      </c>
    </row>
    <row r="935" spans="1:10" x14ac:dyDescent="0.35">
      <c r="A935" s="4" t="s">
        <v>1138</v>
      </c>
      <c r="B935" s="4" t="s">
        <v>1139</v>
      </c>
      <c r="C935" s="4" t="s">
        <v>62</v>
      </c>
      <c r="D935" s="20">
        <v>4.5999999999999996</v>
      </c>
      <c r="E935" s="4">
        <v>11373</v>
      </c>
      <c r="F935" s="4">
        <v>1991</v>
      </c>
      <c r="G935" s="21" t="str">
        <f t="shared" si="57"/>
        <v>Not Popular</v>
      </c>
      <c r="H935" s="21" t="str">
        <f t="shared" si="58"/>
        <v>Action or Drama</v>
      </c>
      <c r="I935" s="21" t="str">
        <f t="shared" si="59"/>
        <v>Comedy</v>
      </c>
      <c r="J935" s="21" t="str">
        <f t="shared" si="60"/>
        <v>Old</v>
      </c>
    </row>
    <row r="936" spans="1:10" x14ac:dyDescent="0.35">
      <c r="A936" s="4" t="s">
        <v>1150</v>
      </c>
      <c r="B936" s="4" t="s">
        <v>1151</v>
      </c>
      <c r="C936" s="4" t="s">
        <v>101</v>
      </c>
      <c r="D936" s="20">
        <v>4.5999999999999996</v>
      </c>
      <c r="E936" s="4">
        <v>10475</v>
      </c>
      <c r="F936" s="4">
        <v>1991</v>
      </c>
      <c r="G936" s="21" t="str">
        <f t="shared" si="57"/>
        <v>Not Popular</v>
      </c>
      <c r="H936" s="21" t="str">
        <f t="shared" si="58"/>
        <v>Action or Drama</v>
      </c>
      <c r="I936" s="21" t="str">
        <f t="shared" si="59"/>
        <v>Not Comedy</v>
      </c>
      <c r="J936" s="21" t="str">
        <f t="shared" si="60"/>
        <v>Old</v>
      </c>
    </row>
    <row r="937" spans="1:10" x14ac:dyDescent="0.35">
      <c r="A937" s="4" t="s">
        <v>1594</v>
      </c>
      <c r="B937" s="4" t="s">
        <v>1595</v>
      </c>
      <c r="C937" s="4" t="s">
        <v>44</v>
      </c>
      <c r="D937" s="20">
        <v>4.9000000000000004</v>
      </c>
      <c r="E937" s="4">
        <v>24124</v>
      </c>
      <c r="F937" s="4">
        <v>1991</v>
      </c>
      <c r="G937" s="21" t="str">
        <f t="shared" si="57"/>
        <v>Not Popular</v>
      </c>
      <c r="H937" s="21" t="str">
        <f t="shared" si="58"/>
        <v>Other</v>
      </c>
      <c r="I937" s="21" t="str">
        <f t="shared" si="59"/>
        <v>Comedy</v>
      </c>
      <c r="J937" s="21" t="str">
        <f t="shared" si="60"/>
        <v>Old</v>
      </c>
    </row>
    <row r="938" spans="1:10" x14ac:dyDescent="0.35">
      <c r="A938" s="4" t="s">
        <v>1931</v>
      </c>
      <c r="B938" s="4" t="s">
        <v>1932</v>
      </c>
      <c r="C938" s="4" t="s">
        <v>11</v>
      </c>
      <c r="D938" s="20">
        <v>5.0999999999999996</v>
      </c>
      <c r="E938" s="4">
        <v>28077</v>
      </c>
      <c r="F938" s="4">
        <v>1991</v>
      </c>
      <c r="G938" s="21" t="str">
        <f t="shared" si="57"/>
        <v>Popular</v>
      </c>
      <c r="H938" s="21" t="str">
        <f t="shared" si="58"/>
        <v>Other</v>
      </c>
      <c r="I938" s="21" t="str">
        <f t="shared" si="59"/>
        <v>Comedy</v>
      </c>
      <c r="J938" s="21" t="str">
        <f t="shared" si="60"/>
        <v>Old</v>
      </c>
    </row>
    <row r="939" spans="1:10" x14ac:dyDescent="0.35">
      <c r="A939" s="4" t="s">
        <v>694</v>
      </c>
      <c r="B939" s="4" t="s">
        <v>695</v>
      </c>
      <c r="C939" s="4" t="s">
        <v>166</v>
      </c>
      <c r="D939" s="20">
        <v>4.2</v>
      </c>
      <c r="E939" s="4">
        <v>48638</v>
      </c>
      <c r="F939" s="4">
        <v>1991</v>
      </c>
      <c r="G939" s="21" t="str">
        <f t="shared" si="57"/>
        <v>Not Popular</v>
      </c>
      <c r="H939" s="21" t="str">
        <f t="shared" si="58"/>
        <v>Action or Drama</v>
      </c>
      <c r="I939" s="21" t="str">
        <f t="shared" si="59"/>
        <v>Not Comedy</v>
      </c>
      <c r="J939" s="21" t="str">
        <f t="shared" si="60"/>
        <v>Old</v>
      </c>
    </row>
    <row r="940" spans="1:10" x14ac:dyDescent="0.35">
      <c r="A940" s="4" t="s">
        <v>1181</v>
      </c>
      <c r="B940" s="4" t="s">
        <v>1182</v>
      </c>
      <c r="C940" s="4" t="s">
        <v>859</v>
      </c>
      <c r="D940" s="20">
        <v>4.7</v>
      </c>
      <c r="E940" s="4">
        <v>52423</v>
      </c>
      <c r="F940" s="4">
        <v>1991</v>
      </c>
      <c r="G940" s="21" t="str">
        <f t="shared" si="57"/>
        <v>Not Popular</v>
      </c>
      <c r="H940" s="21" t="str">
        <f t="shared" si="58"/>
        <v>Horror or Thriller</v>
      </c>
      <c r="I940" s="21" t="str">
        <f t="shared" si="59"/>
        <v>Not Comedy</v>
      </c>
      <c r="J940" s="21" t="str">
        <f t="shared" si="60"/>
        <v>Old</v>
      </c>
    </row>
    <row r="941" spans="1:10" x14ac:dyDescent="0.35">
      <c r="A941" s="4" t="s">
        <v>996</v>
      </c>
      <c r="B941" s="4" t="s">
        <v>997</v>
      </c>
      <c r="C941" s="4" t="s">
        <v>137</v>
      </c>
      <c r="D941" s="20">
        <v>4.5</v>
      </c>
      <c r="E941" s="4">
        <v>13577</v>
      </c>
      <c r="F941" s="4">
        <v>1991</v>
      </c>
      <c r="G941" s="21" t="str">
        <f t="shared" si="57"/>
        <v>Not Popular</v>
      </c>
      <c r="H941" s="21" t="str">
        <f t="shared" si="58"/>
        <v>Horror or Thriller</v>
      </c>
      <c r="I941" s="21" t="str">
        <f t="shared" si="59"/>
        <v>Comedy</v>
      </c>
      <c r="J941" s="21" t="str">
        <f t="shared" si="60"/>
        <v>Old</v>
      </c>
    </row>
    <row r="942" spans="1:10" x14ac:dyDescent="0.35">
      <c r="A942" s="4" t="s">
        <v>259</v>
      </c>
      <c r="B942" s="4" t="s">
        <v>260</v>
      </c>
      <c r="C942" s="4" t="s">
        <v>261</v>
      </c>
      <c r="D942" s="20">
        <v>2.9</v>
      </c>
      <c r="E942" s="4">
        <v>10570</v>
      </c>
      <c r="F942" s="4">
        <v>1991</v>
      </c>
      <c r="G942" s="21" t="str">
        <f t="shared" si="57"/>
        <v>Not Popular</v>
      </c>
      <c r="H942" s="21" t="str">
        <f t="shared" si="58"/>
        <v>Action or Drama</v>
      </c>
      <c r="I942" s="21" t="str">
        <f t="shared" si="59"/>
        <v>Comedy</v>
      </c>
      <c r="J942" s="21" t="str">
        <f t="shared" si="60"/>
        <v>Old</v>
      </c>
    </row>
    <row r="943" spans="1:10" x14ac:dyDescent="0.35">
      <c r="A943" s="4" t="s">
        <v>2166</v>
      </c>
      <c r="B943" s="4" t="s">
        <v>2167</v>
      </c>
      <c r="C943" s="4" t="s">
        <v>82</v>
      </c>
      <c r="D943" s="20">
        <v>5.2</v>
      </c>
      <c r="E943" s="4">
        <v>47876</v>
      </c>
      <c r="F943" s="4">
        <v>1991</v>
      </c>
      <c r="G943" s="21" t="str">
        <f t="shared" si="57"/>
        <v>Popular</v>
      </c>
      <c r="H943" s="21" t="str">
        <f t="shared" si="58"/>
        <v>Horror or Thriller</v>
      </c>
      <c r="I943" s="21" t="str">
        <f t="shared" si="59"/>
        <v>Not Comedy</v>
      </c>
      <c r="J943" s="21" t="str">
        <f t="shared" si="60"/>
        <v>Old</v>
      </c>
    </row>
    <row r="944" spans="1:10" x14ac:dyDescent="0.35">
      <c r="A944" s="4" t="s">
        <v>268</v>
      </c>
      <c r="B944" s="4" t="s">
        <v>269</v>
      </c>
      <c r="C944" s="4" t="s">
        <v>270</v>
      </c>
      <c r="D944" s="20">
        <v>3</v>
      </c>
      <c r="E944" s="4">
        <v>35335</v>
      </c>
      <c r="F944" s="4">
        <v>1990</v>
      </c>
      <c r="G944" s="21" t="str">
        <f t="shared" si="57"/>
        <v>Not Popular</v>
      </c>
      <c r="H944" s="21" t="str">
        <f t="shared" si="58"/>
        <v>Horror or Thriller</v>
      </c>
      <c r="I944" s="21" t="str">
        <f t="shared" si="59"/>
        <v>Comedy</v>
      </c>
      <c r="J944" s="21" t="str">
        <f t="shared" si="60"/>
        <v>Old</v>
      </c>
    </row>
    <row r="945" spans="1:10" x14ac:dyDescent="0.35">
      <c r="A945" s="4" t="s">
        <v>1933</v>
      </c>
      <c r="B945" s="4" t="s">
        <v>1934</v>
      </c>
      <c r="C945" s="4" t="s">
        <v>762</v>
      </c>
      <c r="D945" s="20">
        <v>5.0999999999999996</v>
      </c>
      <c r="E945" s="4">
        <v>27917</v>
      </c>
      <c r="F945" s="4">
        <v>1990</v>
      </c>
      <c r="G945" s="21" t="str">
        <f t="shared" si="57"/>
        <v>Popular</v>
      </c>
      <c r="H945" s="21" t="str">
        <f t="shared" si="58"/>
        <v>Action or Drama</v>
      </c>
      <c r="I945" s="21" t="str">
        <f t="shared" si="59"/>
        <v>Not Comedy</v>
      </c>
      <c r="J945" s="21" t="str">
        <f t="shared" si="60"/>
        <v>Old</v>
      </c>
    </row>
    <row r="946" spans="1:10" x14ac:dyDescent="0.35">
      <c r="A946" s="4" t="s">
        <v>1519</v>
      </c>
      <c r="B946" s="4" t="s">
        <v>1520</v>
      </c>
      <c r="C946" s="4" t="s">
        <v>270</v>
      </c>
      <c r="D946" s="20">
        <v>4.8</v>
      </c>
      <c r="E946" s="4">
        <v>10133</v>
      </c>
      <c r="F946" s="4">
        <v>1990</v>
      </c>
      <c r="G946" s="21" t="str">
        <f t="shared" si="57"/>
        <v>Not Popular</v>
      </c>
      <c r="H946" s="21" t="str">
        <f t="shared" si="58"/>
        <v>Horror or Thriller</v>
      </c>
      <c r="I946" s="21" t="str">
        <f t="shared" si="59"/>
        <v>Comedy</v>
      </c>
      <c r="J946" s="21" t="str">
        <f t="shared" si="60"/>
        <v>Old</v>
      </c>
    </row>
    <row r="947" spans="1:10" x14ac:dyDescent="0.35">
      <c r="A947" s="4" t="s">
        <v>1189</v>
      </c>
      <c r="B947" s="4" t="s">
        <v>1190</v>
      </c>
      <c r="C947" s="4" t="s">
        <v>455</v>
      </c>
      <c r="D947" s="20">
        <v>4.7</v>
      </c>
      <c r="E947" s="4">
        <v>49375</v>
      </c>
      <c r="F947" s="4">
        <v>1990</v>
      </c>
      <c r="G947" s="21" t="str">
        <f t="shared" si="57"/>
        <v>Not Popular</v>
      </c>
      <c r="H947" s="21" t="str">
        <f t="shared" si="58"/>
        <v>Other</v>
      </c>
      <c r="I947" s="21" t="str">
        <f t="shared" si="59"/>
        <v>Comedy</v>
      </c>
      <c r="J947" s="21" t="str">
        <f t="shared" si="60"/>
        <v>Old</v>
      </c>
    </row>
    <row r="948" spans="1:10" x14ac:dyDescent="0.35">
      <c r="A948" s="4" t="s">
        <v>1767</v>
      </c>
      <c r="B948" s="4" t="s">
        <v>1768</v>
      </c>
      <c r="C948" s="4" t="s">
        <v>82</v>
      </c>
      <c r="D948" s="20">
        <v>5</v>
      </c>
      <c r="E948" s="4">
        <v>20034</v>
      </c>
      <c r="F948" s="4">
        <v>1990</v>
      </c>
      <c r="G948" s="21" t="str">
        <f t="shared" si="57"/>
        <v>Not Popular</v>
      </c>
      <c r="H948" s="21" t="str">
        <f t="shared" si="58"/>
        <v>Horror or Thriller</v>
      </c>
      <c r="I948" s="21" t="str">
        <f t="shared" si="59"/>
        <v>Not Comedy</v>
      </c>
      <c r="J948" s="21" t="str">
        <f t="shared" si="60"/>
        <v>Old</v>
      </c>
    </row>
    <row r="949" spans="1:10" x14ac:dyDescent="0.35">
      <c r="A949" s="4" t="s">
        <v>1801</v>
      </c>
      <c r="B949" s="4" t="s">
        <v>1802</v>
      </c>
      <c r="C949" s="4" t="s">
        <v>76</v>
      </c>
      <c r="D949" s="20">
        <v>5</v>
      </c>
      <c r="E949" s="4">
        <v>13053</v>
      </c>
      <c r="F949" s="4">
        <v>1990</v>
      </c>
      <c r="G949" s="21" t="str">
        <f t="shared" si="57"/>
        <v>Not Popular</v>
      </c>
      <c r="H949" s="21" t="str">
        <f t="shared" si="58"/>
        <v>Horror or Thriller</v>
      </c>
      <c r="I949" s="21" t="str">
        <f t="shared" si="59"/>
        <v>Not Comedy</v>
      </c>
      <c r="J949" s="21" t="str">
        <f t="shared" si="60"/>
        <v>Old</v>
      </c>
    </row>
    <row r="950" spans="1:10" x14ac:dyDescent="0.35">
      <c r="A950" s="4" t="s">
        <v>302</v>
      </c>
      <c r="B950" s="4" t="s">
        <v>303</v>
      </c>
      <c r="C950" s="4" t="s">
        <v>163</v>
      </c>
      <c r="D950" s="20">
        <v>3.2</v>
      </c>
      <c r="E950" s="4">
        <v>15389</v>
      </c>
      <c r="F950" s="4">
        <v>1990</v>
      </c>
      <c r="G950" s="21" t="str">
        <f t="shared" si="57"/>
        <v>Not Popular</v>
      </c>
      <c r="H950" s="21" t="str">
        <f t="shared" si="58"/>
        <v>Action or Drama</v>
      </c>
      <c r="I950" s="21" t="str">
        <f t="shared" si="59"/>
        <v>Not Comedy</v>
      </c>
      <c r="J950" s="21" t="str">
        <f t="shared" si="60"/>
        <v>Old</v>
      </c>
    </row>
    <row r="951" spans="1:10" x14ac:dyDescent="0.35">
      <c r="A951" s="4" t="s">
        <v>998</v>
      </c>
      <c r="B951" s="4" t="s">
        <v>999</v>
      </c>
      <c r="C951" s="4" t="s">
        <v>208</v>
      </c>
      <c r="D951" s="20">
        <v>4.5</v>
      </c>
      <c r="E951" s="4">
        <v>13136</v>
      </c>
      <c r="F951" s="4">
        <v>1989</v>
      </c>
      <c r="G951" s="21" t="str">
        <f t="shared" si="57"/>
        <v>Not Popular</v>
      </c>
      <c r="H951" s="21" t="str">
        <f t="shared" si="58"/>
        <v>Action or Drama</v>
      </c>
      <c r="I951" s="21" t="str">
        <f t="shared" si="59"/>
        <v>Not Comedy</v>
      </c>
      <c r="J951" s="21" t="str">
        <f t="shared" si="60"/>
        <v>Old</v>
      </c>
    </row>
    <row r="952" spans="1:10" x14ac:dyDescent="0.35">
      <c r="A952" s="4" t="s">
        <v>1941</v>
      </c>
      <c r="B952" s="4" t="s">
        <v>1942</v>
      </c>
      <c r="C952" s="4" t="s">
        <v>1075</v>
      </c>
      <c r="D952" s="20">
        <v>5.0999999999999996</v>
      </c>
      <c r="E952" s="4">
        <v>25219</v>
      </c>
      <c r="F952" s="4">
        <v>1989</v>
      </c>
      <c r="G952" s="21" t="str">
        <f t="shared" si="57"/>
        <v>Popular</v>
      </c>
      <c r="H952" s="21" t="str">
        <f t="shared" si="58"/>
        <v>Action or Drama</v>
      </c>
      <c r="I952" s="21" t="str">
        <f t="shared" si="59"/>
        <v>Not Comedy</v>
      </c>
      <c r="J952" s="21" t="str">
        <f t="shared" si="60"/>
        <v>Old</v>
      </c>
    </row>
    <row r="953" spans="1:10" x14ac:dyDescent="0.35">
      <c r="A953" s="4" t="s">
        <v>851</v>
      </c>
      <c r="B953" s="4" t="s">
        <v>852</v>
      </c>
      <c r="C953" s="4" t="s">
        <v>214</v>
      </c>
      <c r="D953" s="20">
        <v>4.4000000000000004</v>
      </c>
      <c r="E953" s="4">
        <v>33689</v>
      </c>
      <c r="F953" s="4">
        <v>1989</v>
      </c>
      <c r="G953" s="21" t="str">
        <f t="shared" si="57"/>
        <v>Not Popular</v>
      </c>
      <c r="H953" s="21" t="str">
        <f t="shared" si="58"/>
        <v>Other</v>
      </c>
      <c r="I953" s="21" t="str">
        <f t="shared" si="59"/>
        <v>Comedy</v>
      </c>
      <c r="J953" s="21" t="str">
        <f t="shared" si="60"/>
        <v>Old</v>
      </c>
    </row>
    <row r="954" spans="1:10" x14ac:dyDescent="0.35">
      <c r="A954" s="4" t="s">
        <v>1557</v>
      </c>
      <c r="B954" s="4" t="s">
        <v>1558</v>
      </c>
      <c r="C954" s="4" t="s">
        <v>82</v>
      </c>
      <c r="D954" s="20">
        <v>4.9000000000000004</v>
      </c>
      <c r="E954" s="4">
        <v>48639</v>
      </c>
      <c r="F954" s="4">
        <v>1989</v>
      </c>
      <c r="G954" s="21" t="str">
        <f t="shared" si="57"/>
        <v>Not Popular</v>
      </c>
      <c r="H954" s="21" t="str">
        <f t="shared" si="58"/>
        <v>Horror or Thriller</v>
      </c>
      <c r="I954" s="21" t="str">
        <f t="shared" si="59"/>
        <v>Not Comedy</v>
      </c>
      <c r="J954" s="21" t="str">
        <f t="shared" si="60"/>
        <v>Old</v>
      </c>
    </row>
    <row r="955" spans="1:10" x14ac:dyDescent="0.35">
      <c r="A955" s="4" t="s">
        <v>94</v>
      </c>
      <c r="B955" s="4" t="s">
        <v>95</v>
      </c>
      <c r="C955" s="4" t="s">
        <v>11</v>
      </c>
      <c r="D955" s="20">
        <v>1.8</v>
      </c>
      <c r="E955" s="4">
        <v>14728</v>
      </c>
      <c r="F955" s="4">
        <v>1989</v>
      </c>
      <c r="G955" s="21" t="str">
        <f t="shared" si="57"/>
        <v>Not Popular</v>
      </c>
      <c r="H955" s="21" t="str">
        <f t="shared" si="58"/>
        <v>Other</v>
      </c>
      <c r="I955" s="21" t="str">
        <f t="shared" si="59"/>
        <v>Comedy</v>
      </c>
      <c r="J955" s="21" t="str">
        <f t="shared" si="60"/>
        <v>Old</v>
      </c>
    </row>
    <row r="956" spans="1:10" x14ac:dyDescent="0.35">
      <c r="A956" s="4" t="s">
        <v>945</v>
      </c>
      <c r="B956" s="4" t="s">
        <v>946</v>
      </c>
      <c r="C956" s="4" t="s">
        <v>264</v>
      </c>
      <c r="D956" s="20">
        <v>4.5</v>
      </c>
      <c r="E956" s="4">
        <v>44694</v>
      </c>
      <c r="F956" s="4">
        <v>1989</v>
      </c>
      <c r="G956" s="21" t="str">
        <f t="shared" si="57"/>
        <v>Not Popular</v>
      </c>
      <c r="H956" s="21" t="str">
        <f t="shared" si="58"/>
        <v>Horror or Thriller</v>
      </c>
      <c r="I956" s="21" t="str">
        <f t="shared" si="59"/>
        <v>Not Comedy</v>
      </c>
      <c r="J956" s="21" t="str">
        <f t="shared" si="60"/>
        <v>Old</v>
      </c>
    </row>
    <row r="957" spans="1:10" x14ac:dyDescent="0.35">
      <c r="A957" s="4" t="s">
        <v>1717</v>
      </c>
      <c r="B957" s="4" t="s">
        <v>1718</v>
      </c>
      <c r="C957" s="4" t="s">
        <v>143</v>
      </c>
      <c r="D957" s="20">
        <v>5</v>
      </c>
      <c r="E957" s="4">
        <v>35093</v>
      </c>
      <c r="F957" s="4">
        <v>1989</v>
      </c>
      <c r="G957" s="21" t="str">
        <f t="shared" si="57"/>
        <v>Not Popular</v>
      </c>
      <c r="H957" s="21" t="str">
        <f t="shared" si="58"/>
        <v>Action or Drama</v>
      </c>
      <c r="I957" s="21" t="str">
        <f t="shared" si="59"/>
        <v>Not Comedy</v>
      </c>
      <c r="J957" s="21" t="str">
        <f t="shared" si="60"/>
        <v>Old</v>
      </c>
    </row>
    <row r="958" spans="1:10" x14ac:dyDescent="0.35">
      <c r="A958" s="4" t="s">
        <v>1694</v>
      </c>
      <c r="B958" s="4" t="s">
        <v>1695</v>
      </c>
      <c r="C958" s="4" t="s">
        <v>859</v>
      </c>
      <c r="D958" s="20">
        <v>5</v>
      </c>
      <c r="E958" s="4">
        <v>52274</v>
      </c>
      <c r="F958" s="4">
        <v>1989</v>
      </c>
      <c r="G958" s="21" t="str">
        <f t="shared" si="57"/>
        <v>Not Popular</v>
      </c>
      <c r="H958" s="21" t="str">
        <f t="shared" si="58"/>
        <v>Horror or Thriller</v>
      </c>
      <c r="I958" s="21" t="str">
        <f t="shared" si="59"/>
        <v>Not Comedy</v>
      </c>
      <c r="J958" s="21" t="str">
        <f t="shared" si="60"/>
        <v>Old</v>
      </c>
    </row>
    <row r="959" spans="1:10" x14ac:dyDescent="0.35">
      <c r="A959" s="4" t="s">
        <v>1246</v>
      </c>
      <c r="B959" s="4" t="s">
        <v>1247</v>
      </c>
      <c r="C959" s="4" t="s">
        <v>82</v>
      </c>
      <c r="D959" s="20">
        <v>4.7</v>
      </c>
      <c r="E959" s="4">
        <v>21211</v>
      </c>
      <c r="F959" s="4">
        <v>1988</v>
      </c>
      <c r="G959" s="21" t="str">
        <f t="shared" si="57"/>
        <v>Not Popular</v>
      </c>
      <c r="H959" s="21" t="str">
        <f t="shared" si="58"/>
        <v>Horror or Thriller</v>
      </c>
      <c r="I959" s="21" t="str">
        <f t="shared" si="59"/>
        <v>Not Comedy</v>
      </c>
      <c r="J959" s="21" t="str">
        <f t="shared" si="60"/>
        <v>Old</v>
      </c>
    </row>
    <row r="960" spans="1:10" x14ac:dyDescent="0.35">
      <c r="A960" s="4" t="s">
        <v>1051</v>
      </c>
      <c r="B960" s="4" t="s">
        <v>1052</v>
      </c>
      <c r="C960" s="4" t="s">
        <v>214</v>
      </c>
      <c r="D960" s="20">
        <v>4.5999999999999996</v>
      </c>
      <c r="E960" s="4">
        <v>39029</v>
      </c>
      <c r="F960" s="4">
        <v>1988</v>
      </c>
      <c r="G960" s="21" t="str">
        <f t="shared" si="57"/>
        <v>Not Popular</v>
      </c>
      <c r="H960" s="21" t="str">
        <f t="shared" si="58"/>
        <v>Other</v>
      </c>
      <c r="I960" s="21" t="str">
        <f t="shared" si="59"/>
        <v>Comedy</v>
      </c>
      <c r="J960" s="21" t="str">
        <f t="shared" si="60"/>
        <v>Old</v>
      </c>
    </row>
    <row r="961" spans="1:10" x14ac:dyDescent="0.35">
      <c r="A961" s="4" t="s">
        <v>1497</v>
      </c>
      <c r="B961" s="4" t="s">
        <v>1498</v>
      </c>
      <c r="C961" s="4" t="s">
        <v>76</v>
      </c>
      <c r="D961" s="20">
        <v>4.8</v>
      </c>
      <c r="E961" s="4">
        <v>11365</v>
      </c>
      <c r="F961" s="4">
        <v>1988</v>
      </c>
      <c r="G961" s="21" t="str">
        <f t="shared" si="57"/>
        <v>Not Popular</v>
      </c>
      <c r="H961" s="21" t="str">
        <f t="shared" si="58"/>
        <v>Horror or Thriller</v>
      </c>
      <c r="I961" s="21" t="str">
        <f t="shared" si="59"/>
        <v>Not Comedy</v>
      </c>
      <c r="J961" s="21" t="str">
        <f t="shared" si="60"/>
        <v>Old</v>
      </c>
    </row>
    <row r="962" spans="1:10" x14ac:dyDescent="0.35">
      <c r="A962" s="4" t="s">
        <v>360</v>
      </c>
      <c r="B962" s="4" t="s">
        <v>361</v>
      </c>
      <c r="C962" s="4" t="s">
        <v>217</v>
      </c>
      <c r="D962" s="20">
        <v>3.4</v>
      </c>
      <c r="E962" s="4">
        <v>14836</v>
      </c>
      <c r="F962" s="4">
        <v>1988</v>
      </c>
      <c r="G962" s="21" t="str">
        <f t="shared" si="57"/>
        <v>Not Popular</v>
      </c>
      <c r="H962" s="21" t="str">
        <f t="shared" si="58"/>
        <v>Other</v>
      </c>
      <c r="I962" s="21" t="str">
        <f t="shared" si="59"/>
        <v>Comedy</v>
      </c>
      <c r="J962" s="21" t="str">
        <f t="shared" si="60"/>
        <v>Old</v>
      </c>
    </row>
    <row r="963" spans="1:10" x14ac:dyDescent="0.35">
      <c r="A963" s="4" t="s">
        <v>135</v>
      </c>
      <c r="B963" s="4" t="s">
        <v>136</v>
      </c>
      <c r="C963" s="4" t="s">
        <v>137</v>
      </c>
      <c r="D963" s="20">
        <v>2.2000000000000002</v>
      </c>
      <c r="E963" s="4">
        <v>12606</v>
      </c>
      <c r="F963" s="4">
        <v>1988</v>
      </c>
      <c r="G963" s="21" t="str">
        <f t="shared" ref="G963:G1001" si="61">IF(AND(D963&gt;5, E963&gt;1000), "Popular", "Not Popular")</f>
        <v>Not Popular</v>
      </c>
      <c r="H963" s="21" t="str">
        <f t="shared" ref="H963:H1001" si="62">IF(OR(ISNUMBER(SEARCH("Action", C963)), ISNUMBER(SEARCH("Drama", C963))), "Action or Drama", IF(OR(ISNUMBER(SEARCH("Horror", C963)), ISNUMBER(SEARCH("Thriller", C963))), "Horror or Thriller", "Other"))</f>
        <v>Horror or Thriller</v>
      </c>
      <c r="I963" s="21" t="str">
        <f t="shared" ref="I963:I1001" si="63">IF(NOT(ISNUMBER(SEARCH("Comedy", C963))), "Not Comedy", "Comedy")</f>
        <v>Comedy</v>
      </c>
      <c r="J963" s="21" t="str">
        <f t="shared" si="60"/>
        <v>Old</v>
      </c>
    </row>
    <row r="964" spans="1:10" x14ac:dyDescent="0.35">
      <c r="A964" s="4" t="s">
        <v>2174</v>
      </c>
      <c r="B964" s="4" t="s">
        <v>2175</v>
      </c>
      <c r="C964" s="4" t="s">
        <v>82</v>
      </c>
      <c r="D964" s="20">
        <v>5.2</v>
      </c>
      <c r="E964" s="4">
        <v>43943</v>
      </c>
      <c r="F964" s="4">
        <v>1988</v>
      </c>
      <c r="G964" s="21" t="str">
        <f t="shared" si="61"/>
        <v>Popular</v>
      </c>
      <c r="H964" s="21" t="str">
        <f t="shared" si="62"/>
        <v>Horror or Thriller</v>
      </c>
      <c r="I964" s="21" t="str">
        <f t="shared" si="63"/>
        <v>Not Comedy</v>
      </c>
      <c r="J964" s="21" t="str">
        <f t="shared" si="60"/>
        <v>Old</v>
      </c>
    </row>
    <row r="965" spans="1:10" x14ac:dyDescent="0.35">
      <c r="A965" s="4" t="s">
        <v>500</v>
      </c>
      <c r="B965" s="4" t="s">
        <v>501</v>
      </c>
      <c r="C965" s="4" t="s">
        <v>149</v>
      </c>
      <c r="D965" s="20">
        <v>3.8</v>
      </c>
      <c r="E965" s="4">
        <v>16700</v>
      </c>
      <c r="F965" s="4">
        <v>1988</v>
      </c>
      <c r="G965" s="21" t="str">
        <f t="shared" si="61"/>
        <v>Not Popular</v>
      </c>
      <c r="H965" s="21" t="str">
        <f t="shared" si="62"/>
        <v>Other</v>
      </c>
      <c r="I965" s="21" t="str">
        <f t="shared" si="63"/>
        <v>Comedy</v>
      </c>
      <c r="J965" s="21" t="str">
        <f t="shared" si="60"/>
        <v>Old</v>
      </c>
    </row>
    <row r="966" spans="1:10" x14ac:dyDescent="0.35">
      <c r="A966" s="4" t="s">
        <v>2084</v>
      </c>
      <c r="B966" s="4" t="s">
        <v>2085</v>
      </c>
      <c r="C966" s="4" t="s">
        <v>1446</v>
      </c>
      <c r="D966" s="20">
        <v>5.0999999999999996</v>
      </c>
      <c r="E966" s="4">
        <v>10321</v>
      </c>
      <c r="F966" s="4">
        <v>1988</v>
      </c>
      <c r="G966" s="21" t="str">
        <f t="shared" si="61"/>
        <v>Popular</v>
      </c>
      <c r="H966" s="21" t="str">
        <f t="shared" si="62"/>
        <v>Other</v>
      </c>
      <c r="I966" s="21" t="str">
        <f t="shared" si="63"/>
        <v>Comedy</v>
      </c>
      <c r="J966" s="21" t="str">
        <f t="shared" si="60"/>
        <v>Old</v>
      </c>
    </row>
    <row r="967" spans="1:10" x14ac:dyDescent="0.35">
      <c r="A967" s="4" t="s">
        <v>1499</v>
      </c>
      <c r="B967" s="4" t="s">
        <v>1500</v>
      </c>
      <c r="C967" s="4" t="s">
        <v>1501</v>
      </c>
      <c r="D967" s="20">
        <v>4.8</v>
      </c>
      <c r="E967" s="4">
        <v>11300</v>
      </c>
      <c r="F967" s="4">
        <v>1987</v>
      </c>
      <c r="G967" s="21" t="str">
        <f t="shared" si="61"/>
        <v>Not Popular</v>
      </c>
      <c r="H967" s="21" t="str">
        <f t="shared" si="62"/>
        <v>Other</v>
      </c>
      <c r="I967" s="21" t="str">
        <f t="shared" si="63"/>
        <v>Comedy</v>
      </c>
      <c r="J967" s="21" t="str">
        <f t="shared" si="60"/>
        <v>Old</v>
      </c>
    </row>
    <row r="968" spans="1:10" x14ac:dyDescent="0.35">
      <c r="A968" s="4" t="s">
        <v>391</v>
      </c>
      <c r="B968" s="4" t="s">
        <v>392</v>
      </c>
      <c r="C968" s="4" t="s">
        <v>227</v>
      </c>
      <c r="D968" s="20">
        <v>3.5</v>
      </c>
      <c r="E968" s="4">
        <v>12688</v>
      </c>
      <c r="F968" s="4">
        <v>1987</v>
      </c>
      <c r="G968" s="21" t="str">
        <f t="shared" si="61"/>
        <v>Not Popular</v>
      </c>
      <c r="H968" s="21" t="str">
        <f t="shared" si="62"/>
        <v>Other</v>
      </c>
      <c r="I968" s="21" t="str">
        <f t="shared" si="63"/>
        <v>Comedy</v>
      </c>
      <c r="J968" s="21" t="str">
        <f t="shared" si="60"/>
        <v>Old</v>
      </c>
    </row>
    <row r="969" spans="1:10" x14ac:dyDescent="0.35">
      <c r="A969" s="4" t="s">
        <v>442</v>
      </c>
      <c r="B969" s="4" t="s">
        <v>443</v>
      </c>
      <c r="C969" s="4" t="s">
        <v>163</v>
      </c>
      <c r="D969" s="20">
        <v>3.7</v>
      </c>
      <c r="E969" s="4">
        <v>53834</v>
      </c>
      <c r="F969" s="4">
        <v>1987</v>
      </c>
      <c r="G969" s="21" t="str">
        <f t="shared" si="61"/>
        <v>Not Popular</v>
      </c>
      <c r="H969" s="21" t="str">
        <f t="shared" si="62"/>
        <v>Action or Drama</v>
      </c>
      <c r="I969" s="21" t="str">
        <f t="shared" si="63"/>
        <v>Not Comedy</v>
      </c>
      <c r="J969" s="21" t="str">
        <f t="shared" si="60"/>
        <v>Old</v>
      </c>
    </row>
    <row r="970" spans="1:10" x14ac:dyDescent="0.35">
      <c r="A970" s="4" t="s">
        <v>2008</v>
      </c>
      <c r="B970" s="4" t="s">
        <v>2009</v>
      </c>
      <c r="C970" s="4" t="s">
        <v>11</v>
      </c>
      <c r="D970" s="20">
        <v>5.0999999999999996</v>
      </c>
      <c r="E970" s="4">
        <v>15680</v>
      </c>
      <c r="F970" s="4">
        <v>1987</v>
      </c>
      <c r="G970" s="21" t="str">
        <f t="shared" si="61"/>
        <v>Popular</v>
      </c>
      <c r="H970" s="21" t="str">
        <f t="shared" si="62"/>
        <v>Other</v>
      </c>
      <c r="I970" s="21" t="str">
        <f t="shared" si="63"/>
        <v>Comedy</v>
      </c>
      <c r="J970" s="21" t="str">
        <f t="shared" si="60"/>
        <v>Old</v>
      </c>
    </row>
    <row r="971" spans="1:10" x14ac:dyDescent="0.35">
      <c r="A971" s="4" t="s">
        <v>1704</v>
      </c>
      <c r="B971" s="4" t="s">
        <v>1705</v>
      </c>
      <c r="C971" s="4" t="s">
        <v>214</v>
      </c>
      <c r="D971" s="20">
        <v>5</v>
      </c>
      <c r="E971" s="4">
        <v>46568</v>
      </c>
      <c r="F971" s="4">
        <v>1987</v>
      </c>
      <c r="G971" s="21" t="str">
        <f t="shared" si="61"/>
        <v>Not Popular</v>
      </c>
      <c r="H971" s="21" t="str">
        <f t="shared" si="62"/>
        <v>Other</v>
      </c>
      <c r="I971" s="21" t="str">
        <f t="shared" si="63"/>
        <v>Comedy</v>
      </c>
      <c r="J971" s="21" t="str">
        <f t="shared" si="60"/>
        <v>Old</v>
      </c>
    </row>
    <row r="972" spans="1:10" x14ac:dyDescent="0.35">
      <c r="A972" s="4" t="s">
        <v>262</v>
      </c>
      <c r="B972" s="4" t="s">
        <v>263</v>
      </c>
      <c r="C972" s="4" t="s">
        <v>264</v>
      </c>
      <c r="D972" s="20">
        <v>3</v>
      </c>
      <c r="E972" s="4">
        <v>50698</v>
      </c>
      <c r="F972" s="4">
        <v>1987</v>
      </c>
      <c r="G972" s="21" t="str">
        <f t="shared" si="61"/>
        <v>Not Popular</v>
      </c>
      <c r="H972" s="21" t="str">
        <f t="shared" si="62"/>
        <v>Horror or Thriller</v>
      </c>
      <c r="I972" s="21" t="str">
        <f t="shared" si="63"/>
        <v>Not Comedy</v>
      </c>
      <c r="J972" s="21" t="str">
        <f t="shared" si="60"/>
        <v>Old</v>
      </c>
    </row>
    <row r="973" spans="1:10" x14ac:dyDescent="0.35">
      <c r="A973" s="4" t="s">
        <v>1294</v>
      </c>
      <c r="B973" s="4" t="s">
        <v>1295</v>
      </c>
      <c r="C973" s="4" t="s">
        <v>178</v>
      </c>
      <c r="D973" s="20">
        <v>4.7</v>
      </c>
      <c r="E973" s="4">
        <v>12298</v>
      </c>
      <c r="F973" s="4">
        <v>1987</v>
      </c>
      <c r="G973" s="21" t="str">
        <f t="shared" si="61"/>
        <v>Not Popular</v>
      </c>
      <c r="H973" s="21" t="str">
        <f t="shared" si="62"/>
        <v>Action or Drama</v>
      </c>
      <c r="I973" s="21" t="str">
        <f t="shared" si="63"/>
        <v>Comedy</v>
      </c>
      <c r="J973" s="21" t="str">
        <f t="shared" si="60"/>
        <v>Old</v>
      </c>
    </row>
    <row r="974" spans="1:10" x14ac:dyDescent="0.35">
      <c r="A974" s="4" t="s">
        <v>1134</v>
      </c>
      <c r="B974" s="4" t="s">
        <v>1135</v>
      </c>
      <c r="C974" s="4" t="s">
        <v>270</v>
      </c>
      <c r="D974" s="20">
        <v>4.5999999999999996</v>
      </c>
      <c r="E974" s="4">
        <v>12050</v>
      </c>
      <c r="F974" s="4">
        <v>1986</v>
      </c>
      <c r="G974" s="21" t="str">
        <f t="shared" si="61"/>
        <v>Not Popular</v>
      </c>
      <c r="H974" s="21" t="str">
        <f t="shared" si="62"/>
        <v>Horror or Thriller</v>
      </c>
      <c r="I974" s="21" t="str">
        <f t="shared" si="63"/>
        <v>Comedy</v>
      </c>
      <c r="J974" s="21" t="str">
        <f t="shared" si="60"/>
        <v>Old</v>
      </c>
    </row>
    <row r="975" spans="1:10" x14ac:dyDescent="0.35">
      <c r="A975" s="4" t="s">
        <v>1185</v>
      </c>
      <c r="B975" s="4" t="s">
        <v>1186</v>
      </c>
      <c r="C975" s="4" t="s">
        <v>178</v>
      </c>
      <c r="D975" s="20">
        <v>4.7</v>
      </c>
      <c r="E975" s="4">
        <v>51954</v>
      </c>
      <c r="F975" s="4">
        <v>1986</v>
      </c>
      <c r="G975" s="21" t="str">
        <f t="shared" si="61"/>
        <v>Not Popular</v>
      </c>
      <c r="H975" s="21" t="str">
        <f t="shared" si="62"/>
        <v>Action or Drama</v>
      </c>
      <c r="I975" s="21" t="str">
        <f t="shared" si="63"/>
        <v>Comedy</v>
      </c>
      <c r="J975" s="21" t="str">
        <f t="shared" si="60"/>
        <v>Old</v>
      </c>
    </row>
    <row r="976" spans="1:10" x14ac:dyDescent="0.35">
      <c r="A976" s="4" t="s">
        <v>1146</v>
      </c>
      <c r="B976" s="4" t="s">
        <v>1147</v>
      </c>
      <c r="C976" s="4" t="s">
        <v>178</v>
      </c>
      <c r="D976" s="20">
        <v>4.5999999999999996</v>
      </c>
      <c r="E976" s="4">
        <v>10686</v>
      </c>
      <c r="F976" s="4">
        <v>1986</v>
      </c>
      <c r="G976" s="21" t="str">
        <f t="shared" si="61"/>
        <v>Not Popular</v>
      </c>
      <c r="H976" s="21" t="str">
        <f t="shared" si="62"/>
        <v>Action or Drama</v>
      </c>
      <c r="I976" s="21" t="str">
        <f t="shared" si="63"/>
        <v>Comedy</v>
      </c>
      <c r="J976" s="21" t="str">
        <f t="shared" si="60"/>
        <v>Old</v>
      </c>
    </row>
    <row r="977" spans="1:10" x14ac:dyDescent="0.35">
      <c r="A977" s="4" t="s">
        <v>1892</v>
      </c>
      <c r="B977" s="4" t="s">
        <v>1893</v>
      </c>
      <c r="C977" s="4" t="s">
        <v>166</v>
      </c>
      <c r="D977" s="20">
        <v>5.0999999999999996</v>
      </c>
      <c r="E977" s="4">
        <v>45645</v>
      </c>
      <c r="F977" s="4">
        <v>1985</v>
      </c>
      <c r="G977" s="21" t="str">
        <f t="shared" si="61"/>
        <v>Popular</v>
      </c>
      <c r="H977" s="21" t="str">
        <f t="shared" si="62"/>
        <v>Action or Drama</v>
      </c>
      <c r="I977" s="21" t="str">
        <f t="shared" si="63"/>
        <v>Not Comedy</v>
      </c>
      <c r="J977" s="21" t="str">
        <f t="shared" si="60"/>
        <v>Old</v>
      </c>
    </row>
    <row r="978" spans="1:10" x14ac:dyDescent="0.35">
      <c r="A978" s="4" t="s">
        <v>1347</v>
      </c>
      <c r="B978" s="4" t="s">
        <v>1348</v>
      </c>
      <c r="C978" s="4" t="s">
        <v>175</v>
      </c>
      <c r="D978" s="20">
        <v>4.8</v>
      </c>
      <c r="E978" s="4">
        <v>45693</v>
      </c>
      <c r="F978" s="4">
        <v>1985</v>
      </c>
      <c r="G978" s="21" t="str">
        <f t="shared" si="61"/>
        <v>Not Popular</v>
      </c>
      <c r="H978" s="21" t="str">
        <f t="shared" si="62"/>
        <v>Horror or Thriller</v>
      </c>
      <c r="I978" s="21" t="str">
        <f t="shared" si="63"/>
        <v>Not Comedy</v>
      </c>
      <c r="J978" s="21" t="str">
        <f t="shared" si="60"/>
        <v>Old</v>
      </c>
    </row>
    <row r="979" spans="1:10" x14ac:dyDescent="0.35">
      <c r="A979" s="4" t="s">
        <v>868</v>
      </c>
      <c r="B979" s="4" t="s">
        <v>869</v>
      </c>
      <c r="C979" s="4" t="s">
        <v>166</v>
      </c>
      <c r="D979" s="20">
        <v>4.4000000000000004</v>
      </c>
      <c r="E979" s="4">
        <v>24457</v>
      </c>
      <c r="F979" s="4">
        <v>1984</v>
      </c>
      <c r="G979" s="21" t="str">
        <f t="shared" si="61"/>
        <v>Not Popular</v>
      </c>
      <c r="H979" s="21" t="str">
        <f t="shared" si="62"/>
        <v>Action or Drama</v>
      </c>
      <c r="I979" s="21" t="str">
        <f t="shared" si="63"/>
        <v>Not Comedy</v>
      </c>
      <c r="J979" s="21" t="str">
        <f t="shared" si="60"/>
        <v>Old</v>
      </c>
    </row>
    <row r="980" spans="1:10" x14ac:dyDescent="0.35">
      <c r="A980" s="4" t="s">
        <v>743</v>
      </c>
      <c r="B980" s="4" t="s">
        <v>744</v>
      </c>
      <c r="C980" s="4" t="s">
        <v>270</v>
      </c>
      <c r="D980" s="20">
        <v>4.2</v>
      </c>
      <c r="E980" s="4">
        <v>10673</v>
      </c>
      <c r="F980" s="4">
        <v>1984</v>
      </c>
      <c r="G980" s="21" t="str">
        <f t="shared" si="61"/>
        <v>Not Popular</v>
      </c>
      <c r="H980" s="21" t="str">
        <f t="shared" si="62"/>
        <v>Horror or Thriller</v>
      </c>
      <c r="I980" s="21" t="str">
        <f t="shared" si="63"/>
        <v>Comedy</v>
      </c>
      <c r="J980" s="21" t="str">
        <f t="shared" si="60"/>
        <v>Old</v>
      </c>
    </row>
    <row r="981" spans="1:10" x14ac:dyDescent="0.35">
      <c r="A981" s="4" t="s">
        <v>1990</v>
      </c>
      <c r="B981" s="4" t="s">
        <v>1991</v>
      </c>
      <c r="C981" s="4" t="s">
        <v>843</v>
      </c>
      <c r="D981" s="20">
        <v>5.0999999999999996</v>
      </c>
      <c r="E981" s="4">
        <v>17772</v>
      </c>
      <c r="F981" s="4">
        <v>1984</v>
      </c>
      <c r="G981" s="21" t="str">
        <f t="shared" si="61"/>
        <v>Popular</v>
      </c>
      <c r="H981" s="21" t="str">
        <f t="shared" si="62"/>
        <v>Action or Drama</v>
      </c>
      <c r="I981" s="21" t="str">
        <f t="shared" si="63"/>
        <v>Comedy</v>
      </c>
      <c r="J981" s="21" t="str">
        <f t="shared" si="60"/>
        <v>Old</v>
      </c>
    </row>
    <row r="982" spans="1:10" x14ac:dyDescent="0.35">
      <c r="A982" s="4" t="s">
        <v>1686</v>
      </c>
      <c r="B982" s="4" t="s">
        <v>1687</v>
      </c>
      <c r="C982" s="4" t="s">
        <v>178</v>
      </c>
      <c r="D982" s="20">
        <v>5</v>
      </c>
      <c r="E982" s="4">
        <v>76095</v>
      </c>
      <c r="F982" s="4">
        <v>1983</v>
      </c>
      <c r="G982" s="21" t="str">
        <f t="shared" si="61"/>
        <v>Not Popular</v>
      </c>
      <c r="H982" s="21" t="str">
        <f t="shared" si="62"/>
        <v>Action or Drama</v>
      </c>
      <c r="I982" s="21" t="str">
        <f t="shared" si="63"/>
        <v>Comedy</v>
      </c>
      <c r="J982" s="21" t="str">
        <f t="shared" si="60"/>
        <v>Old</v>
      </c>
    </row>
    <row r="983" spans="1:10" x14ac:dyDescent="0.35">
      <c r="A983" s="4" t="s">
        <v>1425</v>
      </c>
      <c r="B983" s="4" t="s">
        <v>1426</v>
      </c>
      <c r="C983" s="4" t="s">
        <v>158</v>
      </c>
      <c r="D983" s="20">
        <v>4.8</v>
      </c>
      <c r="E983" s="4">
        <v>17890</v>
      </c>
      <c r="F983" s="4">
        <v>1983</v>
      </c>
      <c r="G983" s="21" t="str">
        <f t="shared" si="61"/>
        <v>Not Popular</v>
      </c>
      <c r="H983" s="21" t="str">
        <f t="shared" si="62"/>
        <v>Action or Drama</v>
      </c>
      <c r="I983" s="21" t="str">
        <f t="shared" si="63"/>
        <v>Not Comedy</v>
      </c>
      <c r="J983" s="21" t="str">
        <f t="shared" si="60"/>
        <v>Old</v>
      </c>
    </row>
    <row r="984" spans="1:10" x14ac:dyDescent="0.35">
      <c r="A984" s="4" t="s">
        <v>1803</v>
      </c>
      <c r="B984" s="4" t="s">
        <v>1804</v>
      </c>
      <c r="C984" s="4" t="s">
        <v>11</v>
      </c>
      <c r="D984" s="20">
        <v>5</v>
      </c>
      <c r="E984" s="4">
        <v>12959</v>
      </c>
      <c r="F984" s="4">
        <v>1983</v>
      </c>
      <c r="G984" s="21" t="str">
        <f t="shared" si="61"/>
        <v>Not Popular</v>
      </c>
      <c r="H984" s="21" t="str">
        <f t="shared" si="62"/>
        <v>Other</v>
      </c>
      <c r="I984" s="21" t="str">
        <f t="shared" si="63"/>
        <v>Comedy</v>
      </c>
      <c r="J984" s="21" t="str">
        <f t="shared" si="60"/>
        <v>Old</v>
      </c>
    </row>
    <row r="985" spans="1:10" x14ac:dyDescent="0.35">
      <c r="A985" s="4" t="s">
        <v>444</v>
      </c>
      <c r="B985" s="4" t="s">
        <v>445</v>
      </c>
      <c r="C985" s="4" t="s">
        <v>264</v>
      </c>
      <c r="D985" s="20">
        <v>3.7</v>
      </c>
      <c r="E985" s="4">
        <v>49519</v>
      </c>
      <c r="F985" s="4">
        <v>1983</v>
      </c>
      <c r="G985" s="21" t="str">
        <f t="shared" si="61"/>
        <v>Not Popular</v>
      </c>
      <c r="H985" s="21" t="str">
        <f t="shared" si="62"/>
        <v>Horror or Thriller</v>
      </c>
      <c r="I985" s="21" t="str">
        <f t="shared" si="63"/>
        <v>Not Comedy</v>
      </c>
      <c r="J985" s="21" t="str">
        <f t="shared" si="60"/>
        <v>Old</v>
      </c>
    </row>
    <row r="986" spans="1:10" x14ac:dyDescent="0.35">
      <c r="A986" s="4" t="s">
        <v>1493</v>
      </c>
      <c r="B986" s="4" t="s">
        <v>1494</v>
      </c>
      <c r="C986" s="4" t="s">
        <v>535</v>
      </c>
      <c r="D986" s="20">
        <v>4.8</v>
      </c>
      <c r="E986" s="4">
        <v>11454</v>
      </c>
      <c r="F986" s="4">
        <v>1982</v>
      </c>
      <c r="G986" s="21" t="str">
        <f t="shared" si="61"/>
        <v>Not Popular</v>
      </c>
      <c r="H986" s="21" t="str">
        <f t="shared" si="62"/>
        <v>Other</v>
      </c>
      <c r="I986" s="21" t="str">
        <f t="shared" si="63"/>
        <v>Comedy</v>
      </c>
      <c r="J986" s="21" t="str">
        <f t="shared" si="60"/>
        <v>Old</v>
      </c>
    </row>
    <row r="987" spans="1:10" x14ac:dyDescent="0.35">
      <c r="A987" s="4" t="s">
        <v>525</v>
      </c>
      <c r="B987" s="4" t="s">
        <v>526</v>
      </c>
      <c r="C987" s="4" t="s">
        <v>474</v>
      </c>
      <c r="D987" s="20">
        <v>3.8</v>
      </c>
      <c r="E987" s="4">
        <v>10164</v>
      </c>
      <c r="F987" s="4">
        <v>1982</v>
      </c>
      <c r="G987" s="21" t="str">
        <f t="shared" si="61"/>
        <v>Not Popular</v>
      </c>
      <c r="H987" s="21" t="str">
        <f t="shared" si="62"/>
        <v>Horror or Thriller</v>
      </c>
      <c r="I987" s="21" t="str">
        <f t="shared" si="63"/>
        <v>Not Comedy</v>
      </c>
      <c r="J987" s="21" t="str">
        <f t="shared" ref="J987:J1001" si="64">IF(F987&gt;2020, "Recent", "Old")</f>
        <v>Old</v>
      </c>
    </row>
    <row r="988" spans="1:10" x14ac:dyDescent="0.35">
      <c r="A988" s="4" t="s">
        <v>2154</v>
      </c>
      <c r="B988" s="4" t="s">
        <v>2155</v>
      </c>
      <c r="C988" s="4" t="s">
        <v>804</v>
      </c>
      <c r="D988" s="20">
        <v>5.2</v>
      </c>
      <c r="E988" s="4">
        <v>63302</v>
      </c>
      <c r="F988" s="4">
        <v>1982</v>
      </c>
      <c r="G988" s="21" t="str">
        <f t="shared" si="61"/>
        <v>Popular</v>
      </c>
      <c r="H988" s="21" t="str">
        <f t="shared" si="62"/>
        <v>Horror or Thriller</v>
      </c>
      <c r="I988" s="21" t="str">
        <f t="shared" si="63"/>
        <v>Not Comedy</v>
      </c>
      <c r="J988" s="21" t="str">
        <f t="shared" si="64"/>
        <v>Old</v>
      </c>
    </row>
    <row r="989" spans="1:10" x14ac:dyDescent="0.35">
      <c r="A989" s="4" t="s">
        <v>1049</v>
      </c>
      <c r="B989" s="4" t="s">
        <v>1050</v>
      </c>
      <c r="C989" s="4" t="s">
        <v>109</v>
      </c>
      <c r="D989" s="20">
        <v>4.5999999999999996</v>
      </c>
      <c r="E989" s="4">
        <v>39219</v>
      </c>
      <c r="F989" s="4">
        <v>1982</v>
      </c>
      <c r="G989" s="21" t="str">
        <f t="shared" si="61"/>
        <v>Not Popular</v>
      </c>
      <c r="H989" s="21" t="str">
        <f t="shared" si="62"/>
        <v>Other</v>
      </c>
      <c r="I989" s="21" t="str">
        <f t="shared" si="63"/>
        <v>Comedy</v>
      </c>
      <c r="J989" s="21" t="str">
        <f t="shared" si="64"/>
        <v>Old</v>
      </c>
    </row>
    <row r="990" spans="1:10" x14ac:dyDescent="0.35">
      <c r="A990" s="4" t="s">
        <v>2060</v>
      </c>
      <c r="B990" s="4" t="s">
        <v>2061</v>
      </c>
      <c r="C990" s="4" t="s">
        <v>649</v>
      </c>
      <c r="D990" s="20">
        <v>5.0999999999999996</v>
      </c>
      <c r="E990" s="4">
        <v>11052</v>
      </c>
      <c r="F990" s="4">
        <v>1981</v>
      </c>
      <c r="G990" s="21" t="str">
        <f t="shared" si="61"/>
        <v>Popular</v>
      </c>
      <c r="H990" s="21" t="str">
        <f t="shared" si="62"/>
        <v>Horror or Thriller</v>
      </c>
      <c r="I990" s="21" t="str">
        <f t="shared" si="63"/>
        <v>Not Comedy</v>
      </c>
      <c r="J990" s="21" t="str">
        <f t="shared" si="64"/>
        <v>Old</v>
      </c>
    </row>
    <row r="991" spans="1:10" x14ac:dyDescent="0.35">
      <c r="A991" s="4" t="s">
        <v>2074</v>
      </c>
      <c r="B991" s="4" t="s">
        <v>2075</v>
      </c>
      <c r="C991" s="4" t="s">
        <v>1900</v>
      </c>
      <c r="D991" s="20">
        <v>5.0999999999999996</v>
      </c>
      <c r="E991" s="4">
        <v>10769</v>
      </c>
      <c r="F991" s="4">
        <v>1980</v>
      </c>
      <c r="G991" s="21" t="str">
        <f t="shared" si="61"/>
        <v>Popular</v>
      </c>
      <c r="H991" s="21" t="str">
        <f t="shared" si="62"/>
        <v>Horror or Thriller</v>
      </c>
      <c r="I991" s="21" t="str">
        <f t="shared" si="63"/>
        <v>Not Comedy</v>
      </c>
      <c r="J991" s="21" t="str">
        <f t="shared" si="64"/>
        <v>Old</v>
      </c>
    </row>
    <row r="992" spans="1:10" x14ac:dyDescent="0.35">
      <c r="A992" s="4" t="s">
        <v>129</v>
      </c>
      <c r="B992" s="4" t="s">
        <v>130</v>
      </c>
      <c r="C992" s="4" t="s">
        <v>131</v>
      </c>
      <c r="D992" s="20">
        <v>2.2000000000000002</v>
      </c>
      <c r="E992" s="4">
        <v>17278</v>
      </c>
      <c r="F992" s="4">
        <v>1978</v>
      </c>
      <c r="G992" s="21" t="str">
        <f t="shared" si="61"/>
        <v>Not Popular</v>
      </c>
      <c r="H992" s="21" t="str">
        <f t="shared" si="62"/>
        <v>Other</v>
      </c>
      <c r="I992" s="21" t="str">
        <f t="shared" si="63"/>
        <v>Not Comedy</v>
      </c>
      <c r="J992" s="21" t="str">
        <f t="shared" si="64"/>
        <v>Old</v>
      </c>
    </row>
    <row r="993" spans="1:10" x14ac:dyDescent="0.35">
      <c r="A993" s="4" t="s">
        <v>1113</v>
      </c>
      <c r="B993" s="4" t="s">
        <v>1114</v>
      </c>
      <c r="C993" s="4" t="s">
        <v>1115</v>
      </c>
      <c r="D993" s="20">
        <v>4.5999999999999996</v>
      </c>
      <c r="E993" s="4">
        <v>15311</v>
      </c>
      <c r="F993" s="4">
        <v>1978</v>
      </c>
      <c r="G993" s="21" t="str">
        <f t="shared" si="61"/>
        <v>Not Popular</v>
      </c>
      <c r="H993" s="21" t="str">
        <f t="shared" si="62"/>
        <v>Horror or Thriller</v>
      </c>
      <c r="I993" s="21" t="str">
        <f t="shared" si="63"/>
        <v>Comedy</v>
      </c>
      <c r="J993" s="21" t="str">
        <f t="shared" si="64"/>
        <v>Old</v>
      </c>
    </row>
    <row r="994" spans="1:10" x14ac:dyDescent="0.35">
      <c r="A994" s="4" t="s">
        <v>496</v>
      </c>
      <c r="B994" s="4" t="s">
        <v>497</v>
      </c>
      <c r="C994" s="4" t="s">
        <v>76</v>
      </c>
      <c r="D994" s="20">
        <v>3.8</v>
      </c>
      <c r="E994" s="4">
        <v>29122</v>
      </c>
      <c r="F994" s="4">
        <v>1977</v>
      </c>
      <c r="G994" s="21" t="str">
        <f t="shared" si="61"/>
        <v>Not Popular</v>
      </c>
      <c r="H994" s="21" t="str">
        <f t="shared" si="62"/>
        <v>Horror or Thriller</v>
      </c>
      <c r="I994" s="21" t="str">
        <f t="shared" si="63"/>
        <v>Not Comedy</v>
      </c>
      <c r="J994" s="21" t="str">
        <f t="shared" si="64"/>
        <v>Old</v>
      </c>
    </row>
    <row r="995" spans="1:10" x14ac:dyDescent="0.35">
      <c r="A995" s="4" t="s">
        <v>327</v>
      </c>
      <c r="B995" s="4" t="s">
        <v>328</v>
      </c>
      <c r="C995" s="4" t="s">
        <v>152</v>
      </c>
      <c r="D995" s="20">
        <v>3.3</v>
      </c>
      <c r="E995" s="4">
        <v>19892</v>
      </c>
      <c r="F995" s="4">
        <v>1970</v>
      </c>
      <c r="G995" s="21" t="str">
        <f t="shared" si="61"/>
        <v>Not Popular</v>
      </c>
      <c r="H995" s="21" t="str">
        <f t="shared" si="62"/>
        <v>Other</v>
      </c>
      <c r="I995" s="21" t="str">
        <f t="shared" si="63"/>
        <v>Comedy</v>
      </c>
      <c r="J995" s="21" t="str">
        <f t="shared" si="64"/>
        <v>Old</v>
      </c>
    </row>
    <row r="996" spans="1:10" x14ac:dyDescent="0.35">
      <c r="A996" s="4" t="s">
        <v>1725</v>
      </c>
      <c r="B996" s="4" t="s">
        <v>1726</v>
      </c>
      <c r="C996" s="4" t="s">
        <v>11</v>
      </c>
      <c r="D996" s="20">
        <v>5</v>
      </c>
      <c r="E996" s="4">
        <v>33071</v>
      </c>
      <c r="F996" s="4">
        <v>1967</v>
      </c>
      <c r="G996" s="21" t="str">
        <f t="shared" si="61"/>
        <v>Not Popular</v>
      </c>
      <c r="H996" s="21" t="str">
        <f t="shared" si="62"/>
        <v>Other</v>
      </c>
      <c r="I996" s="21" t="str">
        <f t="shared" si="63"/>
        <v>Comedy</v>
      </c>
      <c r="J996" s="21" t="str">
        <f t="shared" si="64"/>
        <v>Old</v>
      </c>
    </row>
    <row r="997" spans="1:10" x14ac:dyDescent="0.35">
      <c r="A997" s="4" t="s">
        <v>74</v>
      </c>
      <c r="B997" s="4" t="s">
        <v>75</v>
      </c>
      <c r="C997" s="4" t="s">
        <v>76</v>
      </c>
      <c r="D997" s="20">
        <v>1.7</v>
      </c>
      <c r="E997" s="4">
        <v>37830</v>
      </c>
      <c r="F997" s="4">
        <v>1966</v>
      </c>
      <c r="G997" s="21" t="str">
        <f t="shared" si="61"/>
        <v>Not Popular</v>
      </c>
      <c r="H997" s="21" t="str">
        <f t="shared" si="62"/>
        <v>Horror or Thriller</v>
      </c>
      <c r="I997" s="21" t="str">
        <f t="shared" si="63"/>
        <v>Not Comedy</v>
      </c>
      <c r="J997" s="21" t="str">
        <f t="shared" si="64"/>
        <v>Old</v>
      </c>
    </row>
    <row r="998" spans="1:10" x14ac:dyDescent="0.35">
      <c r="A998" s="4" t="s">
        <v>96</v>
      </c>
      <c r="B998" s="4" t="s">
        <v>97</v>
      </c>
      <c r="C998" s="4" t="s">
        <v>98</v>
      </c>
      <c r="D998" s="20">
        <v>1.8</v>
      </c>
      <c r="E998" s="4">
        <v>10108</v>
      </c>
      <c r="F998" s="4">
        <v>1965</v>
      </c>
      <c r="G998" s="21" t="str">
        <f t="shared" si="61"/>
        <v>Not Popular</v>
      </c>
      <c r="H998" s="21" t="str">
        <f t="shared" si="62"/>
        <v>Horror or Thriller</v>
      </c>
      <c r="I998" s="21" t="str">
        <f t="shared" si="63"/>
        <v>Not Comedy</v>
      </c>
      <c r="J998" s="21" t="str">
        <f t="shared" si="64"/>
        <v>Old</v>
      </c>
    </row>
    <row r="999" spans="1:10" x14ac:dyDescent="0.35">
      <c r="A999" s="4" t="s">
        <v>215</v>
      </c>
      <c r="B999" s="4" t="s">
        <v>216</v>
      </c>
      <c r="C999" s="4" t="s">
        <v>217</v>
      </c>
      <c r="D999" s="20">
        <v>2.7</v>
      </c>
      <c r="E999" s="4">
        <v>12767</v>
      </c>
      <c r="F999" s="4">
        <v>1964</v>
      </c>
      <c r="G999" s="21" t="str">
        <f t="shared" si="61"/>
        <v>Not Popular</v>
      </c>
      <c r="H999" s="21" t="str">
        <f t="shared" si="62"/>
        <v>Other</v>
      </c>
      <c r="I999" s="21" t="str">
        <f t="shared" si="63"/>
        <v>Comedy</v>
      </c>
      <c r="J999" s="21" t="str">
        <f t="shared" si="64"/>
        <v>Old</v>
      </c>
    </row>
    <row r="1000" spans="1:10" x14ac:dyDescent="0.35">
      <c r="A1000" s="4" t="s">
        <v>110</v>
      </c>
      <c r="B1000" s="4" t="s">
        <v>111</v>
      </c>
      <c r="C1000" s="4" t="s">
        <v>98</v>
      </c>
      <c r="D1000" s="20">
        <v>1.9</v>
      </c>
      <c r="E1000" s="4">
        <v>10499</v>
      </c>
      <c r="F1000" s="4">
        <v>1961</v>
      </c>
      <c r="G1000" s="21" t="str">
        <f t="shared" si="61"/>
        <v>Not Popular</v>
      </c>
      <c r="H1000" s="21" t="str">
        <f t="shared" si="62"/>
        <v>Horror or Thriller</v>
      </c>
      <c r="I1000" s="21" t="str">
        <f t="shared" si="63"/>
        <v>Not Comedy</v>
      </c>
      <c r="J1000" s="21" t="str">
        <f t="shared" si="64"/>
        <v>Old</v>
      </c>
    </row>
    <row r="1001" spans="1:10" x14ac:dyDescent="0.35">
      <c r="A1001" s="4" t="s">
        <v>531</v>
      </c>
      <c r="B1001" s="4" t="s">
        <v>532</v>
      </c>
      <c r="C1001" s="4" t="s">
        <v>98</v>
      </c>
      <c r="D1001" s="20">
        <v>3.9</v>
      </c>
      <c r="E1001" s="4">
        <v>41105</v>
      </c>
      <c r="F1001" s="4">
        <v>1957</v>
      </c>
      <c r="G1001" s="21" t="str">
        <f t="shared" si="61"/>
        <v>Not Popular</v>
      </c>
      <c r="H1001" s="21" t="str">
        <f t="shared" si="62"/>
        <v>Horror or Thriller</v>
      </c>
      <c r="I1001" s="21" t="str">
        <f t="shared" si="63"/>
        <v>Not Comedy</v>
      </c>
      <c r="J1001" s="21" t="str">
        <f t="shared" si="64"/>
        <v>Old</v>
      </c>
    </row>
  </sheetData>
  <sortState xmlns:xlrd2="http://schemas.microsoft.com/office/spreadsheetml/2017/richdata2" ref="A2:F1001">
    <sortCondition descending="1" ref="F1:F1001"/>
  </sortState>
  <conditionalFormatting sqref="E1:E1048576">
    <cfRule type="dataBar" priority="1">
      <dataBar>
        <cfvo type="min"/>
        <cfvo type="max"/>
        <color rgb="FFFF555A"/>
      </dataBar>
      <extLst>
        <ext xmlns:x14="http://schemas.microsoft.com/office/spreadsheetml/2009/9/main" uri="{B025F937-C7B1-47D3-B67F-A62EFF666E3E}">
          <x14:id>{13174251-4E7B-4466-927B-4C94B839C2C1}</x14:id>
        </ext>
      </extLst>
    </cfRule>
  </conditionalFormatting>
  <conditionalFormatting sqref="G1">
    <cfRule type="colorScale" priority="4">
      <colorScale>
        <cfvo type="min"/>
        <cfvo type="max"/>
        <color rgb="FFFF7128"/>
        <color rgb="FFFFEF9C"/>
      </colorScale>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iconSet" priority="2" id="{2DC9ADC0-B70E-4C0C-9BBB-9C99EE82C52A}">
            <x14:iconSet iconSet="3Stars">
              <x14:cfvo type="percent">
                <xm:f>0</xm:f>
              </x14:cfvo>
              <x14:cfvo type="percent">
                <xm:f>33</xm:f>
              </x14:cfvo>
              <x14:cfvo type="percent">
                <xm:f>67</xm:f>
              </x14:cfvo>
            </x14:iconSet>
          </x14:cfRule>
          <xm:sqref>D1:D1048576</xm:sqref>
        </x14:conditionalFormatting>
        <x14:conditionalFormatting xmlns:xm="http://schemas.microsoft.com/office/excel/2006/main">
          <x14:cfRule type="dataBar" id="{13174251-4E7B-4466-927B-4C94B839C2C1}">
            <x14:dataBar minLength="0" maxLength="100" border="1" negativeBarBorderColorSameAsPositive="0">
              <x14:cfvo type="autoMin"/>
              <x14:cfvo type="autoMax"/>
              <x14:borderColor rgb="FFFF555A"/>
              <x14:negativeFillColor rgb="FFFF0000"/>
              <x14:negativeBorderColor rgb="FFFF0000"/>
              <x14:axisColor rgb="FF000000"/>
            </x14:dataBar>
          </x14:cfRule>
          <xm:sqref>E1:E1048576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4344B-2656-4BBA-9D63-86AFCEA4403B}">
  <sheetPr codeName="Sheet6"/>
  <dimension ref="A1:M196"/>
  <sheetViews>
    <sheetView topLeftCell="A2" workbookViewId="0">
      <selection activeCell="M14" sqref="M14"/>
    </sheetView>
  </sheetViews>
  <sheetFormatPr defaultRowHeight="14.5" x14ac:dyDescent="0.35"/>
  <cols>
    <col min="1" max="1" width="11.26953125" customWidth="1"/>
    <col min="2" max="2" width="25.453125" customWidth="1"/>
    <col min="3" max="3" width="19" style="1" customWidth="1"/>
    <col min="4" max="4" width="29.7265625" style="1" customWidth="1"/>
    <col min="5" max="5" width="2.81640625" style="1" customWidth="1"/>
    <col min="6" max="6" width="24.453125" customWidth="1"/>
    <col min="7" max="7" width="19" customWidth="1"/>
    <col min="8" max="8" width="22.1796875" customWidth="1"/>
    <col min="9" max="9" width="14" customWidth="1"/>
    <col min="10" max="10" width="12.453125" customWidth="1"/>
    <col min="11" max="11" width="1" customWidth="1"/>
    <col min="12" max="12" width="35.54296875" customWidth="1"/>
    <col min="13" max="13" width="30.7265625" style="6" customWidth="1"/>
  </cols>
  <sheetData>
    <row r="1" spans="1:13" ht="15" customHeight="1" x14ac:dyDescent="0.35">
      <c r="A1" s="101" t="s">
        <v>2351</v>
      </c>
      <c r="B1" s="102"/>
      <c r="C1" s="102"/>
      <c r="D1" s="102"/>
      <c r="E1" s="4"/>
      <c r="L1" s="99" t="s">
        <v>2349</v>
      </c>
      <c r="M1" s="99"/>
    </row>
    <row r="2" spans="1:13" x14ac:dyDescent="0.35">
      <c r="A2" s="44" t="s">
        <v>0</v>
      </c>
      <c r="B2" s="44" t="s">
        <v>2251</v>
      </c>
      <c r="C2" s="44" t="s">
        <v>2352</v>
      </c>
      <c r="D2" s="44" t="s">
        <v>2353</v>
      </c>
      <c r="E2" s="4"/>
      <c r="F2" s="98" t="s">
        <v>2357</v>
      </c>
      <c r="G2" s="98"/>
      <c r="H2" s="98"/>
      <c r="I2" s="98"/>
      <c r="L2" s="3" t="s">
        <v>2246</v>
      </c>
      <c r="M2" s="7" t="s">
        <v>2250</v>
      </c>
    </row>
    <row r="3" spans="1:13" x14ac:dyDescent="0.35">
      <c r="A3" s="4" t="s">
        <v>882</v>
      </c>
      <c r="B3" s="21" t="str">
        <f>VLOOKUP(A3, 'Raw data'!A2:F1001,3,FALSE)</f>
        <v>Horror, Mystery</v>
      </c>
      <c r="C3" s="20">
        <f>VLOOKUP(A3,'Raw data'!A2:F1001,6,FALSE)</f>
        <v>2000</v>
      </c>
      <c r="D3" s="20">
        <f>SUMIFS('Raw data'!E2:E1001, 'Raw data'!C2:C1001, B3, 'Raw data'!F2:F1001, C3)</f>
        <v>19287</v>
      </c>
      <c r="E3" s="4"/>
      <c r="F3" s="3" t="s">
        <v>2208</v>
      </c>
      <c r="G3" s="3" t="s">
        <v>2354</v>
      </c>
      <c r="H3" s="3" t="s">
        <v>2251</v>
      </c>
      <c r="I3" s="3" t="s">
        <v>2355</v>
      </c>
      <c r="L3" s="21" t="str" cm="1">
        <f t="array" ref="L3:L196">_xlfn.UNIQUE('Raw data'!C2:C1001)</f>
        <v>Drama, Romance, Thriller</v>
      </c>
      <c r="M3" s="20">
        <f>SUMIFS('Raw data'!E:E, 'Raw data'!C:C, L3)</f>
        <v>407734</v>
      </c>
    </row>
    <row r="4" spans="1:13" x14ac:dyDescent="0.35">
      <c r="A4" s="4" t="s">
        <v>1565</v>
      </c>
      <c r="B4" s="21" t="str">
        <f>VLOOKUP(A4, 'Raw data'!A3:F1002,3,FALSE)</f>
        <v>Adventure, Comedy, Fantasy</v>
      </c>
      <c r="C4" s="20">
        <f>VLOOKUP(A4,'Raw data'!A3:F1002,6,FALSE)</f>
        <v>2001</v>
      </c>
      <c r="D4" s="20">
        <f>SUMIFS('Raw data'!E3:E1002, 'Raw data'!C3:C1002, B4, 'Raw data'!F3:F1002, C4)</f>
        <v>43983</v>
      </c>
      <c r="E4" s="4"/>
      <c r="F4" s="33" t="str">
        <f>INDEX('Raw data'!B2:B1001, MATCH(G4, 'Raw data'!E2:E1001, 0))</f>
        <v>The Acolyte</v>
      </c>
      <c r="G4" s="33" cm="1">
        <f t="array" ref="G4">LARGE(IF('Raw data'!F2:F1001=2024, 'Raw data'!E2:E1001), 1)</f>
        <v>124735</v>
      </c>
      <c r="H4" s="33" t="str">
        <f>INDEX('Raw data'!C2:C1001, MATCH(F4, 'Raw data'!B2:B1001, 0))</f>
        <v>Action, Adventure, Drama</v>
      </c>
      <c r="I4" s="32">
        <f>INDEX('Raw data'!D2:D1001, MATCH(F4, 'Raw data'!B2:B1001, 0))</f>
        <v>4.0999999999999996</v>
      </c>
      <c r="L4" s="21" t="str">
        <v>Adventure, Drama, Fantasy</v>
      </c>
      <c r="M4" s="20">
        <f>SUMIFS('Raw data'!E:E, 'Raw data'!C:C, L4)</f>
        <v>563363</v>
      </c>
    </row>
    <row r="5" spans="1:13" x14ac:dyDescent="0.35">
      <c r="A5" s="4" t="s">
        <v>1460</v>
      </c>
      <c r="B5" s="21" t="str">
        <f>VLOOKUP(A5, 'Raw data'!A4:F1003,3,FALSE)</f>
        <v>Horror, Mystery, Thriller</v>
      </c>
      <c r="C5" s="20">
        <f>VLOOKUP(A5,'Raw data'!A4:F1003,6,FALSE)</f>
        <v>2002</v>
      </c>
      <c r="D5" s="20">
        <f>SUMIFS('Raw data'!E4:E1003, 'Raw data'!C4:C1003, B5, 'Raw data'!F4:F1003, C5)</f>
        <v>29096</v>
      </c>
      <c r="E5" s="4"/>
      <c r="F5" s="33" t="str">
        <f>INDEX('Raw data'!B3:B1002, MATCH(G5, 'Raw data'!E3:E1002, 0))</f>
        <v>Madame Web</v>
      </c>
      <c r="G5" s="33" cm="1">
        <f t="array" ref="G5">LARGE(IF('Raw data'!F3:F1002=2024, 'Raw data'!E3:E1002), 2)</f>
        <v>91349</v>
      </c>
      <c r="H5" s="33" t="str">
        <f>INDEX('Raw data'!C3:C1002, MATCH(F5, 'Raw data'!B3:B1002, 0))</f>
        <v>Action, Adventure, Sci-Fi</v>
      </c>
      <c r="I5" s="32">
        <f>INDEX('Raw data'!D3:D1002, MATCH(F5, 'Raw data'!B3:B1002, 0))</f>
        <v>4</v>
      </c>
      <c r="L5" s="21" t="str">
        <v>Action, Sci-Fi</v>
      </c>
      <c r="M5" s="20">
        <f>SUMIFS('Raw data'!E:E, 'Raw data'!C:C, L5)</f>
        <v>464662</v>
      </c>
    </row>
    <row r="6" spans="1:13" x14ac:dyDescent="0.35">
      <c r="A6" s="4" t="s">
        <v>1909</v>
      </c>
      <c r="B6" s="21" t="str">
        <f>VLOOKUP(A6, 'Raw data'!A5:F1004,3,FALSE)</f>
        <v>Action, Adventure, Comedy</v>
      </c>
      <c r="C6" s="20">
        <f>VLOOKUP(A6,'Raw data'!A5:F1004,6,FALSE)</f>
        <v>2003</v>
      </c>
      <c r="D6" s="20">
        <f>SUMIFS('Raw data'!E5:E1004, 'Raw data'!C5:C1004, B6, 'Raw data'!F5:F1004, C6)</f>
        <v>274028</v>
      </c>
      <c r="E6" s="4"/>
      <c r="F6" s="33" t="str">
        <f>INDEX('Raw data'!B4:B1003, MATCH(G6, 'Raw data'!E4:E1003, 0))</f>
        <v>Indian Police Force</v>
      </c>
      <c r="G6" s="33" cm="1">
        <f t="array" ref="G6">LARGE(IF('Raw data'!F4:F1003=2024, 'Raw data'!E4:E1003), 3)</f>
        <v>58338</v>
      </c>
      <c r="H6" s="33" t="str">
        <f>INDEX('Raw data'!C4:C1003, MATCH(F6, 'Raw data'!B4:B1003, 0))</f>
        <v>Action, Crime, Drama</v>
      </c>
      <c r="I6" s="32">
        <f>INDEX('Raw data'!D4:D1003, MATCH(F6, 'Raw data'!B4:B1003, 0))</f>
        <v>4.9000000000000004</v>
      </c>
      <c r="L6" s="21" t="str">
        <v>Action, Adventure, Drama</v>
      </c>
      <c r="M6" s="20">
        <f>SUMIFS('Raw data'!E:E, 'Raw data'!C:C, L6)</f>
        <v>1341014</v>
      </c>
    </row>
    <row r="7" spans="1:13" x14ac:dyDescent="0.35">
      <c r="A7" s="4" t="s">
        <v>542</v>
      </c>
      <c r="B7" s="21" t="str">
        <f>VLOOKUP(A7, 'Raw data'!A6:F1005,3,FALSE)</f>
        <v>Drama, Music</v>
      </c>
      <c r="C7" s="20">
        <f>VLOOKUP(A7,'Raw data'!A6:F1005,6,FALSE)</f>
        <v>2004</v>
      </c>
      <c r="D7" s="20">
        <f>SUMIFS('Raw data'!E6:E1005, 'Raw data'!C6:C1005, B7, 'Raw data'!F6:F1005, C7)</f>
        <v>28830</v>
      </c>
      <c r="E7" s="4"/>
      <c r="F7" s="33" t="str">
        <f>INDEX('Raw data'!B5:B1004, MATCH(G7, 'Raw data'!E5:E1004, 0))</f>
        <v>Bade Miyan Chote Miyan</v>
      </c>
      <c r="G7" s="33" cm="1">
        <f t="array" ref="G7">LARGE(IF('Raw data'!F5:F1004=2024, 'Raw data'!E5:E1004), 4)</f>
        <v>38451</v>
      </c>
      <c r="H7" s="33" t="str">
        <f>INDEX('Raw data'!C5:C1004, MATCH(F7, 'Raw data'!B5:B1004, 0))</f>
        <v>Action, Adventure, Sci-Fi</v>
      </c>
      <c r="I7" s="32">
        <f>INDEX('Raw data'!D5:D1004, MATCH(F7, 'Raw data'!B5:B1004, 0))</f>
        <v>3.9</v>
      </c>
      <c r="L7" s="21" t="str">
        <v>Adventure, Drama, Sci-Fi</v>
      </c>
      <c r="M7" s="20">
        <f>SUMIFS('Raw data'!E:E, 'Raw data'!C:C, L7)</f>
        <v>277533</v>
      </c>
    </row>
    <row r="8" spans="1:13" x14ac:dyDescent="0.35">
      <c r="A8" s="4" t="s">
        <v>1874</v>
      </c>
      <c r="B8" s="21" t="str">
        <f>VLOOKUP(A8, 'Raw data'!A7:F1006,3,FALSE)</f>
        <v>Comedy</v>
      </c>
      <c r="C8" s="20">
        <f>VLOOKUP(A8,'Raw data'!A7:F1006,6,FALSE)</f>
        <v>2006</v>
      </c>
      <c r="D8" s="20">
        <f>SUMIFS('Raw data'!E7:E1006, 'Raw data'!C7:C1006, B8, 'Raw data'!F7:F1006, C8)</f>
        <v>225590</v>
      </c>
      <c r="E8" s="4"/>
      <c r="F8" s="33" t="str">
        <f>INDEX('Raw data'!B6:B1005, MATCH(G8, 'Raw data'!E6:E1005, 0))</f>
        <v>Martin</v>
      </c>
      <c r="G8" s="33" cm="1">
        <f t="array" ref="G8">LARGE(IF('Raw data'!F6:F1005=2024, 'Raw data'!E6:E1005), 5)</f>
        <v>34529</v>
      </c>
      <c r="H8" s="33" t="str">
        <f>INDEX('Raw data'!C6:C1005, MATCH(F8, 'Raw data'!B6:B1005, 0))</f>
        <v>Action, Drama, Thriller</v>
      </c>
      <c r="I8" s="32">
        <f>INDEX('Raw data'!D6:D1005, MATCH(F8, 'Raw data'!B6:B1005, 0))</f>
        <v>4.5</v>
      </c>
      <c r="L8" s="21" t="str">
        <v>Action, Thriller</v>
      </c>
      <c r="M8" s="20">
        <f>SUMIFS('Raw data'!E:E, 'Raw data'!C:C, L8)</f>
        <v>564710</v>
      </c>
    </row>
    <row r="9" spans="1:13" x14ac:dyDescent="0.35">
      <c r="A9" s="4" t="s">
        <v>147</v>
      </c>
      <c r="B9" s="21" t="str">
        <f>VLOOKUP(A9, 'Raw data'!A8:F1007,3,FALSE)</f>
        <v>Comedy, Sport</v>
      </c>
      <c r="C9" s="20">
        <f>VLOOKUP(A9,'Raw data'!A8:F1007,6,FALSE)</f>
        <v>2007</v>
      </c>
      <c r="D9" s="20">
        <f>SUMIFS('Raw data'!E8:E1007, 'Raw data'!C8:C1007, B9, 'Raw data'!F8:F1007, C9)</f>
        <v>42021</v>
      </c>
      <c r="E9" s="4"/>
      <c r="F9" s="33" t="str">
        <f>INDEX('Raw data'!B7:B1006, MATCH(G9, 'Raw data'!E7:E1006, 0))</f>
        <v>Under Paris</v>
      </c>
      <c r="G9" s="33" cm="1">
        <f t="array" ref="G9">LARGE(IF('Raw data'!F7:F1006=2024, 'Raw data'!E7:E1006), 6)</f>
        <v>32479</v>
      </c>
      <c r="H9" s="33" t="str">
        <f>INDEX('Raw data'!C7:C1006, MATCH(F9, 'Raw data'!B7:B1006, 0))</f>
        <v>Action, Drama, Horror</v>
      </c>
      <c r="I9" s="32">
        <f>INDEX('Raw data'!D7:D1006, MATCH(F9, 'Raw data'!B7:B1006, 0))</f>
        <v>5.2</v>
      </c>
      <c r="L9" s="21" t="str">
        <v>Action, Adventure, Sci-Fi</v>
      </c>
      <c r="M9" s="20">
        <f>SUMIFS('Raw data'!E:E, 'Raw data'!C:C, L9)</f>
        <v>1574437</v>
      </c>
    </row>
    <row r="10" spans="1:13" x14ac:dyDescent="0.35">
      <c r="A10" s="4" t="s">
        <v>1851</v>
      </c>
      <c r="B10" s="21" t="str">
        <f>VLOOKUP(A10, 'Raw data'!A9:F1008,3,FALSE)</f>
        <v>Action, Adventure, Drama</v>
      </c>
      <c r="C10" s="20">
        <f>VLOOKUP(A10,'Raw data'!A9:F1008,6,FALSE)</f>
        <v>2008</v>
      </c>
      <c r="D10" s="20">
        <f>SUMIFS('Raw data'!E9:E1008, 'Raw data'!C9:C1008, B10, 'Raw data'!F9:F1008, C10)</f>
        <v>136533</v>
      </c>
      <c r="E10" s="4"/>
      <c r="F10" s="33" t="str">
        <f>INDEX('Raw data'!B8:B1007, MATCH(G10, 'Raw data'!E8:E1007, 0))</f>
        <v>Borderlands</v>
      </c>
      <c r="G10" s="33" cm="1">
        <f t="array" ref="G10">LARGE(IF('Raw data'!F8:F1007=2024, 'Raw data'!E8:E1007), 7)</f>
        <v>31263</v>
      </c>
      <c r="H10" s="33" t="str">
        <f>INDEX('Raw data'!C8:C1007, MATCH(F10, 'Raw data'!B8:B1007, 0))</f>
        <v>Action, Adventure, Comedy</v>
      </c>
      <c r="I10" s="32">
        <f>INDEX('Raw data'!D8:D1007, MATCH(F10, 'Raw data'!B8:B1007, 0))</f>
        <v>4.5999999999999996</v>
      </c>
      <c r="L10" s="21" t="str">
        <v>Action, Adventure, Comedy</v>
      </c>
      <c r="M10" s="20">
        <f>SUMIFS('Raw data'!E:E, 'Raw data'!C:C, L10)</f>
        <v>1636625</v>
      </c>
    </row>
    <row r="11" spans="1:13" x14ac:dyDescent="0.35">
      <c r="A11" s="4" t="s">
        <v>1531</v>
      </c>
      <c r="B11" s="21" t="str">
        <f>VLOOKUP(A11, 'Raw data'!A10:F1009,3,FALSE)</f>
        <v>Comedy</v>
      </c>
      <c r="C11" s="20">
        <f>VLOOKUP(A11,'Raw data'!A10:F1009,6,FALSE)</f>
        <v>2009</v>
      </c>
      <c r="D11" s="20">
        <f>SUMIFS('Raw data'!E10:E1009, 'Raw data'!C10:C1009, B11, 'Raw data'!F10:F1009, C11)</f>
        <v>190898</v>
      </c>
      <c r="E11" s="4"/>
      <c r="L11" s="21" t="str">
        <v>Action, Crime, Thriller</v>
      </c>
      <c r="M11" s="20">
        <f>SUMIFS('Raw data'!E:E, 'Raw data'!C:C, L11)</f>
        <v>518203</v>
      </c>
    </row>
    <row r="12" spans="1:13" x14ac:dyDescent="0.35">
      <c r="A12" s="4" t="s">
        <v>807</v>
      </c>
      <c r="B12" s="21" t="str">
        <f>VLOOKUP(A12, 'Raw data'!A11:F1010,3,FALSE)</f>
        <v>Horror, Thriller</v>
      </c>
      <c r="C12" s="20">
        <f>VLOOKUP(A12,'Raw data'!A11:F1010,6,FALSE)</f>
        <v>2010</v>
      </c>
      <c r="D12" s="20">
        <f>SUMIFS('Raw data'!E11:E1010, 'Raw data'!C11:C1010, B12, 'Raw data'!F11:F1010, C12)</f>
        <v>40360</v>
      </c>
      <c r="E12" s="4"/>
      <c r="F12" s="100" t="s">
        <v>2356</v>
      </c>
      <c r="G12" s="100"/>
      <c r="H12" s="4"/>
      <c r="I12" s="4"/>
      <c r="J12" s="4"/>
      <c r="L12" s="21" t="str">
        <v>Action, Adventure, Family</v>
      </c>
      <c r="M12" s="20">
        <f>SUMIFS('Raw data'!E:E, 'Raw data'!C:C, L12)</f>
        <v>344294</v>
      </c>
    </row>
    <row r="13" spans="1:13" x14ac:dyDescent="0.35">
      <c r="A13" s="4" t="s">
        <v>247</v>
      </c>
      <c r="B13" s="21" t="str">
        <f>VLOOKUP(A13, 'Raw data'!A12:F1011,3,FALSE)</f>
        <v>Crime, Thriller</v>
      </c>
      <c r="C13" s="20">
        <f>VLOOKUP(A13,'Raw data'!A12:F1011,6,FALSE)</f>
        <v>2011</v>
      </c>
      <c r="D13" s="20">
        <f>SUMIFS('Raw data'!E12:E1011, 'Raw data'!C12:C1011, B13, 'Raw data'!F12:F1011, C13)</f>
        <v>34925</v>
      </c>
      <c r="E13" s="4"/>
      <c r="F13" s="3" t="s">
        <v>2251</v>
      </c>
      <c r="G13" s="3" t="s">
        <v>2252</v>
      </c>
      <c r="L13" s="21" t="str">
        <v>Action, Adventure, Fantasy</v>
      </c>
      <c r="M13" s="20">
        <f>SUMIFS('Raw data'!E:E, 'Raw data'!C:C, L13)</f>
        <v>845644</v>
      </c>
    </row>
    <row r="14" spans="1:13" x14ac:dyDescent="0.35">
      <c r="A14" s="4" t="s">
        <v>647</v>
      </c>
      <c r="B14" s="21" t="str">
        <f>VLOOKUP(A14, 'Raw data'!A13:F1012,3,FALSE)</f>
        <v>Adventure, Horror</v>
      </c>
      <c r="C14" s="20">
        <f>VLOOKUP(A14,'Raw data'!A13:F1012,6,FALSE)</f>
        <v>2012</v>
      </c>
      <c r="D14" s="20">
        <f>SUMIFS('Raw data'!E13:E1012, 'Raw data'!C13:C1012, B14, 'Raw data'!F13:F1012, C14)</f>
        <v>23717</v>
      </c>
      <c r="E14" s="4"/>
      <c r="F14" s="31" t="str">
        <f>INDEX(L$3:L$196, MATCH(LARGE(M$3:M$196, 1), M$3:M$196, 0))</f>
        <v>Comedy</v>
      </c>
      <c r="G14" s="32">
        <f>LARGE(M$3:M$196, 1)</f>
        <v>1719522</v>
      </c>
      <c r="L14" s="21" t="str">
        <v>Action, Comedy, Sci-Fi</v>
      </c>
      <c r="M14" s="20">
        <f>SUMIFS('Raw data'!E:E, 'Raw data'!C:C, L14)</f>
        <v>339253</v>
      </c>
    </row>
    <row r="15" spans="1:13" x14ac:dyDescent="0.35">
      <c r="A15" s="4" t="s">
        <v>2100</v>
      </c>
      <c r="B15" s="21" t="str">
        <f>VLOOKUP(A15, 'Raw data'!A9:F1013,3,FALSE)</f>
        <v>Action, Thriller</v>
      </c>
      <c r="C15" s="20">
        <f>VLOOKUP(A15,'Raw data'!A9:F1013,6,FALSE)</f>
        <v>2013</v>
      </c>
      <c r="D15" s="20">
        <f>SUMIFS('Raw data'!E14:E1013, 'Raw data'!C14:C1013, B15, 'Raw data'!F14:F1013, C15)</f>
        <v>25450</v>
      </c>
      <c r="E15" s="4"/>
      <c r="F15" s="31" t="str">
        <f>INDEX(L$3:L$196, MATCH(LARGE(M$3:M$196, 2), M$3:M$196, 0))</f>
        <v>Action, Adventure, Comedy</v>
      </c>
      <c r="G15" s="32">
        <f>LARGE(M$3:M$196, 2)</f>
        <v>1636625</v>
      </c>
      <c r="L15" s="21" t="str">
        <v>Action, Adventure, Horror</v>
      </c>
      <c r="M15" s="20">
        <f>SUMIFS('Raw data'!E:E, 'Raw data'!C:C, L15)</f>
        <v>598575</v>
      </c>
    </row>
    <row r="16" spans="1:13" x14ac:dyDescent="0.35">
      <c r="A16" s="4" t="s">
        <v>1410</v>
      </c>
      <c r="B16" s="21" t="str">
        <f>VLOOKUP(A16, 'Raw data'!A15:F1014,3,FALSE)</f>
        <v>Comedy, Horror</v>
      </c>
      <c r="C16" s="20">
        <f>VLOOKUP(A16,'Raw data'!A15:F1014,6,FALSE)</f>
        <v>2014</v>
      </c>
      <c r="D16" s="20">
        <f>SUMIFS('Raw data'!E15:E1014, 'Raw data'!C15:C1014, B16, 'Raw data'!F15:F1014, C16)</f>
        <v>21038</v>
      </c>
      <c r="E16" s="4"/>
      <c r="F16" s="31" t="str">
        <f>INDEX(L$3:L$196, MATCH(LARGE(M$3:M$196, 3), M$3:M$196, 0))</f>
        <v>Action, Adventure, Sci-Fi</v>
      </c>
      <c r="G16" s="32">
        <f>LARGE(M$3:M$196, 3)</f>
        <v>1574437</v>
      </c>
      <c r="L16" s="21" t="str">
        <v>Action, Horror, Sci-Fi</v>
      </c>
      <c r="M16" s="20">
        <f>SUMIFS('Raw data'!E:E, 'Raw data'!C:C, L16)</f>
        <v>729929</v>
      </c>
    </row>
    <row r="17" spans="1:13" x14ac:dyDescent="0.35">
      <c r="A17" s="4" t="s">
        <v>910</v>
      </c>
      <c r="B17" s="21" t="str">
        <f>VLOOKUP(A17, 'Raw data'!A16:F1015,3,FALSE)</f>
        <v>Mystery, Sci-Fi, Thriller</v>
      </c>
      <c r="C17" s="20">
        <f>VLOOKUP(A17,'Raw data'!A16:F1015,6,FALSE)</f>
        <v>2015</v>
      </c>
      <c r="D17" s="20">
        <f>SUMIFS('Raw data'!E16:E1015, 'Raw data'!C16:C1015, B17, 'Raw data'!F16:F1015, C17)</f>
        <v>11349</v>
      </c>
      <c r="E17" s="4"/>
      <c r="F17" s="31" t="str">
        <f>INDEX(L$3:L$196, MATCH(LARGE(M$3:M$196, 4), M$3:M$196, 0))</f>
        <v>Horror, Mystery, Thriller</v>
      </c>
      <c r="G17" s="32">
        <f>LARGE(M$3:M$196, 4)</f>
        <v>1377044</v>
      </c>
      <c r="L17" s="21" t="str">
        <v>Comedy</v>
      </c>
      <c r="M17" s="20">
        <f>SUMIFS('Raw data'!E:E, 'Raw data'!C:C, L17)</f>
        <v>1719522</v>
      </c>
    </row>
    <row r="18" spans="1:13" x14ac:dyDescent="0.35">
      <c r="A18" s="4" t="s">
        <v>1165</v>
      </c>
      <c r="B18" s="21" t="str">
        <f>VLOOKUP(A18, 'Raw data'!A17:F1016,3,FALSE)</f>
        <v>Action, Adventure, Comedy</v>
      </c>
      <c r="C18" s="20">
        <f>VLOOKUP(A18,'Raw data'!A17:F1016,6,FALSE)</f>
        <v>2016</v>
      </c>
      <c r="D18" s="20">
        <f>SUMIFS('Raw data'!E17:E1016, 'Raw data'!C17:C1016, B18, 'Raw data'!F17:F1016, C18)</f>
        <v>77401</v>
      </c>
      <c r="E18" s="4"/>
      <c r="F18" s="31" t="str">
        <f>INDEX(L$3:L$196, MATCH(LARGE(M$3:M$196, 5), M$3:M$196, 0))</f>
        <v>Action, Adventure, Drama</v>
      </c>
      <c r="G18" s="32">
        <f>LARGE(M$3:M$196, 5)</f>
        <v>1341014</v>
      </c>
      <c r="L18" s="21" t="str">
        <v>Action, Comedy, Crime</v>
      </c>
      <c r="M18" s="20">
        <f>SUMIFS('Raw data'!E:E, 'Raw data'!C:C, L18)</f>
        <v>882591</v>
      </c>
    </row>
    <row r="19" spans="1:13" x14ac:dyDescent="0.35">
      <c r="A19" s="4" t="s">
        <v>1440</v>
      </c>
      <c r="B19" s="21" t="str">
        <f>VLOOKUP(A19, 'Raw data'!A18:F1017,3,FALSE)</f>
        <v>Horror, Thriller</v>
      </c>
      <c r="C19" s="20">
        <f>VLOOKUP(A19,'Raw data'!A18:F1017,6,FALSE)</f>
        <v>2017</v>
      </c>
      <c r="D19" s="20">
        <f>SUMIFS('Raw data'!E18:E1017, 'Raw data'!C18:C1017, B19, 'Raw data'!F18:F1017, C19)</f>
        <v>30154</v>
      </c>
      <c r="E19" s="4"/>
      <c r="F19" s="31" t="str">
        <f>INDEX(L$3:L$196, MATCH(LARGE(M$3:M$196, 6), M$3:M$196, 0))</f>
        <v>Horror, Thriller</v>
      </c>
      <c r="G19" s="32">
        <f>LARGE(M$3:M$196, 6)</f>
        <v>1085481</v>
      </c>
      <c r="L19" s="21" t="str">
        <v>Action, Fantasy, Thriller</v>
      </c>
      <c r="M19" s="20">
        <f>SUMIFS('Raw data'!E:E, 'Raw data'!C:C, L19)</f>
        <v>128358</v>
      </c>
    </row>
    <row r="20" spans="1:13" x14ac:dyDescent="0.35">
      <c r="A20" s="4" t="s">
        <v>329</v>
      </c>
      <c r="B20" s="21" t="str">
        <f>VLOOKUP(A20, 'Raw data'!A19:F1018,3,FALSE)</f>
        <v>Comedy</v>
      </c>
      <c r="C20" s="20">
        <f>VLOOKUP(A20,'Raw data'!A19:F1018,6,FALSE)</f>
        <v>2018</v>
      </c>
      <c r="D20" s="20">
        <f>SUMIFS('Raw data'!E19:E1018, 'Raw data'!C19:C1018, B20, 'Raw data'!F19:F1018, C20)</f>
        <v>92272</v>
      </c>
      <c r="E20" s="4"/>
      <c r="F20" s="31" t="str">
        <f>INDEX(L$3:L$196, MATCH(LARGE(M$3:M$196, 7), M$3:M$196, 0))</f>
        <v>Adventure, Comedy, Family</v>
      </c>
      <c r="G20" s="32">
        <f>LARGE(M$3:M$196, 7)</f>
        <v>1013081</v>
      </c>
      <c r="L20" s="21" t="str">
        <v>Action, Crime, Fantasy</v>
      </c>
      <c r="M20" s="20">
        <f>SUMIFS('Raw data'!E:E, 'Raw data'!C:C, L20)</f>
        <v>276390</v>
      </c>
    </row>
    <row r="21" spans="1:13" x14ac:dyDescent="0.35">
      <c r="A21" s="4" t="s">
        <v>1732</v>
      </c>
      <c r="B21" s="21" t="str">
        <f>VLOOKUP(A21, 'Raw data'!A20:F1019,3,FALSE)</f>
        <v>Adventure, Drama, Horror</v>
      </c>
      <c r="C21" s="20">
        <f>VLOOKUP(A21,'Raw data'!A20:F1019,6,FALSE)</f>
        <v>2019</v>
      </c>
      <c r="D21" s="20">
        <f>SUMIFS('Raw data'!E20:E1019, 'Raw data'!C20:C1019, B21, 'Raw data'!F20:F1019, C21)</f>
        <v>31684</v>
      </c>
      <c r="E21" s="4"/>
      <c r="L21" s="21" t="str">
        <v>Comedy, Romance</v>
      </c>
      <c r="M21" s="20">
        <f>SUMIFS('Raw data'!E:E, 'Raw data'!C:C, L21)</f>
        <v>837880</v>
      </c>
    </row>
    <row r="22" spans="1:13" x14ac:dyDescent="0.35">
      <c r="A22" s="4" t="s">
        <v>1257</v>
      </c>
      <c r="B22" s="21" t="str">
        <f>VLOOKUP(A22, 'Raw data'!A21:F1020,3,FALSE)</f>
        <v>Action, Animation, Comedy</v>
      </c>
      <c r="C22" s="20">
        <f>VLOOKUP(A22,'Raw data'!A21:F1020,6,FALSE)</f>
        <v>2020</v>
      </c>
      <c r="D22" s="20">
        <f>SUMIFS('Raw data'!E21:E1020, 'Raw data'!C21:C1020, B22, 'Raw data'!F21:F1020, C22)</f>
        <v>17665</v>
      </c>
      <c r="E22" s="4"/>
      <c r="F22" s="98" t="s">
        <v>2350</v>
      </c>
      <c r="G22" s="98"/>
      <c r="H22" s="98"/>
      <c r="L22" s="21" t="str">
        <v>Horror, Thriller</v>
      </c>
      <c r="M22" s="20">
        <f>SUMIFS('Raw data'!E:E, 'Raw data'!C:C, L22)</f>
        <v>1085481</v>
      </c>
    </row>
    <row r="23" spans="1:13" x14ac:dyDescent="0.35">
      <c r="A23" s="4" t="s">
        <v>32</v>
      </c>
      <c r="B23" s="21" t="str">
        <f>VLOOKUP(A23, 'Raw data'!A22:F1021,3,FALSE)</f>
        <v>Action, Drama, War</v>
      </c>
      <c r="C23" s="20">
        <f>VLOOKUP(A23,'Raw data'!A22:F1021,6,FALSE)</f>
        <v>2021</v>
      </c>
      <c r="D23" s="20">
        <f>SUMIFS('Raw data'!E22:E1021, 'Raw data'!C22:C1021, B23, 'Raw data'!F22:F1021, C23)</f>
        <v>20687</v>
      </c>
      <c r="E23" s="4"/>
      <c r="F23" s="3" t="s">
        <v>2251</v>
      </c>
      <c r="G23" s="3" t="s">
        <v>2234</v>
      </c>
      <c r="H23" s="3" t="s">
        <v>2258</v>
      </c>
      <c r="L23" s="21" t="str">
        <v>Drama, Mystery, Romance</v>
      </c>
      <c r="M23" s="20">
        <f>SUMIFS('Raw data'!E:E, 'Raw data'!C:C, L23)</f>
        <v>248427</v>
      </c>
    </row>
    <row r="24" spans="1:13" x14ac:dyDescent="0.35">
      <c r="A24" s="4" t="s">
        <v>1306</v>
      </c>
      <c r="B24" s="21" t="str">
        <f>VLOOKUP(A24, 'Raw data'!A23:F1022,3,FALSE)</f>
        <v>Drama, Horror, Mystery</v>
      </c>
      <c r="C24" s="20">
        <f>VLOOKUP(A24,'Raw data'!A23:F1022,6,FALSE)</f>
        <v>2022</v>
      </c>
      <c r="D24" s="20">
        <f>SUMIFS('Raw data'!E23:E1022, 'Raw data'!C23:C1022, B24, 'Raw data'!F23:F1022, C24)</f>
        <v>99277</v>
      </c>
      <c r="E24" s="4"/>
      <c r="F24" s="21" t="str">
        <f>INDEX($B$2:$B$54, MATCH(H24, $D$2:$D$54, 0))</f>
        <v>Action, Adventure, Comedy</v>
      </c>
      <c r="G24" s="21">
        <f>INDEX($C$2:$C$54, MATCH(H24, $D$2:$D$54, 0))</f>
        <v>2003</v>
      </c>
      <c r="H24" s="21">
        <f>LARGE($D$2:$D$54, 1)</f>
        <v>274028</v>
      </c>
      <c r="L24" s="21" t="str">
        <v>Drama, Music</v>
      </c>
      <c r="M24" s="20">
        <f>SUMIFS('Raw data'!E:E, 'Raw data'!C:C, L24)</f>
        <v>141466</v>
      </c>
    </row>
    <row r="25" spans="1:13" x14ac:dyDescent="0.35">
      <c r="A25" s="4" t="s">
        <v>201</v>
      </c>
      <c r="B25" s="21" t="str">
        <f>VLOOKUP(A25, 'Raw data'!A24:F1023,3,FALSE)</f>
        <v>Action, Adventure, Drama</v>
      </c>
      <c r="C25" s="20">
        <f>VLOOKUP(A25,'Raw data'!A24:F1023,6,FALSE)</f>
        <v>2023</v>
      </c>
      <c r="D25" s="20">
        <f>SUMIFS('Raw data'!E24:E1023, 'Raw data'!C24:C1023, B25, 'Raw data'!F24:F1023, C25)</f>
        <v>172067</v>
      </c>
      <c r="E25" s="4"/>
      <c r="F25" s="21" t="str">
        <f t="shared" ref="F25:F28" si="0">INDEX($B$2:$B$54, MATCH(H25, $D$2:$D$54, 0))</f>
        <v>Comedy</v>
      </c>
      <c r="G25" s="21">
        <f t="shared" ref="G25:G28" si="1">INDEX($C$2:$C$54, MATCH(H25, $D$2:$D$54, 0))</f>
        <v>2006</v>
      </c>
      <c r="H25" s="21">
        <f>LARGE($D$2:$D$54, 2)</f>
        <v>225590</v>
      </c>
      <c r="L25" s="21" t="str">
        <v>Comedy, Fantasy</v>
      </c>
      <c r="M25" s="20">
        <f>SUMIFS('Raw data'!E:E, 'Raw data'!C:C, L25)</f>
        <v>165658</v>
      </c>
    </row>
    <row r="26" spans="1:13" x14ac:dyDescent="0.35">
      <c r="A26" s="4" t="s">
        <v>2194</v>
      </c>
      <c r="B26" s="21" t="str">
        <f>VLOOKUP(A26, 'Raw data'!A25:F1024,3,FALSE)</f>
        <v>Action, Drama, Horror</v>
      </c>
      <c r="C26" s="20">
        <f>VLOOKUP(A26,'Raw data'!A25:F1024,6,FALSE)</f>
        <v>2024</v>
      </c>
      <c r="D26" s="20">
        <f>SUMIFS('Raw data'!E25:E1024, 'Raw data'!C25:C1024, B26, 'Raw data'!F25:F1024, C26)</f>
        <v>32479</v>
      </c>
      <c r="E26" s="4"/>
      <c r="F26" s="21" t="str">
        <f t="shared" si="0"/>
        <v>Comedy</v>
      </c>
      <c r="G26" s="21">
        <f t="shared" si="1"/>
        <v>2009</v>
      </c>
      <c r="H26" s="21">
        <f>LARGE($D$2:$D$54, 3)</f>
        <v>190898</v>
      </c>
      <c r="L26" s="21" t="str">
        <v>Adventure, Comedy, Fantasy</v>
      </c>
      <c r="M26" s="20">
        <f>SUMIFS('Raw data'!E:E, 'Raw data'!C:C, L26)</f>
        <v>206207</v>
      </c>
    </row>
    <row r="27" spans="1:13" x14ac:dyDescent="0.35">
      <c r="A27" s="4"/>
      <c r="B27" s="21"/>
      <c r="C27" s="4"/>
      <c r="D27" s="4"/>
      <c r="E27" s="4"/>
      <c r="F27" s="21" t="str">
        <f t="shared" si="0"/>
        <v>Action, Adventure, Drama</v>
      </c>
      <c r="G27" s="21">
        <f t="shared" si="1"/>
        <v>2023</v>
      </c>
      <c r="H27" s="21">
        <f>LARGE($D$2:$D$54, 4)</f>
        <v>172067</v>
      </c>
      <c r="L27" s="21" t="str">
        <v>Crime, Drama, Horror</v>
      </c>
      <c r="M27" s="20">
        <f>SUMIFS('Raw data'!E:E, 'Raw data'!C:C, L27)</f>
        <v>149690</v>
      </c>
    </row>
    <row r="28" spans="1:13" x14ac:dyDescent="0.35">
      <c r="A28" s="97"/>
      <c r="B28" s="97"/>
      <c r="C28" s="97"/>
      <c r="D28" s="97"/>
      <c r="E28" s="4"/>
      <c r="F28" s="21" t="str">
        <f t="shared" si="0"/>
        <v>Action, Adventure, Drama</v>
      </c>
      <c r="G28" s="21">
        <f t="shared" si="1"/>
        <v>2008</v>
      </c>
      <c r="H28" s="21">
        <f>LARGE($D$2:$D$54, 5)</f>
        <v>136533</v>
      </c>
      <c r="L28" s="21" t="str">
        <v>Crime, Thriller</v>
      </c>
      <c r="M28" s="20">
        <f>SUMIFS('Raw data'!E:E, 'Raw data'!C:C, L28)</f>
        <v>158658</v>
      </c>
    </row>
    <row r="29" spans="1:13" x14ac:dyDescent="0.35">
      <c r="A29" s="4"/>
      <c r="B29" s="21"/>
      <c r="C29" s="4"/>
      <c r="D29" s="4"/>
      <c r="E29" s="4"/>
      <c r="L29" s="21" t="str">
        <v>Drama, Romance</v>
      </c>
      <c r="M29" s="20">
        <f>SUMIFS('Raw data'!E:E, 'Raw data'!C:C, L29)</f>
        <v>324515</v>
      </c>
    </row>
    <row r="30" spans="1:13" x14ac:dyDescent="0.35">
      <c r="A30" s="4"/>
      <c r="B30" s="21"/>
      <c r="C30" s="4"/>
      <c r="D30" s="4"/>
      <c r="E30" s="4"/>
      <c r="F30" s="98" t="s">
        <v>2257</v>
      </c>
      <c r="G30" s="98"/>
      <c r="H30" s="98"/>
      <c r="I30" s="98"/>
      <c r="J30" s="98"/>
      <c r="L30" s="21" t="str">
        <v>Action, Adventure, Crime</v>
      </c>
      <c r="M30" s="20">
        <f>SUMIFS('Raw data'!E:E, 'Raw data'!C:C, L30)</f>
        <v>375823</v>
      </c>
    </row>
    <row r="31" spans="1:13" x14ac:dyDescent="0.35">
      <c r="B31" s="21"/>
      <c r="C31" s="4"/>
      <c r="D31" s="4"/>
      <c r="E31" s="4"/>
      <c r="F31" s="3" t="s">
        <v>2251</v>
      </c>
      <c r="G31" s="3" t="s">
        <v>2255</v>
      </c>
      <c r="H31" s="3" t="s">
        <v>2256</v>
      </c>
      <c r="I31" s="3" t="s">
        <v>2253</v>
      </c>
      <c r="J31" s="3" t="s">
        <v>2254</v>
      </c>
      <c r="L31" s="21" t="str">
        <v>Action, Adventure, Thriller</v>
      </c>
      <c r="M31" s="20">
        <f>SUMIFS('Raw data'!E:E, 'Raw data'!C:C, L31)</f>
        <v>198737</v>
      </c>
    </row>
    <row r="32" spans="1:13" x14ac:dyDescent="0.35">
      <c r="B32" s="21"/>
      <c r="C32" s="4"/>
      <c r="D32" s="4"/>
      <c r="E32" s="4"/>
      <c r="F32" s="33" t="s">
        <v>11</v>
      </c>
      <c r="G32" s="32">
        <f>SUMIFS('Raw data'!E2:E1001, 'Raw data'!F2:F1001,2021, 'Raw data'!C2:C1001, F32)</f>
        <v>0</v>
      </c>
      <c r="H32" s="33">
        <f>SUMIFS('Raw data'!E2:E1001, 'Raw data'!F2:F1001, 2022, 'Raw data'!C2:C1001, F32)</f>
        <v>71074</v>
      </c>
      <c r="I32" s="33">
        <f>SUMIFS('Raw data'!E2:E1001, 'Raw data'!F2:F1001, 2023, 'Raw data'!C2:C1001, F32)</f>
        <v>0</v>
      </c>
      <c r="J32" s="33">
        <f>SUMIFS('Raw data'!E2:E1001, 'Raw data'!F2:F1001, 2024, 'Raw data'!C2:C1001, F32)</f>
        <v>0</v>
      </c>
      <c r="L32" s="21" t="str">
        <v>Adventure, Comedy, Family</v>
      </c>
      <c r="M32" s="20">
        <f>SUMIFS('Raw data'!E:E, 'Raw data'!C:C, L32)</f>
        <v>1013081</v>
      </c>
    </row>
    <row r="33" spans="2:13" x14ac:dyDescent="0.35">
      <c r="B33" s="21"/>
      <c r="C33" s="4"/>
      <c r="D33" s="4"/>
      <c r="E33" s="4"/>
      <c r="F33" s="33" t="s">
        <v>178</v>
      </c>
      <c r="G33" s="32">
        <f>SUMIFS('Raw data'!E3:E1002, 'Raw data'!F3:F1002,2021, 'Raw data'!C3:C1002, F33)</f>
        <v>60406</v>
      </c>
      <c r="H33" s="33">
        <f>SUMIFS('Raw data'!E3:E1002, 'Raw data'!F3:F1002, 2022, 'Raw data'!C3:C1002, F33)</f>
        <v>208770</v>
      </c>
      <c r="I33" s="33">
        <f>SUMIFS('Raw data'!E3:E1002, 'Raw data'!F3:F1002, 2023, 'Raw data'!C3:C1002, F33)</f>
        <v>0</v>
      </c>
      <c r="J33" s="33">
        <f>SUMIFS('Raw data'!E3:E1002, 'Raw data'!F3:F1002, 2024, 'Raw data'!C3:C1002, F33)</f>
        <v>31263</v>
      </c>
      <c r="L33" s="21" t="str">
        <v>Action, Drama</v>
      </c>
      <c r="M33" s="20">
        <f>SUMIFS('Raw data'!E:E, 'Raw data'!C:C, L33)</f>
        <v>176512</v>
      </c>
    </row>
    <row r="34" spans="2:13" x14ac:dyDescent="0.35">
      <c r="B34" s="21"/>
      <c r="C34" s="4"/>
      <c r="D34" s="4"/>
      <c r="E34" s="4"/>
      <c r="F34" s="33" t="s">
        <v>163</v>
      </c>
      <c r="G34" s="32">
        <f>SUMIFS('Raw data'!E4:E1003, 'Raw data'!F4:F1003,2021, 'Raw data'!C4:C1003, F34)</f>
        <v>0</v>
      </c>
      <c r="H34" s="33">
        <f>SUMIFS('Raw data'!E4:E1003, 'Raw data'!F4:F1003, 2022, 'Raw data'!C4:C1003, F34)</f>
        <v>103225</v>
      </c>
      <c r="I34" s="33">
        <f>SUMIFS('Raw data'!E4:E1003, 'Raw data'!F4:F1003, 2023, 'Raw data'!C4:C1003, F34)</f>
        <v>0</v>
      </c>
      <c r="J34" s="33">
        <f>SUMIFS('Raw data'!E4:E1003, 'Raw data'!F4:F1003, 2024, 'Raw data'!C4:C1003, F34)</f>
        <v>129800</v>
      </c>
      <c r="L34" s="21" t="str">
        <v>Drama</v>
      </c>
      <c r="M34" s="20">
        <f>SUMIFS('Raw data'!E:E, 'Raw data'!C:C, L34)</f>
        <v>327340</v>
      </c>
    </row>
    <row r="35" spans="2:13" x14ac:dyDescent="0.35">
      <c r="B35" s="21"/>
      <c r="C35" s="4"/>
      <c r="D35" s="4"/>
      <c r="E35" s="4"/>
      <c r="F35" s="33" t="s">
        <v>175</v>
      </c>
      <c r="G35" s="32">
        <f>SUMIFS('Raw data'!E5:E1004, 'Raw data'!F5:F1004,2021, 'Raw data'!C5:C1004, F35)</f>
        <v>91525</v>
      </c>
      <c r="H35" s="33">
        <f>SUMIFS('Raw data'!E5:E1004, 'Raw data'!F5:F1004, 2022, 'Raw data'!C5:C1004, F35)</f>
        <v>15339</v>
      </c>
      <c r="I35" s="33">
        <f>SUMIFS('Raw data'!E5:E1004, 'Raw data'!F5:F1004, 2023, 'Raw data'!C5:C1004, F35)</f>
        <v>0</v>
      </c>
      <c r="J35" s="33">
        <f>SUMIFS('Raw data'!E5:E1004, 'Raw data'!F5:F1004, 2024, 'Raw data'!C5:C1004, F35)</f>
        <v>15023</v>
      </c>
      <c r="L35" s="21" t="str">
        <v>Comedy, Sci-Fi</v>
      </c>
      <c r="M35" s="20">
        <f>SUMIFS('Raw data'!E:E, 'Raw data'!C:C, L35)</f>
        <v>173196</v>
      </c>
    </row>
    <row r="36" spans="2:13" x14ac:dyDescent="0.35">
      <c r="B36" s="21"/>
      <c r="C36" s="4"/>
      <c r="D36" s="4"/>
      <c r="E36" s="4"/>
      <c r="F36" s="33" t="s">
        <v>93</v>
      </c>
      <c r="G36" s="32">
        <f>SUMIFS('Raw data'!E6:E1005, 'Raw data'!F6:F1005,2021, 'Raw data'!C6:C1005, F36)</f>
        <v>26968</v>
      </c>
      <c r="H36" s="33">
        <f>SUMIFS('Raw data'!E6:E1005, 'Raw data'!F6:F1005, 2022, 'Raw data'!C6:C1005, F36)</f>
        <v>131192</v>
      </c>
      <c r="I36" s="33">
        <f>SUMIFS('Raw data'!E6:E1005, 'Raw data'!F6:F1005, 2023, 'Raw data'!C6:C1005, F36)</f>
        <v>172067</v>
      </c>
      <c r="J36" s="33">
        <f>SUMIFS('Raw data'!E6:E1005, 'Raw data'!F6:F1005, 2024, 'Raw data'!C6:C1005, F36)</f>
        <v>243324</v>
      </c>
      <c r="L36" s="21" t="str">
        <v>Action, Sci-Fi, Thriller</v>
      </c>
      <c r="M36" s="20">
        <f>SUMIFS('Raw data'!E:E, 'Raw data'!C:C, L36)</f>
        <v>241930</v>
      </c>
    </row>
    <row r="37" spans="2:13" x14ac:dyDescent="0.35">
      <c r="B37" s="21"/>
      <c r="C37" s="4"/>
      <c r="D37" s="4"/>
      <c r="E37" s="4"/>
      <c r="F37" s="33" t="s">
        <v>82</v>
      </c>
      <c r="G37" s="32">
        <f>SUMIFS('Raw data'!E7:E1006, 'Raw data'!F7:F1006,2021, 'Raw data'!C7:C1006, F37)</f>
        <v>0</v>
      </c>
      <c r="H37" s="33">
        <f>SUMIFS('Raw data'!E7:E1006, 'Raw data'!F7:F1006, 2022, 'Raw data'!C7:C1006, F37)</f>
        <v>10942</v>
      </c>
      <c r="I37" s="33">
        <f>SUMIFS('Raw data'!E7:E1006, 'Raw data'!F7:F1006, 2023, 'Raw data'!C7:C1006, F37)</f>
        <v>0</v>
      </c>
      <c r="J37" s="33">
        <f>SUMIFS('Raw data'!E7:E1006, 'Raw data'!F7:F1006, 2024, 'Raw data'!C7:C1006, F37)</f>
        <v>44373</v>
      </c>
      <c r="L37" s="21" t="str">
        <v>Crime, Drama, Fantasy</v>
      </c>
      <c r="M37" s="20">
        <f>SUMIFS('Raw data'!E:E, 'Raw data'!C:C, L37)</f>
        <v>142545</v>
      </c>
    </row>
    <row r="38" spans="2:13" x14ac:dyDescent="0.35">
      <c r="B38" s="21"/>
      <c r="C38" s="4"/>
      <c r="D38" s="4"/>
      <c r="E38" s="4"/>
      <c r="F38" s="33" t="s">
        <v>217</v>
      </c>
      <c r="G38" s="32">
        <f>SUMIFS('Raw data'!E8:E1007, 'Raw data'!F8:F1007,2021, 'Raw data'!C8:C1007, F38)</f>
        <v>0</v>
      </c>
      <c r="H38" s="33">
        <f>SUMIFS('Raw data'!E8:E1007, 'Raw data'!F8:F1007, 2022, 'Raw data'!C8:C1007, F38)</f>
        <v>0</v>
      </c>
      <c r="I38" s="33">
        <f>SUMIFS('Raw data'!E8:E1007, 'Raw data'!F8:F1007, 2023, 'Raw data'!C8:C1007, F38)</f>
        <v>10876</v>
      </c>
      <c r="J38" s="33">
        <f>SUMIFS('Raw data'!E8:E1007, 'Raw data'!F8:F1007, 2024, 'Raw data'!C8:C1007, F38)</f>
        <v>0</v>
      </c>
      <c r="L38" s="21" t="str">
        <v>Horror</v>
      </c>
      <c r="M38" s="20">
        <f>SUMIFS('Raw data'!E:E, 'Raw data'!C:C, L38)</f>
        <v>652208</v>
      </c>
    </row>
    <row r="39" spans="2:13" x14ac:dyDescent="0.35">
      <c r="B39" s="21"/>
      <c r="C39" s="4"/>
      <c r="D39" s="4"/>
      <c r="E39" s="4"/>
      <c r="L39" s="21" t="str">
        <v>Comedy, Family, Fantasy</v>
      </c>
      <c r="M39" s="20">
        <f>SUMIFS('Raw data'!E:E, 'Raw data'!C:C, L39)</f>
        <v>490679</v>
      </c>
    </row>
    <row r="40" spans="2:13" x14ac:dyDescent="0.35">
      <c r="B40" s="21"/>
      <c r="C40" s="4"/>
      <c r="D40" s="4"/>
      <c r="E40" s="4"/>
      <c r="L40" s="21" t="str">
        <v>Documentary, Drama, History</v>
      </c>
      <c r="M40" s="20">
        <f>SUMIFS('Raw data'!E:E, 'Raw data'!C:C, L40)</f>
        <v>109008</v>
      </c>
    </row>
    <row r="41" spans="2:13" x14ac:dyDescent="0.35">
      <c r="B41" s="21"/>
      <c r="C41" s="4"/>
      <c r="D41" s="4"/>
      <c r="E41" s="4"/>
      <c r="L41" s="21" t="str">
        <v>Comedy, Drama, Romance</v>
      </c>
      <c r="M41" s="20">
        <f>SUMIFS('Raw data'!E:E, 'Raw data'!C:C, L41)</f>
        <v>483017</v>
      </c>
    </row>
    <row r="42" spans="2:13" x14ac:dyDescent="0.35">
      <c r="B42" s="21"/>
      <c r="C42" s="4"/>
      <c r="D42" s="4"/>
      <c r="E42" s="4"/>
      <c r="L42" s="21" t="str">
        <v>Action, Fantasy, Sci-Fi</v>
      </c>
      <c r="M42" s="20">
        <f>SUMIFS('Raw data'!E:E, 'Raw data'!C:C, L42)</f>
        <v>170503</v>
      </c>
    </row>
    <row r="43" spans="2:13" x14ac:dyDescent="0.35">
      <c r="B43" s="21"/>
      <c r="C43" s="4"/>
      <c r="D43" s="4"/>
      <c r="E43" s="4"/>
      <c r="L43" s="21" t="str">
        <v>Action, Drama, Mystery</v>
      </c>
      <c r="M43" s="20">
        <f>SUMIFS('Raw data'!E:E, 'Raw data'!C:C, L43)</f>
        <v>84009</v>
      </c>
    </row>
    <row r="44" spans="2:13" x14ac:dyDescent="0.35">
      <c r="B44" s="21"/>
      <c r="C44" s="4"/>
      <c r="D44" s="4"/>
      <c r="E44" s="4"/>
      <c r="L44" s="21" t="str">
        <v>Adventure, Animation, Comedy</v>
      </c>
      <c r="M44" s="20">
        <f>SUMIFS('Raw data'!E:E, 'Raw data'!C:C, L44)</f>
        <v>354014</v>
      </c>
    </row>
    <row r="45" spans="2:13" x14ac:dyDescent="0.35">
      <c r="B45" s="21"/>
      <c r="C45" s="4"/>
      <c r="D45" s="4"/>
      <c r="E45" s="4"/>
      <c r="L45" s="21" t="str">
        <v>Fantasy, Horror, Mystery</v>
      </c>
      <c r="M45" s="20">
        <f>SUMIFS('Raw data'!E:E, 'Raw data'!C:C, L45)</f>
        <v>248414</v>
      </c>
    </row>
    <row r="46" spans="2:13" x14ac:dyDescent="0.35">
      <c r="B46" s="21"/>
      <c r="C46" s="4"/>
      <c r="D46" s="4"/>
      <c r="E46" s="4"/>
      <c r="L46" s="21" t="str">
        <v>Horror, Mystery, Thriller</v>
      </c>
      <c r="M46" s="20">
        <f>SUMIFS('Raw data'!E:E, 'Raw data'!C:C, L46)</f>
        <v>1377044</v>
      </c>
    </row>
    <row r="47" spans="2:13" x14ac:dyDescent="0.35">
      <c r="B47" s="21"/>
      <c r="C47" s="4"/>
      <c r="D47" s="4"/>
      <c r="E47" s="4"/>
      <c r="L47" s="21" t="str">
        <v>Comedy, Horror</v>
      </c>
      <c r="M47" s="20">
        <f>SUMIFS('Raw data'!E:E, 'Raw data'!C:C, L47)</f>
        <v>295452</v>
      </c>
    </row>
    <row r="48" spans="2:13" x14ac:dyDescent="0.35">
      <c r="B48" s="21"/>
      <c r="C48" s="4"/>
      <c r="D48" s="4"/>
      <c r="E48" s="4"/>
      <c r="L48" s="21" t="str">
        <v>Documentary, Music</v>
      </c>
      <c r="M48" s="20">
        <f>SUMIFS('Raw data'!E:E, 'Raw data'!C:C, L48)</f>
        <v>131774</v>
      </c>
    </row>
    <row r="49" spans="2:13" x14ac:dyDescent="0.35">
      <c r="B49" s="21"/>
      <c r="C49" s="4"/>
      <c r="D49" s="4"/>
      <c r="E49" s="4"/>
      <c r="L49" s="21" t="str">
        <v>Comedy, Fantasy, Romance</v>
      </c>
      <c r="M49" s="20">
        <f>SUMIFS('Raw data'!E:E, 'Raw data'!C:C, L49)</f>
        <v>76235</v>
      </c>
    </row>
    <row r="50" spans="2:13" x14ac:dyDescent="0.35">
      <c r="B50" s="21"/>
      <c r="C50" s="4"/>
      <c r="D50" s="4"/>
      <c r="E50" s="4"/>
      <c r="L50" s="21" t="str">
        <v>Drama, Horror, Mystery</v>
      </c>
      <c r="M50" s="20">
        <f>SUMIFS('Raw data'!E:E, 'Raw data'!C:C, L50)</f>
        <v>430661</v>
      </c>
    </row>
    <row r="51" spans="2:13" x14ac:dyDescent="0.35">
      <c r="B51" s="21"/>
      <c r="C51" s="4"/>
      <c r="D51" s="4"/>
      <c r="E51" s="4"/>
      <c r="L51" s="21" t="str">
        <v>Action, Comedy, Romance</v>
      </c>
      <c r="M51" s="20">
        <f>SUMIFS('Raw data'!E:E, 'Raw data'!C:C, L51)</f>
        <v>148738</v>
      </c>
    </row>
    <row r="52" spans="2:13" x14ac:dyDescent="0.35">
      <c r="B52" s="21"/>
      <c r="C52" s="4"/>
      <c r="D52" s="4"/>
      <c r="E52" s="4"/>
      <c r="L52" s="21" t="str">
        <v>Biography, Drama</v>
      </c>
      <c r="M52" s="20">
        <f>SUMIFS('Raw data'!E:E, 'Raw data'!C:C, L52)</f>
        <v>123868</v>
      </c>
    </row>
    <row r="53" spans="2:13" x14ac:dyDescent="0.35">
      <c r="B53" s="21"/>
      <c r="C53" s="4"/>
      <c r="D53" s="4"/>
      <c r="E53" s="4"/>
      <c r="L53" s="21" t="str">
        <v>Comedy, Romance, Sci-Fi</v>
      </c>
      <c r="M53" s="20">
        <f>SUMIFS('Raw data'!E:E, 'Raw data'!C:C, L53)</f>
        <v>195728</v>
      </c>
    </row>
    <row r="54" spans="2:13" x14ac:dyDescent="0.35">
      <c r="B54" s="21"/>
      <c r="C54" s="4"/>
      <c r="D54" s="4"/>
      <c r="E54" s="4"/>
      <c r="L54" s="21" t="str">
        <v>Crime, Drama, Mystery</v>
      </c>
      <c r="M54" s="20">
        <f>SUMIFS('Raw data'!E:E, 'Raw data'!C:C, L54)</f>
        <v>260557</v>
      </c>
    </row>
    <row r="55" spans="2:13" x14ac:dyDescent="0.35">
      <c r="L55" s="21" t="str">
        <v>Action, Crime, Drama</v>
      </c>
      <c r="M55" s="20">
        <f>SUMIFS('Raw data'!E:E, 'Raw data'!C:C, L55)</f>
        <v>409925</v>
      </c>
    </row>
    <row r="56" spans="2:13" x14ac:dyDescent="0.35">
      <c r="L56" s="21" t="str">
        <v>Horror, Mystery</v>
      </c>
      <c r="M56" s="20">
        <f>SUMIFS('Raw data'!E:E, 'Raw data'!C:C, L56)</f>
        <v>362714</v>
      </c>
    </row>
    <row r="57" spans="2:13" x14ac:dyDescent="0.35">
      <c r="L57" s="21" t="str">
        <v>Comedy, Drama, Family</v>
      </c>
      <c r="M57" s="20">
        <f>SUMIFS('Raw data'!E:E, 'Raw data'!C:C, L57)</f>
        <v>260849</v>
      </c>
    </row>
    <row r="58" spans="2:13" x14ac:dyDescent="0.35">
      <c r="L58" s="21" t="str">
        <v>Crime, Horror, Thriller</v>
      </c>
      <c r="M58" s="20">
        <f>SUMIFS('Raw data'!E:E, 'Raw data'!C:C, L58)</f>
        <v>134004</v>
      </c>
    </row>
    <row r="59" spans="2:13" x14ac:dyDescent="0.35">
      <c r="L59" s="21" t="str">
        <v>Horror, Mystery, Sci-Fi</v>
      </c>
      <c r="M59" s="20">
        <f>SUMIFS('Raw data'!E:E, 'Raw data'!C:C, L59)</f>
        <v>194858</v>
      </c>
    </row>
    <row r="60" spans="2:13" x14ac:dyDescent="0.35">
      <c r="L60" s="21" t="str">
        <v>Action, Drama, Fantasy</v>
      </c>
      <c r="M60" s="20">
        <f>SUMIFS('Raw data'!E:E, 'Raw data'!C:C, L60)</f>
        <v>125563</v>
      </c>
    </row>
    <row r="61" spans="2:13" x14ac:dyDescent="0.35">
      <c r="L61" s="21" t="str">
        <v>Comedy, Crime</v>
      </c>
      <c r="M61" s="20">
        <f>SUMIFS('Raw data'!E:E, 'Raw data'!C:C, L61)</f>
        <v>347646</v>
      </c>
    </row>
    <row r="62" spans="2:13" x14ac:dyDescent="0.35">
      <c r="L62" s="21" t="str">
        <v>Drama, Thriller</v>
      </c>
      <c r="M62" s="20">
        <f>SUMIFS('Raw data'!E:E, 'Raw data'!C:C, L62)</f>
        <v>239528</v>
      </c>
    </row>
    <row r="63" spans="2:13" x14ac:dyDescent="0.35">
      <c r="L63" s="21" t="str">
        <v>Action, Drama, Musical</v>
      </c>
      <c r="M63" s="20">
        <f>SUMIFS('Raw data'!E:E, 'Raw data'!C:C, L63)</f>
        <v>84490</v>
      </c>
    </row>
    <row r="64" spans="2:13" x14ac:dyDescent="0.35">
      <c r="L64" s="21" t="str">
        <v>Action, Drama, Horror</v>
      </c>
      <c r="M64" s="20">
        <f>SUMIFS('Raw data'!E:E, 'Raw data'!C:C, L64)</f>
        <v>115521</v>
      </c>
    </row>
    <row r="65" spans="12:13" x14ac:dyDescent="0.35">
      <c r="L65" s="21" t="str">
        <v>Action, Comedy, Horror</v>
      </c>
      <c r="M65" s="20">
        <f>SUMIFS('Raw data'!E:E, 'Raw data'!C:C, L65)</f>
        <v>111618</v>
      </c>
    </row>
    <row r="66" spans="12:13" x14ac:dyDescent="0.35">
      <c r="L66" s="21" t="str">
        <v>Comedy, Romance, Sport</v>
      </c>
      <c r="M66" s="20">
        <f>SUMIFS('Raw data'!E:E, 'Raw data'!C:C, L66)</f>
        <v>102790</v>
      </c>
    </row>
    <row r="67" spans="12:13" x14ac:dyDescent="0.35">
      <c r="L67" s="21" t="str">
        <v>Action, Crime, Sci-Fi</v>
      </c>
      <c r="M67" s="20">
        <f>SUMIFS('Raw data'!E:E, 'Raw data'!C:C, L67)</f>
        <v>55420</v>
      </c>
    </row>
    <row r="68" spans="12:13" x14ac:dyDescent="0.35">
      <c r="L68" s="21" t="str">
        <v>Comedy, Drama, Musical</v>
      </c>
      <c r="M68" s="20">
        <f>SUMIFS('Raw data'!E:E, 'Raw data'!C:C, L68)</f>
        <v>64634</v>
      </c>
    </row>
    <row r="69" spans="12:13" x14ac:dyDescent="0.35">
      <c r="L69" s="21" t="str">
        <v>Adventure, Fantasy, Horror</v>
      </c>
      <c r="M69" s="20">
        <f>SUMIFS('Raw data'!E:E, 'Raw data'!C:C, L69)</f>
        <v>123252</v>
      </c>
    </row>
    <row r="70" spans="12:13" x14ac:dyDescent="0.35">
      <c r="L70" s="21" t="str">
        <v>Fantasy, Horror</v>
      </c>
      <c r="M70" s="20">
        <f>SUMIFS('Raw data'!E:E, 'Raw data'!C:C, L70)</f>
        <v>147452</v>
      </c>
    </row>
    <row r="71" spans="12:13" x14ac:dyDescent="0.35">
      <c r="L71" s="21" t="str">
        <v>Comedy, Horror, Thriller</v>
      </c>
      <c r="M71" s="20">
        <f>SUMIFS('Raw data'!E:E, 'Raw data'!C:C, L71)</f>
        <v>88980</v>
      </c>
    </row>
    <row r="72" spans="12:13" x14ac:dyDescent="0.35">
      <c r="L72" s="21" t="str">
        <v>Comedy, Crime, Romance</v>
      </c>
      <c r="M72" s="20">
        <f>SUMIFS('Raw data'!E:E, 'Raw data'!C:C, L72)</f>
        <v>51193</v>
      </c>
    </row>
    <row r="73" spans="12:13" x14ac:dyDescent="0.35">
      <c r="L73" s="21" t="str">
        <v>Comedy, Fantasy, Horror</v>
      </c>
      <c r="M73" s="20">
        <f>SUMIFS('Raw data'!E:E, 'Raw data'!C:C, L73)</f>
        <v>288285</v>
      </c>
    </row>
    <row r="74" spans="12:13" x14ac:dyDescent="0.35">
      <c r="L74" s="21" t="str">
        <v>Action, Adventure, Animation</v>
      </c>
      <c r="M74" s="20">
        <f>SUMIFS('Raw data'!E:E, 'Raw data'!C:C, L74)</f>
        <v>87673</v>
      </c>
    </row>
    <row r="75" spans="12:13" x14ac:dyDescent="0.35">
      <c r="L75" s="21" t="str">
        <v>Adventure, Horror, Thriller</v>
      </c>
      <c r="M75" s="20">
        <f>SUMIFS('Raw data'!E:E, 'Raw data'!C:C, L75)</f>
        <v>144911</v>
      </c>
    </row>
    <row r="76" spans="12:13" x14ac:dyDescent="0.35">
      <c r="L76" s="21" t="str">
        <v>Comedy, Family, Romance</v>
      </c>
      <c r="M76" s="20">
        <f>SUMIFS('Raw data'!E:E, 'Raw data'!C:C, L76)</f>
        <v>216043</v>
      </c>
    </row>
    <row r="77" spans="12:13" x14ac:dyDescent="0.35">
      <c r="L77" s="21" t="str">
        <v>Comedy, Crime, Drama</v>
      </c>
      <c r="M77" s="20">
        <f>SUMIFS('Raw data'!E:E, 'Raw data'!C:C, L77)</f>
        <v>85433</v>
      </c>
    </row>
    <row r="78" spans="12:13" x14ac:dyDescent="0.35">
      <c r="L78" s="21" t="str">
        <v>Adventure, Drama, Family</v>
      </c>
      <c r="M78" s="20">
        <f>SUMIFS('Raw data'!E:E, 'Raw data'!C:C, L78)</f>
        <v>122990</v>
      </c>
    </row>
    <row r="79" spans="12:13" x14ac:dyDescent="0.35">
      <c r="L79" s="21" t="str">
        <v>Action, Drama, Romance</v>
      </c>
      <c r="M79" s="20">
        <f>SUMIFS('Raw data'!E:E, 'Raw data'!C:C, L79)</f>
        <v>77345</v>
      </c>
    </row>
    <row r="80" spans="12:13" x14ac:dyDescent="0.35">
      <c r="L80" s="21" t="str">
        <v>Action, Adventure, Mystery</v>
      </c>
      <c r="M80" s="20">
        <f>SUMIFS('Raw data'!E:E, 'Raw data'!C:C, L80)</f>
        <v>46718</v>
      </c>
    </row>
    <row r="81" spans="12:13" x14ac:dyDescent="0.35">
      <c r="L81" s="21" t="str">
        <v>Thriller</v>
      </c>
      <c r="M81" s="20">
        <f>SUMIFS('Raw data'!E:E, 'Raw data'!C:C, L81)</f>
        <v>46620</v>
      </c>
    </row>
    <row r="82" spans="12:13" x14ac:dyDescent="0.35">
      <c r="L82" s="21" t="str">
        <v>Comedy, Horror, Sci-Fi</v>
      </c>
      <c r="M82" s="20">
        <f>SUMIFS('Raw data'!E:E, 'Raw data'!C:C, L82)</f>
        <v>91479</v>
      </c>
    </row>
    <row r="83" spans="12:13" x14ac:dyDescent="0.35">
      <c r="L83" s="21" t="str">
        <v>Action, Comedy</v>
      </c>
      <c r="M83" s="20">
        <f>SUMIFS('Raw data'!E:E, 'Raw data'!C:C, L83)</f>
        <v>74105</v>
      </c>
    </row>
    <row r="84" spans="12:13" x14ac:dyDescent="0.35">
      <c r="L84" s="21" t="str">
        <v>Action, Comedy, Fantasy</v>
      </c>
      <c r="M84" s="20">
        <f>SUMIFS('Raw data'!E:E, 'Raw data'!C:C, L84)</f>
        <v>65571</v>
      </c>
    </row>
    <row r="85" spans="12:13" x14ac:dyDescent="0.35">
      <c r="L85" s="21" t="str">
        <v>Action, Drama, Sport</v>
      </c>
      <c r="M85" s="20">
        <f>SUMIFS('Raw data'!E:E, 'Raw data'!C:C, L85)</f>
        <v>61686</v>
      </c>
    </row>
    <row r="86" spans="12:13" x14ac:dyDescent="0.35">
      <c r="L86" s="21" t="str">
        <v>Drama, Family, Romance</v>
      </c>
      <c r="M86" s="20">
        <f>SUMIFS('Raw data'!E:E, 'Raw data'!C:C, L86)</f>
        <v>43598</v>
      </c>
    </row>
    <row r="87" spans="12:13" x14ac:dyDescent="0.35">
      <c r="L87" s="21" t="str">
        <v>Adventure, Comedy, Drama</v>
      </c>
      <c r="M87" s="20">
        <f>SUMIFS('Raw data'!E:E, 'Raw data'!C:C, L87)</f>
        <v>135400</v>
      </c>
    </row>
    <row r="88" spans="12:13" x14ac:dyDescent="0.35">
      <c r="L88" s="21" t="str">
        <v>Comedy, Mystery, Sci-Fi</v>
      </c>
      <c r="M88" s="20">
        <f>SUMIFS('Raw data'!E:E, 'Raw data'!C:C, L88)</f>
        <v>42360</v>
      </c>
    </row>
    <row r="89" spans="12:13" x14ac:dyDescent="0.35">
      <c r="L89" s="21" t="str">
        <v>Adventure, Horror, Sci-Fi</v>
      </c>
      <c r="M89" s="20">
        <f>SUMIFS('Raw data'!E:E, 'Raw data'!C:C, L89)</f>
        <v>52982</v>
      </c>
    </row>
    <row r="90" spans="12:13" x14ac:dyDescent="0.35">
      <c r="L90" s="21" t="str">
        <v>Drama, Mystery, Thriller</v>
      </c>
      <c r="M90" s="20">
        <f>SUMIFS('Raw data'!E:E, 'Raw data'!C:C, L90)</f>
        <v>130963</v>
      </c>
    </row>
    <row r="91" spans="12:13" x14ac:dyDescent="0.35">
      <c r="L91" s="21" t="str">
        <v>Drama, Horror, Thriller</v>
      </c>
      <c r="M91" s="20">
        <f>SUMIFS('Raw data'!E:E, 'Raw data'!C:C, L91)</f>
        <v>196862</v>
      </c>
    </row>
    <row r="92" spans="12:13" x14ac:dyDescent="0.35">
      <c r="L92" s="21" t="str">
        <v>Action, Comedy, Drama</v>
      </c>
      <c r="M92" s="20">
        <f>SUMIFS('Raw data'!E:E, 'Raw data'!C:C, L92)</f>
        <v>268190</v>
      </c>
    </row>
    <row r="93" spans="12:13" x14ac:dyDescent="0.35">
      <c r="L93" s="21" t="str">
        <v>Horror, Sci-Fi</v>
      </c>
      <c r="M93" s="20">
        <f>SUMIFS('Raw data'!E:E, 'Raw data'!C:C, L93)</f>
        <v>98249</v>
      </c>
    </row>
    <row r="94" spans="12:13" x14ac:dyDescent="0.35">
      <c r="L94" s="21" t="str">
        <v>Comedy, Crime, Family</v>
      </c>
      <c r="M94" s="20">
        <f>SUMIFS('Raw data'!E:E, 'Raw data'!C:C, L94)</f>
        <v>101656</v>
      </c>
    </row>
    <row r="95" spans="12:13" x14ac:dyDescent="0.35">
      <c r="L95" s="21" t="str">
        <v>Comedy, Crime, Mystery</v>
      </c>
      <c r="M95" s="20">
        <f>SUMIFS('Raw data'!E:E, 'Raw data'!C:C, L95)</f>
        <v>51519</v>
      </c>
    </row>
    <row r="96" spans="12:13" x14ac:dyDescent="0.35">
      <c r="L96" s="21" t="str">
        <v>Comedy, Music, Musical</v>
      </c>
      <c r="M96" s="20">
        <f>SUMIFS('Raw data'!E:E, 'Raw data'!C:C, L96)</f>
        <v>66342</v>
      </c>
    </row>
    <row r="97" spans="12:13" x14ac:dyDescent="0.35">
      <c r="L97" s="21" t="str">
        <v>Action, Horror, Thriller</v>
      </c>
      <c r="M97" s="20">
        <f>SUMIFS('Raw data'!E:E, 'Raw data'!C:C, L97)</f>
        <v>121439</v>
      </c>
    </row>
    <row r="98" spans="12:13" x14ac:dyDescent="0.35">
      <c r="L98" s="21" t="str">
        <v>Comedy, Family, Music</v>
      </c>
      <c r="M98" s="20">
        <f>SUMIFS('Raw data'!E:E, 'Raw data'!C:C, L98)</f>
        <v>133507</v>
      </c>
    </row>
    <row r="99" spans="12:13" x14ac:dyDescent="0.35">
      <c r="L99" s="21" t="str">
        <v>Fantasy, Horror, Thriller</v>
      </c>
      <c r="M99" s="20">
        <f>SUMIFS('Raw data'!E:E, 'Raw data'!C:C, L99)</f>
        <v>76710</v>
      </c>
    </row>
    <row r="100" spans="12:13" x14ac:dyDescent="0.35">
      <c r="L100" s="21" t="str">
        <v>Drama, Sci-Fi, Thriller</v>
      </c>
      <c r="M100" s="20">
        <f>SUMIFS('Raw data'!E:E, 'Raw data'!C:C, L100)</f>
        <v>107282</v>
      </c>
    </row>
    <row r="101" spans="12:13" x14ac:dyDescent="0.35">
      <c r="L101" s="21" t="str">
        <v>Action, Fantasy, Horror</v>
      </c>
      <c r="M101" s="20">
        <f>SUMIFS('Raw data'!E:E, 'Raw data'!C:C, L101)</f>
        <v>88673</v>
      </c>
    </row>
    <row r="102" spans="12:13" x14ac:dyDescent="0.35">
      <c r="L102" s="21" t="str">
        <v>Action, Horror, Mystery</v>
      </c>
      <c r="M102" s="20">
        <f>SUMIFS('Raw data'!E:E, 'Raw data'!C:C, L102)</f>
        <v>74750</v>
      </c>
    </row>
    <row r="103" spans="12:13" x14ac:dyDescent="0.35">
      <c r="L103" s="21" t="str">
        <v>Horror, Sci-Fi, Thriller</v>
      </c>
      <c r="M103" s="20">
        <f>SUMIFS('Raw data'!E:E, 'Raw data'!C:C, L103)</f>
        <v>160854</v>
      </c>
    </row>
    <row r="104" spans="12:13" x14ac:dyDescent="0.35">
      <c r="L104" s="21" t="str">
        <v>Action, Crime, Mystery</v>
      </c>
      <c r="M104" s="20">
        <f>SUMIFS('Raw data'!E:E, 'Raw data'!C:C, L104)</f>
        <v>103495</v>
      </c>
    </row>
    <row r="105" spans="12:13" x14ac:dyDescent="0.35">
      <c r="L105" s="21" t="str">
        <v>Comedy, Horror, Mystery</v>
      </c>
      <c r="M105" s="20">
        <f>SUMIFS('Raw data'!E:E, 'Raw data'!C:C, L105)</f>
        <v>53636</v>
      </c>
    </row>
    <row r="106" spans="12:13" x14ac:dyDescent="0.35">
      <c r="L106" s="21" t="str">
        <v>Drama, Romance, War</v>
      </c>
      <c r="M106" s="20">
        <f>SUMIFS('Raw data'!E:E, 'Raw data'!C:C, L106)</f>
        <v>34737</v>
      </c>
    </row>
    <row r="107" spans="12:13" x14ac:dyDescent="0.35">
      <c r="L107" s="21" t="str">
        <v>Action, Drama, Family</v>
      </c>
      <c r="M107" s="20">
        <f>SUMIFS('Raw data'!E:E, 'Raw data'!C:C, L107)</f>
        <v>34690</v>
      </c>
    </row>
    <row r="108" spans="12:13" x14ac:dyDescent="0.35">
      <c r="L108" s="21" t="str">
        <v>Action, Drama, Thriller</v>
      </c>
      <c r="M108" s="20">
        <f>SUMIFS('Raw data'!E:E, 'Raw data'!C:C, L108)</f>
        <v>183120</v>
      </c>
    </row>
    <row r="109" spans="12:13" x14ac:dyDescent="0.35">
      <c r="L109" s="21" t="str">
        <v>Comedy, Family</v>
      </c>
      <c r="M109" s="20">
        <f>SUMIFS('Raw data'!E:E, 'Raw data'!C:C, L109)</f>
        <v>237271</v>
      </c>
    </row>
    <row r="110" spans="12:13" x14ac:dyDescent="0.35">
      <c r="L110" s="21" t="str">
        <v>Action, Comedy, Thriller</v>
      </c>
      <c r="M110" s="20">
        <f>SUMIFS('Raw data'!E:E, 'Raw data'!C:C, L110)</f>
        <v>57983</v>
      </c>
    </row>
    <row r="111" spans="12:13" x14ac:dyDescent="0.35">
      <c r="L111" s="21" t="str">
        <v>Action, Horror, War</v>
      </c>
      <c r="M111" s="20">
        <f>SUMIFS('Raw data'!E:E, 'Raw data'!C:C, L111)</f>
        <v>32153</v>
      </c>
    </row>
    <row r="112" spans="12:13" x14ac:dyDescent="0.35">
      <c r="L112" s="21" t="str">
        <v>Comedy, Family, Sci-Fi</v>
      </c>
      <c r="M112" s="20">
        <f>SUMIFS('Raw data'!E:E, 'Raw data'!C:C, L112)</f>
        <v>46446</v>
      </c>
    </row>
    <row r="113" spans="12:13" x14ac:dyDescent="0.35">
      <c r="L113" s="21" t="str">
        <v>Family, Reality-TV</v>
      </c>
      <c r="M113" s="20">
        <f>SUMIFS('Raw data'!E:E, 'Raw data'!C:C, L113)</f>
        <v>31725</v>
      </c>
    </row>
    <row r="114" spans="12:13" x14ac:dyDescent="0.35">
      <c r="L114" s="21" t="str">
        <v>Adventure, Drama, Horror</v>
      </c>
      <c r="M114" s="20">
        <f>SUMIFS('Raw data'!E:E, 'Raw data'!C:C, L114)</f>
        <v>31684</v>
      </c>
    </row>
    <row r="115" spans="12:13" x14ac:dyDescent="0.35">
      <c r="L115" s="21" t="str">
        <v>Adventure, Family, Fantasy</v>
      </c>
      <c r="M115" s="20">
        <f>SUMIFS('Raw data'!E:E, 'Raw data'!C:C, L115)</f>
        <v>74912</v>
      </c>
    </row>
    <row r="116" spans="12:13" x14ac:dyDescent="0.35">
      <c r="L116" s="21" t="str">
        <v>Action, Sci-Fi, Sport</v>
      </c>
      <c r="M116" s="20">
        <f>SUMIFS('Raw data'!E:E, 'Raw data'!C:C, L116)</f>
        <v>30005</v>
      </c>
    </row>
    <row r="117" spans="12:13" x14ac:dyDescent="0.35">
      <c r="L117" s="21" t="str">
        <v>Adventure, Horror</v>
      </c>
      <c r="M117" s="20">
        <f>SUMIFS('Raw data'!E:E, 'Raw data'!C:C, L117)</f>
        <v>81728</v>
      </c>
    </row>
    <row r="118" spans="12:13" x14ac:dyDescent="0.35">
      <c r="L118" s="21" t="str">
        <v>Comedy, Drama, Thriller</v>
      </c>
      <c r="M118" s="20">
        <f>SUMIFS('Raw data'!E:E, 'Raw data'!C:C, L118)</f>
        <v>28726</v>
      </c>
    </row>
    <row r="119" spans="12:13" x14ac:dyDescent="0.35">
      <c r="L119" s="21" t="str">
        <v>Comedy, Drama, Sport</v>
      </c>
      <c r="M119" s="20">
        <f>SUMIFS('Raw data'!E:E, 'Raw data'!C:C, L119)</f>
        <v>28236</v>
      </c>
    </row>
    <row r="120" spans="12:13" x14ac:dyDescent="0.35">
      <c r="L120" s="21" t="str">
        <v>Crime, Mystery</v>
      </c>
      <c r="M120" s="20">
        <f>SUMIFS('Raw data'!E:E, 'Raw data'!C:C, L120)</f>
        <v>27591</v>
      </c>
    </row>
    <row r="121" spans="12:13" x14ac:dyDescent="0.35">
      <c r="L121" s="21" t="str">
        <v>Drama, Fantasy, Horror</v>
      </c>
      <c r="M121" s="20">
        <f>SUMIFS('Raw data'!E:E, 'Raw data'!C:C, L121)</f>
        <v>119463</v>
      </c>
    </row>
    <row r="122" spans="12:13" x14ac:dyDescent="0.35">
      <c r="L122" s="21" t="str">
        <v>Comedy, Drama</v>
      </c>
      <c r="M122" s="20">
        <f>SUMIFS('Raw data'!E:E, 'Raw data'!C:C, L122)</f>
        <v>144585</v>
      </c>
    </row>
    <row r="123" spans="12:13" x14ac:dyDescent="0.35">
      <c r="L123" s="21" t="str">
        <v>Animation, Comedy, Fantasy</v>
      </c>
      <c r="M123" s="20">
        <f>SUMIFS('Raw data'!E:E, 'Raw data'!C:C, L123)</f>
        <v>41052</v>
      </c>
    </row>
    <row r="124" spans="12:13" x14ac:dyDescent="0.35">
      <c r="L124" s="21" t="str">
        <v>Adventure, Comedy, Crime</v>
      </c>
      <c r="M124" s="20">
        <f>SUMIFS('Raw data'!E:E, 'Raw data'!C:C, L124)</f>
        <v>25286</v>
      </c>
    </row>
    <row r="125" spans="12:13" x14ac:dyDescent="0.35">
      <c r="L125" s="21" t="str">
        <v>Drama, Horror, Sci-Fi</v>
      </c>
      <c r="M125" s="20">
        <f>SUMIFS('Raw data'!E:E, 'Raw data'!C:C, L125)</f>
        <v>84850</v>
      </c>
    </row>
    <row r="126" spans="12:13" x14ac:dyDescent="0.35">
      <c r="L126" s="21" t="str">
        <v>Action, Drama, History</v>
      </c>
      <c r="M126" s="20">
        <f>SUMIFS('Raw data'!E:E, 'Raw data'!C:C, L126)</f>
        <v>53750</v>
      </c>
    </row>
    <row r="127" spans="12:13" x14ac:dyDescent="0.35">
      <c r="L127" s="21" t="str">
        <v>Comedy, Reality-TV, Romance</v>
      </c>
      <c r="M127" s="20">
        <f>SUMIFS('Raw data'!E:E, 'Raw data'!C:C, L127)</f>
        <v>24718</v>
      </c>
    </row>
    <row r="128" spans="12:13" x14ac:dyDescent="0.35">
      <c r="L128" s="21" t="str">
        <v>Drama, Music, Romance</v>
      </c>
      <c r="M128" s="20">
        <f>SUMIFS('Raw data'!E:E, 'Raw data'!C:C, L128)</f>
        <v>66454</v>
      </c>
    </row>
    <row r="129" spans="12:13" x14ac:dyDescent="0.35">
      <c r="L129" s="21" t="str">
        <v>Crime, Horror, Mystery</v>
      </c>
      <c r="M129" s="20">
        <f>SUMIFS('Raw data'!E:E, 'Raw data'!C:C, L129)</f>
        <v>50219</v>
      </c>
    </row>
    <row r="130" spans="12:13" x14ac:dyDescent="0.35">
      <c r="L130" s="21" t="str">
        <v>Biography, Crime, Drama</v>
      </c>
      <c r="M130" s="20">
        <f>SUMIFS('Raw data'!E:E, 'Raw data'!C:C, L130)</f>
        <v>41178</v>
      </c>
    </row>
    <row r="131" spans="12:13" x14ac:dyDescent="0.35">
      <c r="L131" s="21" t="str">
        <v>Biography, Documentary</v>
      </c>
      <c r="M131" s="20">
        <f>SUMIFS('Raw data'!E:E, 'Raw data'!C:C, L131)</f>
        <v>23649</v>
      </c>
    </row>
    <row r="132" spans="12:13" x14ac:dyDescent="0.35">
      <c r="L132" s="21" t="str">
        <v>Crime, Drama</v>
      </c>
      <c r="M132" s="20">
        <f>SUMIFS('Raw data'!E:E, 'Raw data'!C:C, L132)</f>
        <v>23076</v>
      </c>
    </row>
    <row r="133" spans="12:13" x14ac:dyDescent="0.35">
      <c r="L133" s="21" t="str">
        <v>Adventure, Comedy, Sci-Fi</v>
      </c>
      <c r="M133" s="20">
        <f>SUMIFS('Raw data'!E:E, 'Raw data'!C:C, L133)</f>
        <v>22908</v>
      </c>
    </row>
    <row r="134" spans="12:13" x14ac:dyDescent="0.35">
      <c r="L134" s="21" t="str">
        <v>Comedy, Drama, Horror</v>
      </c>
      <c r="M134" s="20">
        <f>SUMIFS('Raw data'!E:E, 'Raw data'!C:C, L134)</f>
        <v>22810</v>
      </c>
    </row>
    <row r="135" spans="12:13" x14ac:dyDescent="0.35">
      <c r="L135" s="21" t="str">
        <v>Action, Fantasy, Romance</v>
      </c>
      <c r="M135" s="20">
        <f>SUMIFS('Raw data'!E:E, 'Raw data'!C:C, L135)</f>
        <v>22416</v>
      </c>
    </row>
    <row r="136" spans="12:13" x14ac:dyDescent="0.35">
      <c r="L136" s="21" t="str">
        <v>Documentary, Game-Show, Music</v>
      </c>
      <c r="M136" s="20">
        <f>SUMIFS('Raw data'!E:E, 'Raw data'!C:C, L136)</f>
        <v>22352</v>
      </c>
    </row>
    <row r="137" spans="12:13" x14ac:dyDescent="0.35">
      <c r="L137" s="21" t="str">
        <v>Action, Adventure</v>
      </c>
      <c r="M137" s="20">
        <f>SUMIFS('Raw data'!E:E, 'Raw data'!C:C, L137)</f>
        <v>22226</v>
      </c>
    </row>
    <row r="138" spans="12:13" x14ac:dyDescent="0.35">
      <c r="L138" s="21" t="str">
        <v>Drama, War</v>
      </c>
      <c r="M138" s="20">
        <f>SUMIFS('Raw data'!E:E, 'Raw data'!C:C, L138)</f>
        <v>22055</v>
      </c>
    </row>
    <row r="139" spans="12:13" x14ac:dyDescent="0.35">
      <c r="L139" s="21" t="str">
        <v>Mystery, Thriller</v>
      </c>
      <c r="M139" s="20">
        <f>SUMIFS('Raw data'!E:E, 'Raw data'!C:C, L139)</f>
        <v>45229</v>
      </c>
    </row>
    <row r="140" spans="12:13" x14ac:dyDescent="0.35">
      <c r="L140" s="21" t="str">
        <v>Drama, Fantasy, Mystery</v>
      </c>
      <c r="M140" s="20">
        <f>SUMIFS('Raw data'!E:E, 'Raw data'!C:C, L140)</f>
        <v>39406</v>
      </c>
    </row>
    <row r="141" spans="12:13" x14ac:dyDescent="0.35">
      <c r="L141" s="21" t="str">
        <v>Action, Drama, War</v>
      </c>
      <c r="M141" s="20">
        <f>SUMIFS('Raw data'!E:E, 'Raw data'!C:C, L141)</f>
        <v>20687</v>
      </c>
    </row>
    <row r="142" spans="12:13" x14ac:dyDescent="0.35">
      <c r="L142" s="21" t="str">
        <v>Musical, Romance</v>
      </c>
      <c r="M142" s="20">
        <f>SUMIFS('Raw data'!E:E, 'Raw data'!C:C, L142)</f>
        <v>20092</v>
      </c>
    </row>
    <row r="143" spans="12:13" x14ac:dyDescent="0.35">
      <c r="L143" s="21" t="str">
        <v>Adventure, Drama, Mystery</v>
      </c>
      <c r="M143" s="20">
        <f>SUMIFS('Raw data'!E:E, 'Raw data'!C:C, L143)</f>
        <v>19875</v>
      </c>
    </row>
    <row r="144" spans="12:13" x14ac:dyDescent="0.35">
      <c r="L144" s="21" t="str">
        <v>Crime, Drama, Thriller</v>
      </c>
      <c r="M144" s="20">
        <f>SUMIFS('Raw data'!E:E, 'Raw data'!C:C, L144)</f>
        <v>69298</v>
      </c>
    </row>
    <row r="145" spans="12:13" x14ac:dyDescent="0.35">
      <c r="L145" s="21" t="str">
        <v>Drama, Horror</v>
      </c>
      <c r="M145" s="20">
        <f>SUMIFS('Raw data'!E:E, 'Raw data'!C:C, L145)</f>
        <v>18677</v>
      </c>
    </row>
    <row r="146" spans="12:13" x14ac:dyDescent="0.35">
      <c r="L146" s="21" t="str">
        <v>Adventure, Animation, Drama</v>
      </c>
      <c r="M146" s="20">
        <f>SUMIFS('Raw data'!E:E, 'Raw data'!C:C, L146)</f>
        <v>17740</v>
      </c>
    </row>
    <row r="147" spans="12:13" x14ac:dyDescent="0.35">
      <c r="L147" s="21" t="str">
        <v>Action, Animation, Comedy</v>
      </c>
      <c r="M147" s="20">
        <f>SUMIFS('Raw data'!E:E, 'Raw data'!C:C, L147)</f>
        <v>17665</v>
      </c>
    </row>
    <row r="148" spans="12:13" x14ac:dyDescent="0.35">
      <c r="L148" s="21" t="str">
        <v>Biography, Documentary, Music</v>
      </c>
      <c r="M148" s="20">
        <f>SUMIFS('Raw data'!E:E, 'Raw data'!C:C, L148)</f>
        <v>17559</v>
      </c>
    </row>
    <row r="149" spans="12:13" x14ac:dyDescent="0.35">
      <c r="L149" s="21" t="str">
        <v>Action, Drama, Sci-Fi</v>
      </c>
      <c r="M149" s="20">
        <f>SUMIFS('Raw data'!E:E, 'Raw data'!C:C, L149)</f>
        <v>39230</v>
      </c>
    </row>
    <row r="150" spans="12:13" x14ac:dyDescent="0.35">
      <c r="L150" s="21" t="str">
        <v>Crime, Drama, Romance</v>
      </c>
      <c r="M150" s="20">
        <f>SUMIFS('Raw data'!E:E, 'Raw data'!C:C, L150)</f>
        <v>17474</v>
      </c>
    </row>
    <row r="151" spans="12:13" x14ac:dyDescent="0.35">
      <c r="L151" s="21" t="str">
        <v>Drama, Fantasy, Sci-Fi</v>
      </c>
      <c r="M151" s="20">
        <f>SUMIFS('Raw data'!E:E, 'Raw data'!C:C, L151)</f>
        <v>17457</v>
      </c>
    </row>
    <row r="152" spans="12:13" x14ac:dyDescent="0.35">
      <c r="L152" s="21" t="str">
        <v>Adventure, Family, Musical</v>
      </c>
      <c r="M152" s="20">
        <f>SUMIFS('Raw data'!E:E, 'Raw data'!C:C, L152)</f>
        <v>17278</v>
      </c>
    </row>
    <row r="153" spans="12:13" x14ac:dyDescent="0.35">
      <c r="L153" s="21" t="str">
        <v>Drama, Musical, Romance</v>
      </c>
      <c r="M153" s="20">
        <f>SUMIFS('Raw data'!E:E, 'Raw data'!C:C, L153)</f>
        <v>17048</v>
      </c>
    </row>
    <row r="154" spans="12:13" x14ac:dyDescent="0.35">
      <c r="L154" s="21" t="str">
        <v>Comedy, Sport</v>
      </c>
      <c r="M154" s="20">
        <f>SUMIFS('Raw data'!E:E, 'Raw data'!C:C, L154)</f>
        <v>69731</v>
      </c>
    </row>
    <row r="155" spans="12:13" x14ac:dyDescent="0.35">
      <c r="L155" s="21" t="str">
        <v>Action, Comedy, Family</v>
      </c>
      <c r="M155" s="20">
        <f>SUMIFS('Raw data'!E:E, 'Raw data'!C:C, L155)</f>
        <v>36945</v>
      </c>
    </row>
    <row r="156" spans="12:13" x14ac:dyDescent="0.35">
      <c r="L156" s="21" t="str">
        <v>Adventure, Biography, Drama</v>
      </c>
      <c r="M156" s="20">
        <f>SUMIFS('Raw data'!E:E, 'Raw data'!C:C, L156)</f>
        <v>16400</v>
      </c>
    </row>
    <row r="157" spans="12:13" x14ac:dyDescent="0.35">
      <c r="L157" s="21" t="str">
        <v>Action, Drama, Short</v>
      </c>
      <c r="M157" s="20">
        <f>SUMIFS('Raw data'!E:E, 'Raw data'!C:C, L157)</f>
        <v>16206</v>
      </c>
    </row>
    <row r="158" spans="12:13" x14ac:dyDescent="0.35">
      <c r="L158" s="21" t="str">
        <v>Action, Crime, Romance</v>
      </c>
      <c r="M158" s="20">
        <f>SUMIFS('Raw data'!E:E, 'Raw data'!C:C, L158)</f>
        <v>15885</v>
      </c>
    </row>
    <row r="159" spans="12:13" x14ac:dyDescent="0.35">
      <c r="L159" s="21" t="str">
        <v>Adventure, Comedy, Romance</v>
      </c>
      <c r="M159" s="20">
        <f>SUMIFS('Raw data'!E:E, 'Raw data'!C:C, L159)</f>
        <v>26020</v>
      </c>
    </row>
    <row r="160" spans="12:13" x14ac:dyDescent="0.35">
      <c r="L160" s="21" t="str">
        <v>Drama, History, Romance</v>
      </c>
      <c r="M160" s="20">
        <f>SUMIFS('Raw data'!E:E, 'Raw data'!C:C, L160)</f>
        <v>15510</v>
      </c>
    </row>
    <row r="161" spans="12:13" x14ac:dyDescent="0.35">
      <c r="L161" s="21" t="str">
        <v>Documentary, Game-Show, Reality-TV</v>
      </c>
      <c r="M161" s="20">
        <f>SUMIFS('Raw data'!E:E, 'Raw data'!C:C, L161)</f>
        <v>15399</v>
      </c>
    </row>
    <row r="162" spans="12:13" x14ac:dyDescent="0.35">
      <c r="L162" s="21" t="str">
        <v>Adventure, Comedy, Horror</v>
      </c>
      <c r="M162" s="20">
        <f>SUMIFS('Raw data'!E:E, 'Raw data'!C:C, L162)</f>
        <v>15311</v>
      </c>
    </row>
    <row r="163" spans="12:13" x14ac:dyDescent="0.35">
      <c r="L163" s="21" t="str">
        <v>Crime, Mystery, Thriller</v>
      </c>
      <c r="M163" s="20">
        <f>SUMIFS('Raw data'!E:E, 'Raw data'!C:C, L163)</f>
        <v>49651</v>
      </c>
    </row>
    <row r="164" spans="12:13" x14ac:dyDescent="0.35">
      <c r="L164" s="21" t="str">
        <v>Action, Adventure, Romance</v>
      </c>
      <c r="M164" s="20">
        <f>SUMIFS('Raw data'!E:E, 'Raw data'!C:C, L164)</f>
        <v>15158</v>
      </c>
    </row>
    <row r="165" spans="12:13" x14ac:dyDescent="0.35">
      <c r="L165" s="21" t="str">
        <v>Comedy, Crime, Fantasy</v>
      </c>
      <c r="M165" s="20">
        <f>SUMIFS('Raw data'!E:E, 'Raw data'!C:C, L165)</f>
        <v>14938</v>
      </c>
    </row>
    <row r="166" spans="12:13" x14ac:dyDescent="0.35">
      <c r="L166" s="21" t="str">
        <v>Comedy, War</v>
      </c>
      <c r="M166" s="20">
        <f>SUMIFS('Raw data'!E:E, 'Raw data'!C:C, L166)</f>
        <v>14933</v>
      </c>
    </row>
    <row r="167" spans="12:13" x14ac:dyDescent="0.35">
      <c r="L167" s="21" t="str">
        <v>Action</v>
      </c>
      <c r="M167" s="20">
        <f>SUMIFS('Raw data'!E:E, 'Raw data'!C:C, L167)</f>
        <v>25290</v>
      </c>
    </row>
    <row r="168" spans="12:13" x14ac:dyDescent="0.35">
      <c r="L168" s="21" t="str">
        <v>Crime, Drama, Sport</v>
      </c>
      <c r="M168" s="20">
        <f>SUMIFS('Raw data'!E:E, 'Raw data'!C:C, L168)</f>
        <v>14719</v>
      </c>
    </row>
    <row r="169" spans="12:13" x14ac:dyDescent="0.35">
      <c r="L169" s="21" t="str">
        <v>Drama, Mystery, Sci-Fi</v>
      </c>
      <c r="M169" s="20">
        <f>SUMIFS('Raw data'!E:E, 'Raw data'!C:C, L169)</f>
        <v>14619</v>
      </c>
    </row>
    <row r="170" spans="12:13" x14ac:dyDescent="0.35">
      <c r="L170" s="21" t="str">
        <v>Animation, Family, Fantasy</v>
      </c>
      <c r="M170" s="20">
        <f>SUMIFS('Raw data'!E:E, 'Raw data'!C:C, L170)</f>
        <v>14209</v>
      </c>
    </row>
    <row r="171" spans="12:13" x14ac:dyDescent="0.35">
      <c r="L171" s="21" t="str">
        <v>Action, Romance, Thriller</v>
      </c>
      <c r="M171" s="20">
        <f>SUMIFS('Raw data'!E:E, 'Raw data'!C:C, L171)</f>
        <v>14073</v>
      </c>
    </row>
    <row r="172" spans="12:13" x14ac:dyDescent="0.35">
      <c r="L172" s="21" t="str">
        <v>Biography, Documentary, Sport</v>
      </c>
      <c r="M172" s="20">
        <f>SUMIFS('Raw data'!E:E, 'Raw data'!C:C, L172)</f>
        <v>13805</v>
      </c>
    </row>
    <row r="173" spans="12:13" x14ac:dyDescent="0.35">
      <c r="L173" s="21" t="str">
        <v>Drama, Romance, Sport</v>
      </c>
      <c r="M173" s="20">
        <f>SUMIFS('Raw data'!E:E, 'Raw data'!C:C, L173)</f>
        <v>13221</v>
      </c>
    </row>
    <row r="174" spans="12:13" x14ac:dyDescent="0.35">
      <c r="L174" s="21" t="str">
        <v>Action, Comedy, Music</v>
      </c>
      <c r="M174" s="20">
        <f>SUMIFS('Raw data'!E:E, 'Raw data'!C:C, L174)</f>
        <v>12869</v>
      </c>
    </row>
    <row r="175" spans="12:13" x14ac:dyDescent="0.35">
      <c r="L175" s="21" t="str">
        <v>Horror, Thriller, Western</v>
      </c>
      <c r="M175" s="20">
        <f>SUMIFS('Raw data'!E:E, 'Raw data'!C:C, L175)</f>
        <v>12851</v>
      </c>
    </row>
    <row r="176" spans="12:13" x14ac:dyDescent="0.35">
      <c r="L176" s="21" t="str">
        <v>Action, Crime, Horror</v>
      </c>
      <c r="M176" s="20">
        <f>SUMIFS('Raw data'!E:E, 'Raw data'!C:C, L176)</f>
        <v>12710</v>
      </c>
    </row>
    <row r="177" spans="12:13" x14ac:dyDescent="0.35">
      <c r="L177" s="21" t="str">
        <v>Sci-Fi, Thriller</v>
      </c>
      <c r="M177" s="20">
        <f>SUMIFS('Raw data'!E:E, 'Raw data'!C:C, L177)</f>
        <v>12266</v>
      </c>
    </row>
    <row r="178" spans="12:13" x14ac:dyDescent="0.35">
      <c r="L178" s="21" t="str">
        <v>Documentary</v>
      </c>
      <c r="M178" s="20">
        <f>SUMIFS('Raw data'!E:E, 'Raw data'!C:C, L178)</f>
        <v>33629</v>
      </c>
    </row>
    <row r="179" spans="12:13" x14ac:dyDescent="0.35">
      <c r="L179" s="21" t="str">
        <v>Drama, Sci-Fi</v>
      </c>
      <c r="M179" s="20">
        <f>SUMIFS('Raw data'!E:E, 'Raw data'!C:C, L179)</f>
        <v>12139</v>
      </c>
    </row>
    <row r="180" spans="12:13" x14ac:dyDescent="0.35">
      <c r="L180" s="21" t="str">
        <v>Mystery, Sci-Fi</v>
      </c>
      <c r="M180" s="20">
        <f>SUMIFS('Raw data'!E:E, 'Raw data'!C:C, L180)</f>
        <v>12090</v>
      </c>
    </row>
    <row r="181" spans="12:13" x14ac:dyDescent="0.35">
      <c r="L181" s="21" t="str">
        <v>Horror, Romance, Thriller</v>
      </c>
      <c r="M181" s="20">
        <f>SUMIFS('Raw data'!E:E, 'Raw data'!C:C, L181)</f>
        <v>11963</v>
      </c>
    </row>
    <row r="182" spans="12:13" x14ac:dyDescent="0.35">
      <c r="L182" s="21" t="str">
        <v>Action, Fantasy, Western</v>
      </c>
      <c r="M182" s="20">
        <f>SUMIFS('Raw data'!E:E, 'Raw data'!C:C, L182)</f>
        <v>11689</v>
      </c>
    </row>
    <row r="183" spans="12:13" x14ac:dyDescent="0.35">
      <c r="L183" s="21" t="str">
        <v>Reality-TV</v>
      </c>
      <c r="M183" s="20">
        <f>SUMIFS('Raw data'!E:E, 'Raw data'!C:C, L183)</f>
        <v>11617</v>
      </c>
    </row>
    <row r="184" spans="12:13" x14ac:dyDescent="0.35">
      <c r="L184" s="21" t="str">
        <v>Drama, Romance, Sci-Fi</v>
      </c>
      <c r="M184" s="20">
        <f>SUMIFS('Raw data'!E:E, 'Raw data'!C:C, L184)</f>
        <v>11564</v>
      </c>
    </row>
    <row r="185" spans="12:13" x14ac:dyDescent="0.35">
      <c r="L185" s="21" t="str">
        <v>Fantasy, Mystery, Thriller</v>
      </c>
      <c r="M185" s="20">
        <f>SUMIFS('Raw data'!E:E, 'Raw data'!C:C, L185)</f>
        <v>11544</v>
      </c>
    </row>
    <row r="186" spans="12:13" x14ac:dyDescent="0.35">
      <c r="L186" s="21" t="str">
        <v>Mystery, Sci-Fi, Thriller</v>
      </c>
      <c r="M186" s="20">
        <f>SUMIFS('Raw data'!E:E, 'Raw data'!C:C, L186)</f>
        <v>11349</v>
      </c>
    </row>
    <row r="187" spans="12:13" x14ac:dyDescent="0.35">
      <c r="L187" s="21" t="str">
        <v>Comedy, Music, Romance</v>
      </c>
      <c r="M187" s="20">
        <f>SUMIFS('Raw data'!E:E, 'Raw data'!C:C, L187)</f>
        <v>11300</v>
      </c>
    </row>
    <row r="188" spans="12:13" x14ac:dyDescent="0.35">
      <c r="L188" s="21" t="str">
        <v>Action, Documentary, Drama</v>
      </c>
      <c r="M188" s="20">
        <f>SUMIFS('Raw data'!E:E, 'Raw data'!C:C, L188)</f>
        <v>11177</v>
      </c>
    </row>
    <row r="189" spans="12:13" x14ac:dyDescent="0.35">
      <c r="L189" s="21" t="str">
        <v>Crime, Fantasy, Horror</v>
      </c>
      <c r="M189" s="20">
        <f>SUMIFS('Raw data'!E:E, 'Raw data'!C:C, L189)</f>
        <v>21252</v>
      </c>
    </row>
    <row r="190" spans="12:13" x14ac:dyDescent="0.35">
      <c r="L190" s="21" t="str">
        <v>Family, Music, Reality-TV</v>
      </c>
      <c r="M190" s="20">
        <f>SUMIFS('Raw data'!E:E, 'Raw data'!C:C, L190)</f>
        <v>10637</v>
      </c>
    </row>
    <row r="191" spans="12:13" x14ac:dyDescent="0.35">
      <c r="L191" s="21" t="str">
        <v>Comedy, Drama, Music</v>
      </c>
      <c r="M191" s="20">
        <f>SUMIFS('Raw data'!E:E, 'Raw data'!C:C, L191)</f>
        <v>10570</v>
      </c>
    </row>
    <row r="192" spans="12:13" x14ac:dyDescent="0.35">
      <c r="L192" s="21" t="str">
        <v>Documentary, Reality-TV, Romance</v>
      </c>
      <c r="M192" s="20">
        <f>SUMIFS('Raw data'!E:E, 'Raw data'!C:C, L192)</f>
        <v>10487</v>
      </c>
    </row>
    <row r="193" spans="12:13" x14ac:dyDescent="0.35">
      <c r="L193" s="21" t="str">
        <v>Fantasy, Mystery, Sci-Fi</v>
      </c>
      <c r="M193" s="20">
        <f>SUMIFS('Raw data'!E:E, 'Raw data'!C:C, L193)</f>
        <v>10405</v>
      </c>
    </row>
    <row r="194" spans="12:13" x14ac:dyDescent="0.35">
      <c r="L194" s="21" t="str">
        <v>Drama, Fantasy, Romance</v>
      </c>
      <c r="M194" s="20">
        <f>SUMIFS('Raw data'!E:E, 'Raw data'!C:C, L194)</f>
        <v>10227</v>
      </c>
    </row>
    <row r="195" spans="12:13" x14ac:dyDescent="0.35">
      <c r="L195" s="21" t="str">
        <v>Comedy, Drama, Fantasy</v>
      </c>
      <c r="M195" s="20">
        <f>SUMIFS('Raw data'!E:E, 'Raw data'!C:C, L195)</f>
        <v>10183</v>
      </c>
    </row>
    <row r="196" spans="12:13" x14ac:dyDescent="0.35">
      <c r="L196" s="21" t="str">
        <v>Talk-Show</v>
      </c>
      <c r="M196" s="20">
        <f>SUMIFS('Raw data'!E:E, 'Raw data'!C:C, L196)</f>
        <v>10099</v>
      </c>
    </row>
  </sheetData>
  <sortState xmlns:xlrd2="http://schemas.microsoft.com/office/spreadsheetml/2017/richdata2" ref="M3:M196">
    <sortCondition descending="1" ref="M3:M196"/>
  </sortState>
  <mergeCells count="7">
    <mergeCell ref="A28:D28"/>
    <mergeCell ref="F22:H22"/>
    <mergeCell ref="L1:M1"/>
    <mergeCell ref="F12:G12"/>
    <mergeCell ref="F30:J30"/>
    <mergeCell ref="A1:D1"/>
    <mergeCell ref="F2:I2"/>
  </mergeCell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iconSet" priority="1" id="{224F1298-AC30-4C70-86D7-3493F1AF478D}">
            <x14:iconSet iconSet="3Triangles">
              <x14:cfvo type="percent">
                <xm:f>0</xm:f>
              </x14:cfvo>
              <x14:cfvo type="percent">
                <xm:f>33</xm:f>
              </x14:cfvo>
              <x14:cfvo type="percent">
                <xm:f>67</xm:f>
              </x14:cfvo>
            </x14:iconSet>
          </x14:cfRule>
          <xm:sqref>M2:M1048576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DAF62-0550-43FB-A850-BBC720352CCB}">
  <sheetPr codeName="Sheet9"/>
  <dimension ref="B1:T34"/>
  <sheetViews>
    <sheetView topLeftCell="A2" workbookViewId="0"/>
  </sheetViews>
  <sheetFormatPr defaultRowHeight="14.5" x14ac:dyDescent="0.35"/>
  <cols>
    <col min="2" max="2" width="20.26953125" customWidth="1"/>
    <col min="3" max="3" width="12.54296875" bestFit="1" customWidth="1"/>
    <col min="4" max="4" width="21.7265625" customWidth="1"/>
    <col min="5" max="5" width="13.26953125" bestFit="1" customWidth="1"/>
    <col min="6" max="6" width="18.26953125" customWidth="1"/>
    <col min="7" max="7" width="14.26953125" bestFit="1" customWidth="1"/>
    <col min="8" max="8" width="13.1796875" bestFit="1" customWidth="1"/>
  </cols>
  <sheetData>
    <row r="1" spans="2:20" ht="30" customHeight="1" x14ac:dyDescent="0.35">
      <c r="B1" s="105" t="s">
        <v>2290</v>
      </c>
      <c r="C1" s="106"/>
      <c r="D1" s="106"/>
      <c r="E1" s="106"/>
      <c r="F1" s="106"/>
      <c r="G1" s="106"/>
      <c r="H1" s="106"/>
      <c r="I1" s="106"/>
      <c r="J1" s="106"/>
      <c r="K1" s="106"/>
      <c r="L1" s="106"/>
      <c r="M1" s="106"/>
      <c r="N1" s="106"/>
      <c r="O1" s="106"/>
      <c r="P1" s="106"/>
      <c r="Q1" s="106"/>
      <c r="R1" s="106"/>
      <c r="S1" s="106"/>
      <c r="T1" s="106"/>
    </row>
    <row r="3" spans="2:20" x14ac:dyDescent="0.35">
      <c r="B3" s="103" t="s">
        <v>2278</v>
      </c>
      <c r="C3" s="103"/>
      <c r="D3" s="103"/>
      <c r="E3" s="103"/>
      <c r="F3" s="103"/>
      <c r="G3" s="103"/>
      <c r="H3" s="103"/>
    </row>
    <row r="4" spans="2:20" x14ac:dyDescent="0.35">
      <c r="B4" s="36" t="s">
        <v>2268</v>
      </c>
      <c r="C4" s="36" t="s">
        <v>2269</v>
      </c>
      <c r="D4" s="36" t="s">
        <v>2270</v>
      </c>
      <c r="E4" s="36" t="s">
        <v>2271</v>
      </c>
      <c r="F4" s="36" t="s">
        <v>2275</v>
      </c>
      <c r="G4" s="36" t="s">
        <v>2276</v>
      </c>
      <c r="H4" s="36" t="s">
        <v>2277</v>
      </c>
    </row>
    <row r="5" spans="2:20" x14ac:dyDescent="0.35">
      <c r="B5" s="39" t="s">
        <v>2272</v>
      </c>
      <c r="C5" s="40">
        <v>6</v>
      </c>
      <c r="D5" s="41">
        <v>0.05</v>
      </c>
      <c r="E5" s="42">
        <v>5</v>
      </c>
      <c r="F5" s="35">
        <f>PMT(D5/C5,E5*C5,G5,H5)</f>
        <v>-32139.698644114444</v>
      </c>
      <c r="G5" s="40">
        <v>850000</v>
      </c>
      <c r="H5" s="34"/>
    </row>
    <row r="6" spans="2:20" x14ac:dyDescent="0.35">
      <c r="B6" s="39" t="s">
        <v>2273</v>
      </c>
      <c r="C6" s="40">
        <v>12</v>
      </c>
      <c r="D6" s="41">
        <v>0.03</v>
      </c>
      <c r="E6" s="42">
        <v>3</v>
      </c>
      <c r="F6" s="40">
        <v>-7497</v>
      </c>
      <c r="G6" s="40">
        <v>600000</v>
      </c>
      <c r="H6" s="35">
        <f>FV(D6/C6,E6*C6,F6,G6)</f>
        <v>-374389.49982605735</v>
      </c>
    </row>
    <row r="7" spans="2:20" x14ac:dyDescent="0.35">
      <c r="B7" s="39" t="s">
        <v>2274</v>
      </c>
      <c r="C7" s="40">
        <v>7</v>
      </c>
      <c r="D7" s="41">
        <v>0.02</v>
      </c>
      <c r="E7" s="42">
        <v>1</v>
      </c>
      <c r="F7" s="34"/>
      <c r="G7" s="35">
        <f>PV(D7/C7,C7*E7,F7,H7)</f>
        <v>-49011.331307580171</v>
      </c>
      <c r="H7" s="40">
        <v>50000</v>
      </c>
    </row>
    <row r="10" spans="2:20" x14ac:dyDescent="0.35">
      <c r="B10" s="104" t="s">
        <v>2279</v>
      </c>
      <c r="C10" s="104"/>
    </row>
    <row r="11" spans="2:20" x14ac:dyDescent="0.35">
      <c r="B11" s="88" t="s">
        <v>2280</v>
      </c>
      <c r="C11" s="87">
        <v>250000</v>
      </c>
    </row>
    <row r="12" spans="2:20" x14ac:dyDescent="0.35">
      <c r="B12" s="88" t="s">
        <v>2270</v>
      </c>
      <c r="C12" s="87">
        <v>0.06</v>
      </c>
    </row>
    <row r="13" spans="2:20" x14ac:dyDescent="0.35">
      <c r="B13" s="88" t="s">
        <v>2281</v>
      </c>
      <c r="C13" s="87">
        <v>3</v>
      </c>
    </row>
    <row r="14" spans="2:20" x14ac:dyDescent="0.35">
      <c r="B14" s="88" t="s">
        <v>2282</v>
      </c>
      <c r="C14" s="87">
        <v>5</v>
      </c>
    </row>
    <row r="15" spans="2:20" x14ac:dyDescent="0.35">
      <c r="B15" s="88" t="s">
        <v>2283</v>
      </c>
      <c r="C15" s="87">
        <v>0</v>
      </c>
    </row>
    <row r="16" spans="2:20" x14ac:dyDescent="0.35">
      <c r="B16" s="84"/>
      <c r="C16" s="84"/>
    </row>
    <row r="17" spans="2:6" x14ac:dyDescent="0.35">
      <c r="B17" s="43" t="s">
        <v>2284</v>
      </c>
      <c r="C17" s="38">
        <f>PMT(C12/C14,C14*C13,C11,C15)</f>
        <v>-18311.176147902523</v>
      </c>
    </row>
    <row r="19" spans="2:6" ht="24.5" x14ac:dyDescent="0.35">
      <c r="B19" s="37" t="s">
        <v>2285</v>
      </c>
      <c r="C19" s="36" t="s">
        <v>2286</v>
      </c>
      <c r="D19" s="36" t="s">
        <v>2287</v>
      </c>
      <c r="E19" s="36" t="s">
        <v>2288</v>
      </c>
      <c r="F19" s="36" t="s">
        <v>2289</v>
      </c>
    </row>
    <row r="20" spans="2:6" x14ac:dyDescent="0.35">
      <c r="B20" s="83">
        <v>1</v>
      </c>
      <c r="C20" s="86">
        <f>C11</f>
        <v>250000</v>
      </c>
      <c r="D20" s="85">
        <f>IPMT($C$12/$C$14, B20, $C$13*$C$14,-$C$11,,0)</f>
        <v>3000</v>
      </c>
      <c r="E20" s="85">
        <f>PPMT($C$12/$C$14, B20, $C$13*$C$14, -$C$11,,0)</f>
        <v>15311.176147902523</v>
      </c>
      <c r="F20" s="86">
        <f>C20-E20</f>
        <v>234688.82385209747</v>
      </c>
    </row>
    <row r="21" spans="2:6" x14ac:dyDescent="0.35">
      <c r="B21" s="83">
        <v>2</v>
      </c>
      <c r="C21" s="85">
        <f t="shared" ref="C21:C34" si="0">F20</f>
        <v>234688.82385209747</v>
      </c>
      <c r="D21" s="85">
        <f>IPMT($C$12/$C$14, B21, $C$13*$C$14,-$C$11,,0)</f>
        <v>2816.2658862251697</v>
      </c>
      <c r="E21" s="85">
        <f>PPMT($C$12/$C$14, B21, $C$13*$C$14, -$C$11,,0)</f>
        <v>15494.910261677351</v>
      </c>
      <c r="F21" s="85">
        <f t="shared" ref="F21:F34" si="1">C21-E21</f>
        <v>219193.91359042012</v>
      </c>
    </row>
    <row r="22" spans="2:6" x14ac:dyDescent="0.35">
      <c r="B22" s="83">
        <v>3</v>
      </c>
      <c r="C22" s="85">
        <f t="shared" si="0"/>
        <v>219193.91359042012</v>
      </c>
      <c r="D22" s="85">
        <f t="shared" ref="D22:D34" si="2">IPMT($C$12/$C$14, B22, $C$13*$C$14,-$C$11,,0)</f>
        <v>2630.3269630850414</v>
      </c>
      <c r="E22" s="85">
        <f t="shared" ref="E22:E34" si="3">PPMT($C$12/$C$14, B22, $C$13*$C$14, -$C$11,,0)</f>
        <v>15680.849184817482</v>
      </c>
      <c r="F22" s="85">
        <f t="shared" si="1"/>
        <v>203513.06440560264</v>
      </c>
    </row>
    <row r="23" spans="2:6" x14ac:dyDescent="0.35">
      <c r="B23" s="83">
        <v>4</v>
      </c>
      <c r="C23" s="85">
        <f t="shared" si="0"/>
        <v>203513.06440560264</v>
      </c>
      <c r="D23" s="85">
        <f t="shared" si="2"/>
        <v>2442.1567728672317</v>
      </c>
      <c r="E23" s="85">
        <f t="shared" si="3"/>
        <v>15869.01937503529</v>
      </c>
      <c r="F23" s="85">
        <f t="shared" si="1"/>
        <v>187644.04503056736</v>
      </c>
    </row>
    <row r="24" spans="2:6" x14ac:dyDescent="0.35">
      <c r="B24" s="83">
        <v>5</v>
      </c>
      <c r="C24" s="85">
        <f t="shared" si="0"/>
        <v>187644.04503056736</v>
      </c>
      <c r="D24" s="85">
        <f t="shared" si="2"/>
        <v>2251.7285403668079</v>
      </c>
      <c r="E24" s="85">
        <f t="shared" si="3"/>
        <v>16059.447607535714</v>
      </c>
      <c r="F24" s="85">
        <f t="shared" si="1"/>
        <v>171584.59742303164</v>
      </c>
    </row>
    <row r="25" spans="2:6" x14ac:dyDescent="0.35">
      <c r="B25" s="83">
        <v>6</v>
      </c>
      <c r="C25" s="85">
        <f t="shared" si="0"/>
        <v>171584.59742303164</v>
      </c>
      <c r="D25" s="85">
        <f t="shared" si="2"/>
        <v>2059.0151690763796</v>
      </c>
      <c r="E25" s="85">
        <f t="shared" si="3"/>
        <v>16252.160978826143</v>
      </c>
      <c r="F25" s="85">
        <f t="shared" si="1"/>
        <v>155332.43644420549</v>
      </c>
    </row>
    <row r="26" spans="2:6" x14ac:dyDescent="0.35">
      <c r="B26" s="83">
        <v>7</v>
      </c>
      <c r="C26" s="85">
        <f t="shared" si="0"/>
        <v>155332.43644420549</v>
      </c>
      <c r="D26" s="85">
        <f t="shared" si="2"/>
        <v>1863.9892373304656</v>
      </c>
      <c r="E26" s="85">
        <f t="shared" si="3"/>
        <v>16447.186910572058</v>
      </c>
      <c r="F26" s="85">
        <f t="shared" si="1"/>
        <v>138885.24953363344</v>
      </c>
    </row>
    <row r="27" spans="2:6" x14ac:dyDescent="0.35">
      <c r="B27" s="83">
        <v>8</v>
      </c>
      <c r="C27" s="85">
        <f t="shared" si="0"/>
        <v>138885.24953363344</v>
      </c>
      <c r="D27" s="85">
        <f t="shared" si="2"/>
        <v>1666.6229944036013</v>
      </c>
      <c r="E27" s="85">
        <f t="shared" si="3"/>
        <v>16644.55315349892</v>
      </c>
      <c r="F27" s="85">
        <f t="shared" si="1"/>
        <v>122240.69638013453</v>
      </c>
    </row>
    <row r="28" spans="2:6" x14ac:dyDescent="0.35">
      <c r="B28" s="83">
        <v>9</v>
      </c>
      <c r="C28" s="85">
        <f t="shared" si="0"/>
        <v>122240.69638013453</v>
      </c>
      <c r="D28" s="85">
        <f t="shared" si="2"/>
        <v>1466.8883565616143</v>
      </c>
      <c r="E28" s="85">
        <f t="shared" si="3"/>
        <v>16844.28779134091</v>
      </c>
      <c r="F28" s="85">
        <f t="shared" si="1"/>
        <v>105396.40858879362</v>
      </c>
    </row>
    <row r="29" spans="2:6" x14ac:dyDescent="0.35">
      <c r="B29" s="83">
        <v>10</v>
      </c>
      <c r="C29" s="85">
        <f t="shared" si="0"/>
        <v>105396.40858879362</v>
      </c>
      <c r="D29" s="85">
        <f t="shared" si="2"/>
        <v>1264.7569030655231</v>
      </c>
      <c r="E29" s="85">
        <f t="shared" si="3"/>
        <v>17046.419244836998</v>
      </c>
      <c r="F29" s="85">
        <f t="shared" si="1"/>
        <v>88349.989343956622</v>
      </c>
    </row>
    <row r="30" spans="2:6" x14ac:dyDescent="0.35">
      <c r="B30" s="83">
        <v>11</v>
      </c>
      <c r="C30" s="85">
        <f t="shared" si="0"/>
        <v>88349.989343956622</v>
      </c>
      <c r="D30" s="85">
        <f t="shared" si="2"/>
        <v>1060.1998721274792</v>
      </c>
      <c r="E30" s="85">
        <f t="shared" si="3"/>
        <v>17250.976275775043</v>
      </c>
      <c r="F30" s="85">
        <f t="shared" si="1"/>
        <v>71099.013068181579</v>
      </c>
    </row>
    <row r="31" spans="2:6" x14ac:dyDescent="0.35">
      <c r="B31" s="83">
        <v>12</v>
      </c>
      <c r="C31" s="85">
        <f t="shared" si="0"/>
        <v>71099.013068181579</v>
      </c>
      <c r="D31" s="85">
        <f t="shared" si="2"/>
        <v>853.18815681817875</v>
      </c>
      <c r="E31" s="85">
        <f t="shared" si="3"/>
        <v>17457.987991084341</v>
      </c>
      <c r="F31" s="85">
        <f t="shared" si="1"/>
        <v>53641.025077097234</v>
      </c>
    </row>
    <row r="32" spans="2:6" x14ac:dyDescent="0.35">
      <c r="B32" s="83">
        <v>13</v>
      </c>
      <c r="C32" s="85">
        <f t="shared" si="0"/>
        <v>53641.025077097234</v>
      </c>
      <c r="D32" s="85">
        <f t="shared" si="2"/>
        <v>643.69230092516659</v>
      </c>
      <c r="E32" s="85">
        <f t="shared" si="3"/>
        <v>17667.483846977353</v>
      </c>
      <c r="F32" s="85">
        <f t="shared" si="1"/>
        <v>35973.541230119881</v>
      </c>
    </row>
    <row r="33" spans="2:6" x14ac:dyDescent="0.35">
      <c r="B33" s="83">
        <v>14</v>
      </c>
      <c r="C33" s="85">
        <f t="shared" si="0"/>
        <v>35973.541230119881</v>
      </c>
      <c r="D33" s="85">
        <f t="shared" si="2"/>
        <v>431.68249476143831</v>
      </c>
      <c r="E33" s="85">
        <f t="shared" si="3"/>
        <v>17879.493653141086</v>
      </c>
      <c r="F33" s="85">
        <f t="shared" si="1"/>
        <v>18094.047576978795</v>
      </c>
    </row>
    <row r="34" spans="2:6" x14ac:dyDescent="0.35">
      <c r="B34" s="83">
        <v>15</v>
      </c>
      <c r="C34" s="85">
        <f t="shared" si="0"/>
        <v>18094.047576978795</v>
      </c>
      <c r="D34" s="85">
        <f t="shared" si="2"/>
        <v>217.12857092374534</v>
      </c>
      <c r="E34" s="85">
        <f t="shared" si="3"/>
        <v>18094.047576978777</v>
      </c>
      <c r="F34" s="85">
        <f t="shared" si="1"/>
        <v>0</v>
      </c>
    </row>
  </sheetData>
  <mergeCells count="3">
    <mergeCell ref="B3:H3"/>
    <mergeCell ref="B10:C10"/>
    <mergeCell ref="B1:T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F9EB0-C15A-4954-A297-4DEAEB272635}">
  <sheetPr codeName="Sheet10"/>
  <dimension ref="A1:F16078"/>
  <sheetViews>
    <sheetView workbookViewId="0"/>
  </sheetViews>
  <sheetFormatPr defaultColWidth="11.54296875" defaultRowHeight="14.5" x14ac:dyDescent="0.35"/>
  <cols>
    <col min="1" max="1" width="31.7265625" customWidth="1"/>
    <col min="2" max="2" width="24.26953125" customWidth="1"/>
    <col min="6" max="6" width="57.1796875" style="47" customWidth="1"/>
  </cols>
  <sheetData>
    <row r="1" spans="1:6" x14ac:dyDescent="0.35">
      <c r="A1" s="44" t="s">
        <v>1</v>
      </c>
      <c r="B1" s="44" t="s">
        <v>2</v>
      </c>
      <c r="C1" s="44" t="s">
        <v>3</v>
      </c>
      <c r="D1" s="44" t="s">
        <v>4</v>
      </c>
      <c r="E1" s="44" t="s">
        <v>5</v>
      </c>
      <c r="F1" s="49" t="s">
        <v>2291</v>
      </c>
    </row>
    <row r="2" spans="1:6" x14ac:dyDescent="0.35">
      <c r="A2" s="45" t="s">
        <v>532</v>
      </c>
      <c r="B2" s="45" t="s">
        <v>98</v>
      </c>
      <c r="C2" s="45">
        <v>3.9</v>
      </c>
      <c r="D2" s="45">
        <v>41105</v>
      </c>
      <c r="E2" s="45">
        <v>1957</v>
      </c>
      <c r="F2" s="48" t="str">
        <f t="shared" ref="F2:F65" si="0">_xlfn.CONCAT(TRIM(A2)," ", ": Rating"," ",C2,",","  ","Released in", " ",E2)</f>
        <v>Plan 9 from Outer Space : Rating 3.9,  Released in 1957</v>
      </c>
    </row>
    <row r="3" spans="1:6" x14ac:dyDescent="0.35">
      <c r="A3" s="45" t="s">
        <v>111</v>
      </c>
      <c r="B3" s="45" t="s">
        <v>98</v>
      </c>
      <c r="C3" s="45">
        <v>1.9</v>
      </c>
      <c r="D3" s="45">
        <v>10499</v>
      </c>
      <c r="E3" s="45">
        <v>1961</v>
      </c>
      <c r="F3" s="48" t="str">
        <f t="shared" si="0"/>
        <v>The Beast of Yucca Flats : Rating 1.9,  Released in 1961</v>
      </c>
    </row>
    <row r="4" spans="1:6" x14ac:dyDescent="0.35">
      <c r="A4" s="45" t="s">
        <v>216</v>
      </c>
      <c r="B4" s="45" t="s">
        <v>217</v>
      </c>
      <c r="C4" s="45">
        <v>2.7</v>
      </c>
      <c r="D4" s="45">
        <v>12767</v>
      </c>
      <c r="E4" s="45">
        <v>1964</v>
      </c>
      <c r="F4" s="48" t="str">
        <f t="shared" si="0"/>
        <v>Santa Claus Conquers the Martians : Rating 2.7,  Released in 1964</v>
      </c>
    </row>
    <row r="5" spans="1:6" x14ac:dyDescent="0.35">
      <c r="A5" s="45" t="s">
        <v>97</v>
      </c>
      <c r="B5" s="45" t="s">
        <v>98</v>
      </c>
      <c r="C5" s="45">
        <v>1.8</v>
      </c>
      <c r="D5" s="45">
        <v>10108</v>
      </c>
      <c r="E5" s="45">
        <v>1965</v>
      </c>
      <c r="F5" s="48" t="str">
        <f t="shared" si="0"/>
        <v>Monster a Go-Go : Rating 1.8,  Released in 1965</v>
      </c>
    </row>
    <row r="6" spans="1:6" x14ac:dyDescent="0.35">
      <c r="A6" s="45" t="s">
        <v>75</v>
      </c>
      <c r="B6" s="45" t="s">
        <v>76</v>
      </c>
      <c r="C6" s="45">
        <v>1.7</v>
      </c>
      <c r="D6" s="45">
        <v>37830</v>
      </c>
      <c r="E6" s="45">
        <v>1966</v>
      </c>
      <c r="F6" s="48" t="str">
        <f t="shared" si="0"/>
        <v>Manos: The Hands of Fate : Rating 1.7,  Released in 1966</v>
      </c>
    </row>
    <row r="7" spans="1:6" x14ac:dyDescent="0.35">
      <c r="A7" s="45" t="s">
        <v>1726</v>
      </c>
      <c r="B7" s="45" t="s">
        <v>11</v>
      </c>
      <c r="C7" s="45">
        <v>5</v>
      </c>
      <c r="D7" s="45">
        <v>33071</v>
      </c>
      <c r="E7" s="45">
        <v>1967</v>
      </c>
      <c r="F7" s="48" t="str">
        <f t="shared" si="0"/>
        <v>Casino Royale : Rating 5,  Released in 1967</v>
      </c>
    </row>
    <row r="8" spans="1:6" x14ac:dyDescent="0.35">
      <c r="A8" s="45" t="s">
        <v>328</v>
      </c>
      <c r="B8" s="45" t="s">
        <v>152</v>
      </c>
      <c r="C8" s="45">
        <v>3.3</v>
      </c>
      <c r="D8" s="45">
        <v>19892</v>
      </c>
      <c r="E8" s="45">
        <v>1970</v>
      </c>
      <c r="F8" s="48" t="str">
        <f t="shared" si="0"/>
        <v>Hercules in New York : Rating 3.3,  Released in 1970</v>
      </c>
    </row>
    <row r="9" spans="1:6" x14ac:dyDescent="0.35">
      <c r="A9" s="45" t="s">
        <v>497</v>
      </c>
      <c r="B9" s="45" t="s">
        <v>76</v>
      </c>
      <c r="C9" s="45">
        <v>3.8</v>
      </c>
      <c r="D9" s="45">
        <v>29122</v>
      </c>
      <c r="E9" s="45">
        <v>1977</v>
      </c>
      <c r="F9" s="48" t="str">
        <f t="shared" si="0"/>
        <v>Exorcist II: The Heretic : Rating 3.8,  Released in 1977</v>
      </c>
    </row>
    <row r="10" spans="1:6" x14ac:dyDescent="0.35">
      <c r="A10" s="45" t="s">
        <v>130</v>
      </c>
      <c r="B10" s="45" t="s">
        <v>131</v>
      </c>
      <c r="C10" s="45">
        <v>2.2000000000000002</v>
      </c>
      <c r="D10" s="45">
        <v>17278</v>
      </c>
      <c r="E10" s="45">
        <v>1978</v>
      </c>
      <c r="F10" s="48" t="str">
        <f t="shared" si="0"/>
        <v>The Star Wars Holiday Special : Rating 2.2,  Released in 1978</v>
      </c>
    </row>
    <row r="11" spans="1:6" x14ac:dyDescent="0.35">
      <c r="A11" s="45" t="s">
        <v>1114</v>
      </c>
      <c r="B11" s="45" t="s">
        <v>1115</v>
      </c>
      <c r="C11" s="45">
        <v>4.5999999999999996</v>
      </c>
      <c r="D11" s="45">
        <v>15311</v>
      </c>
      <c r="E11" s="45">
        <v>1978</v>
      </c>
      <c r="F11" s="48" t="str">
        <f t="shared" si="0"/>
        <v>Attack of the Killer Tomatoes! : Rating 4.6,  Released in 1978</v>
      </c>
    </row>
    <row r="12" spans="1:6" x14ac:dyDescent="0.35">
      <c r="A12" s="45" t="s">
        <v>2075</v>
      </c>
      <c r="B12" s="45" t="s">
        <v>1900</v>
      </c>
      <c r="C12" s="45">
        <v>5.0999999999999996</v>
      </c>
      <c r="D12" s="45">
        <v>10769</v>
      </c>
      <c r="E12" s="45">
        <v>1980</v>
      </c>
      <c r="F12" s="48" t="str">
        <f t="shared" si="0"/>
        <v>Saturn 3 : Rating 5.1,  Released in 1980</v>
      </c>
    </row>
    <row r="13" spans="1:6" x14ac:dyDescent="0.35">
      <c r="A13" s="45" t="s">
        <v>2061</v>
      </c>
      <c r="B13" s="45" t="s">
        <v>649</v>
      </c>
      <c r="C13" s="45">
        <v>5.0999999999999996</v>
      </c>
      <c r="D13" s="45">
        <v>11052</v>
      </c>
      <c r="E13" s="45">
        <v>1981</v>
      </c>
      <c r="F13" s="48" t="str">
        <f t="shared" si="0"/>
        <v>Cannibal Ferox : Rating 5.1,  Released in 1981</v>
      </c>
    </row>
    <row r="14" spans="1:6" x14ac:dyDescent="0.35">
      <c r="A14" s="45" t="s">
        <v>1494</v>
      </c>
      <c r="B14" s="45" t="s">
        <v>535</v>
      </c>
      <c r="C14" s="45">
        <v>4.8</v>
      </c>
      <c r="D14" s="45">
        <v>11454</v>
      </c>
      <c r="E14" s="45">
        <v>1982</v>
      </c>
      <c r="F14" s="48" t="str">
        <f t="shared" si="0"/>
        <v>Trail of the Pink Panther : Rating 4.8,  Released in 1982</v>
      </c>
    </row>
    <row r="15" spans="1:6" x14ac:dyDescent="0.35">
      <c r="A15" s="45" t="s">
        <v>526</v>
      </c>
      <c r="B15" s="45" t="s">
        <v>474</v>
      </c>
      <c r="C15" s="45">
        <v>3.8</v>
      </c>
      <c r="D15" s="45">
        <v>10164</v>
      </c>
      <c r="E15" s="45">
        <v>1982</v>
      </c>
      <c r="F15" s="48" t="str">
        <f t="shared" si="0"/>
        <v>Piranha II: The Spawning : Rating 3.8,  Released in 1982</v>
      </c>
    </row>
    <row r="16" spans="1:6" x14ac:dyDescent="0.35">
      <c r="A16" s="45" t="s">
        <v>2155</v>
      </c>
      <c r="B16" s="45" t="s">
        <v>804</v>
      </c>
      <c r="C16" s="45">
        <v>5.2</v>
      </c>
      <c r="D16" s="45">
        <v>63302</v>
      </c>
      <c r="E16" s="45">
        <v>1982</v>
      </c>
      <c r="F16" s="48" t="str">
        <f t="shared" si="0"/>
        <v>Halloween III: Season of the Witch : Rating 5.2,  Released in 1982</v>
      </c>
    </row>
    <row r="17" spans="1:6" x14ac:dyDescent="0.35">
      <c r="A17" s="45" t="s">
        <v>1050</v>
      </c>
      <c r="B17" s="45" t="s">
        <v>109</v>
      </c>
      <c r="C17" s="45">
        <v>4.5999999999999996</v>
      </c>
      <c r="D17" s="45">
        <v>39219</v>
      </c>
      <c r="E17" s="45">
        <v>1982</v>
      </c>
      <c r="F17" s="48" t="str">
        <f t="shared" si="0"/>
        <v>Grease 2 : Rating 4.6,  Released in 1982</v>
      </c>
    </row>
    <row r="18" spans="1:6" x14ac:dyDescent="0.35">
      <c r="A18" s="45" t="s">
        <v>1687</v>
      </c>
      <c r="B18" s="45" t="s">
        <v>178</v>
      </c>
      <c r="C18" s="45">
        <v>5</v>
      </c>
      <c r="D18" s="45">
        <v>76095</v>
      </c>
      <c r="E18" s="45">
        <v>1983</v>
      </c>
      <c r="F18" s="48" t="str">
        <f t="shared" si="0"/>
        <v>Superman III : Rating 5,  Released in 1983</v>
      </c>
    </row>
    <row r="19" spans="1:6" x14ac:dyDescent="0.35">
      <c r="A19" s="45" t="s">
        <v>1426</v>
      </c>
      <c r="B19" s="45" t="s">
        <v>158</v>
      </c>
      <c r="C19" s="45">
        <v>4.8</v>
      </c>
      <c r="D19" s="45">
        <v>17890</v>
      </c>
      <c r="E19" s="45">
        <v>1983</v>
      </c>
      <c r="F19" s="48" t="str">
        <f t="shared" si="0"/>
        <v>Staying Alive : Rating 4.8,  Released in 1983</v>
      </c>
    </row>
    <row r="20" spans="1:6" x14ac:dyDescent="0.35">
      <c r="A20" s="45" t="s">
        <v>1804</v>
      </c>
      <c r="B20" s="45" t="s">
        <v>11</v>
      </c>
      <c r="C20" s="45">
        <v>5</v>
      </c>
      <c r="D20" s="45">
        <v>12959</v>
      </c>
      <c r="E20" s="45">
        <v>1983</v>
      </c>
      <c r="F20" s="48" t="str">
        <f t="shared" si="0"/>
        <v>Porky's II: The Next Day : Rating 5,  Released in 1983</v>
      </c>
    </row>
    <row r="21" spans="1:6" x14ac:dyDescent="0.35">
      <c r="A21" s="45" t="s">
        <v>445</v>
      </c>
      <c r="B21" s="45" t="s">
        <v>264</v>
      </c>
      <c r="C21" s="45">
        <v>3.7</v>
      </c>
      <c r="D21" s="45">
        <v>49519</v>
      </c>
      <c r="E21" s="45">
        <v>1983</v>
      </c>
      <c r="F21" s="48" t="str">
        <f t="shared" si="0"/>
        <v>Jaws 3-D : Rating 3.7,  Released in 1983</v>
      </c>
    </row>
    <row r="22" spans="1:6" x14ac:dyDescent="0.35">
      <c r="A22" s="45" t="s">
        <v>869</v>
      </c>
      <c r="B22" s="45" t="s">
        <v>166</v>
      </c>
      <c r="C22" s="45">
        <v>4.4000000000000004</v>
      </c>
      <c r="D22" s="45">
        <v>24457</v>
      </c>
      <c r="E22" s="45">
        <v>1984</v>
      </c>
      <c r="F22" s="48" t="str">
        <f t="shared" si="0"/>
        <v>Supergirl : Rating 4.4,  Released in 1984</v>
      </c>
    </row>
    <row r="23" spans="1:6" x14ac:dyDescent="0.35">
      <c r="A23" s="45" t="s">
        <v>744</v>
      </c>
      <c r="B23" s="45" t="s">
        <v>270</v>
      </c>
      <c r="C23" s="45">
        <v>4.2</v>
      </c>
      <c r="D23" s="45">
        <v>10673</v>
      </c>
      <c r="E23" s="45">
        <v>1984</v>
      </c>
      <c r="F23" s="48" t="str">
        <f t="shared" si="0"/>
        <v>Ghoulies : Rating 4.2,  Released in 1984</v>
      </c>
    </row>
    <row r="24" spans="1:6" x14ac:dyDescent="0.35">
      <c r="A24" s="45" t="s">
        <v>1991</v>
      </c>
      <c r="B24" s="45" t="s">
        <v>843</v>
      </c>
      <c r="C24" s="45">
        <v>5.0999999999999996</v>
      </c>
      <c r="D24" s="45">
        <v>17772</v>
      </c>
      <c r="E24" s="45">
        <v>1984</v>
      </c>
      <c r="F24" s="48" t="str">
        <f t="shared" si="0"/>
        <v>Cannonball Run II : Rating 5.1,  Released in 1984</v>
      </c>
    </row>
    <row r="25" spans="1:6" x14ac:dyDescent="0.35">
      <c r="A25" s="45" t="s">
        <v>1893</v>
      </c>
      <c r="B25" s="45" t="s">
        <v>166</v>
      </c>
      <c r="C25" s="45">
        <v>5.0999999999999996</v>
      </c>
      <c r="D25" s="45">
        <v>45645</v>
      </c>
      <c r="E25" s="45">
        <v>1985</v>
      </c>
      <c r="F25" s="48" t="str">
        <f t="shared" si="0"/>
        <v>Red Sonja : Rating 5.1,  Released in 1985</v>
      </c>
    </row>
    <row r="26" spans="1:6" x14ac:dyDescent="0.35">
      <c r="A26" s="45" t="s">
        <v>1348</v>
      </c>
      <c r="B26" s="45" t="s">
        <v>175</v>
      </c>
      <c r="C26" s="45">
        <v>4.8</v>
      </c>
      <c r="D26" s="45">
        <v>45693</v>
      </c>
      <c r="E26" s="45">
        <v>1985</v>
      </c>
      <c r="F26" s="48" t="str">
        <f t="shared" si="0"/>
        <v>Friday the 13th: A New Beginning : Rating 4.8,  Released in 1985</v>
      </c>
    </row>
    <row r="27" spans="1:6" x14ac:dyDescent="0.35">
      <c r="A27" s="45" t="s">
        <v>1135</v>
      </c>
      <c r="B27" s="45" t="s">
        <v>270</v>
      </c>
      <c r="C27" s="45">
        <v>4.5999999999999996</v>
      </c>
      <c r="D27" s="45">
        <v>12050</v>
      </c>
      <c r="E27" s="45">
        <v>1986</v>
      </c>
      <c r="F27" s="48" t="str">
        <f t="shared" si="0"/>
        <v>Troll : Rating 4.6,  Released in 1986</v>
      </c>
    </row>
    <row r="28" spans="1:6" x14ac:dyDescent="0.35">
      <c r="A28" s="45" t="s">
        <v>1186</v>
      </c>
      <c r="B28" s="45" t="s">
        <v>178</v>
      </c>
      <c r="C28" s="45">
        <v>4.7</v>
      </c>
      <c r="D28" s="45">
        <v>51954</v>
      </c>
      <c r="E28" s="45">
        <v>1986</v>
      </c>
      <c r="F28" s="48" t="str">
        <f t="shared" si="0"/>
        <v>Howard the Duck : Rating 4.7,  Released in 1986</v>
      </c>
    </row>
    <row r="29" spans="1:6" x14ac:dyDescent="0.35">
      <c r="A29" s="45" t="s">
        <v>1147</v>
      </c>
      <c r="B29" s="45" t="s">
        <v>178</v>
      </c>
      <c r="C29" s="45">
        <v>4.5999999999999996</v>
      </c>
      <c r="D29" s="45">
        <v>10686</v>
      </c>
      <c r="E29" s="45">
        <v>1986</v>
      </c>
      <c r="F29" s="48" t="str">
        <f t="shared" si="0"/>
        <v>Allan Quatermain and the Lost City of Gold : Rating 4.6,  Released in 1986</v>
      </c>
    </row>
    <row r="30" spans="1:6" x14ac:dyDescent="0.35">
      <c r="A30" s="45" t="s">
        <v>1500</v>
      </c>
      <c r="B30" s="45" t="s">
        <v>1501</v>
      </c>
      <c r="C30" s="45">
        <v>4.8</v>
      </c>
      <c r="D30" s="45">
        <v>11300</v>
      </c>
      <c r="E30" s="45">
        <v>1987</v>
      </c>
      <c r="F30" s="48" t="str">
        <f t="shared" si="0"/>
        <v>Who's That Girl : Rating 4.8,  Released in 1987</v>
      </c>
    </row>
    <row r="31" spans="1:6" x14ac:dyDescent="0.35">
      <c r="A31" s="45" t="s">
        <v>392</v>
      </c>
      <c r="B31" s="45" t="s">
        <v>227</v>
      </c>
      <c r="C31" s="45">
        <v>3.5</v>
      </c>
      <c r="D31" s="45">
        <v>12688</v>
      </c>
      <c r="E31" s="45">
        <v>1987</v>
      </c>
      <c r="F31" s="48" t="str">
        <f t="shared" si="0"/>
        <v>Teen Wolf Too : Rating 3.5,  Released in 1987</v>
      </c>
    </row>
    <row r="32" spans="1:6" x14ac:dyDescent="0.35">
      <c r="A32" s="45" t="s">
        <v>443</v>
      </c>
      <c r="B32" s="45" t="s">
        <v>163</v>
      </c>
      <c r="C32" s="45">
        <v>3.7</v>
      </c>
      <c r="D32" s="45">
        <v>53834</v>
      </c>
      <c r="E32" s="45">
        <v>1987</v>
      </c>
      <c r="F32" s="48" t="str">
        <f t="shared" si="0"/>
        <v>Superman IV: The Quest for Peace : Rating 3.7,  Released in 1987</v>
      </c>
    </row>
    <row r="33" spans="1:6" x14ac:dyDescent="0.35">
      <c r="A33" s="45" t="s">
        <v>2009</v>
      </c>
      <c r="B33" s="45" t="s">
        <v>11</v>
      </c>
      <c r="C33" s="45">
        <v>5.0999999999999996</v>
      </c>
      <c r="D33" s="45">
        <v>15680</v>
      </c>
      <c r="E33" s="45">
        <v>1987</v>
      </c>
      <c r="F33" s="48" t="str">
        <f t="shared" si="0"/>
        <v>Revenge of the Nerds II: Nerds in Paradise : Rating 5.1,  Released in 1987</v>
      </c>
    </row>
    <row r="34" spans="1:6" x14ac:dyDescent="0.35">
      <c r="A34" s="45" t="s">
        <v>1705</v>
      </c>
      <c r="B34" s="45" t="s">
        <v>214</v>
      </c>
      <c r="C34" s="45">
        <v>5</v>
      </c>
      <c r="D34" s="45">
        <v>46568</v>
      </c>
      <c r="E34" s="45">
        <v>1987</v>
      </c>
      <c r="F34" s="48" t="str">
        <f t="shared" si="0"/>
        <v>Police Academy 4: Citizens on Patrol : Rating 5,  Released in 1987</v>
      </c>
    </row>
    <row r="35" spans="1:6" x14ac:dyDescent="0.35">
      <c r="A35" s="45" t="s">
        <v>263</v>
      </c>
      <c r="B35" s="45" t="s">
        <v>264</v>
      </c>
      <c r="C35" s="45">
        <v>3</v>
      </c>
      <c r="D35" s="45">
        <v>50698</v>
      </c>
      <c r="E35" s="45">
        <v>1987</v>
      </c>
      <c r="F35" s="48" t="str">
        <f t="shared" si="0"/>
        <v>Jaws: The Revenge : Rating 3,  Released in 1987</v>
      </c>
    </row>
    <row r="36" spans="1:6" x14ac:dyDescent="0.35">
      <c r="A36" s="45" t="s">
        <v>1295</v>
      </c>
      <c r="B36" s="45" t="s">
        <v>178</v>
      </c>
      <c r="C36" s="45">
        <v>4.7</v>
      </c>
      <c r="D36" s="45">
        <v>12298</v>
      </c>
      <c r="E36" s="45">
        <v>1987</v>
      </c>
      <c r="F36" s="48" t="str">
        <f t="shared" si="0"/>
        <v>Ishtar : Rating 4.7,  Released in 1987</v>
      </c>
    </row>
    <row r="37" spans="1:6" x14ac:dyDescent="0.35">
      <c r="A37" s="45" t="s">
        <v>1247</v>
      </c>
      <c r="B37" s="45" t="s">
        <v>82</v>
      </c>
      <c r="C37" s="45">
        <v>4.7</v>
      </c>
      <c r="D37" s="45">
        <v>21211</v>
      </c>
      <c r="E37" s="45">
        <v>1988</v>
      </c>
      <c r="F37" s="48" t="str">
        <f t="shared" si="0"/>
        <v>Poltergeist III : Rating 4.7,  Released in 1988</v>
      </c>
    </row>
    <row r="38" spans="1:6" x14ac:dyDescent="0.35">
      <c r="A38" s="45" t="s">
        <v>1052</v>
      </c>
      <c r="B38" s="45" t="s">
        <v>214</v>
      </c>
      <c r="C38" s="45">
        <v>4.5999999999999996</v>
      </c>
      <c r="D38" s="45">
        <v>39029</v>
      </c>
      <c r="E38" s="45">
        <v>1988</v>
      </c>
      <c r="F38" s="48" t="str">
        <f t="shared" si="0"/>
        <v>Police Academy 5: Assignment: Miami Beach : Rating 4.6,  Released in 1988</v>
      </c>
    </row>
    <row r="39" spans="1:6" x14ac:dyDescent="0.35">
      <c r="A39" s="45" t="s">
        <v>1498</v>
      </c>
      <c r="B39" s="45" t="s">
        <v>76</v>
      </c>
      <c r="C39" s="45">
        <v>4.8</v>
      </c>
      <c r="D39" s="45">
        <v>11365</v>
      </c>
      <c r="E39" s="45">
        <v>1988</v>
      </c>
      <c r="F39" s="48" t="str">
        <f t="shared" si="0"/>
        <v>Nekromantik : Rating 4.8,  Released in 1988</v>
      </c>
    </row>
    <row r="40" spans="1:6" x14ac:dyDescent="0.35">
      <c r="A40" s="45" t="s">
        <v>361</v>
      </c>
      <c r="B40" s="45" t="s">
        <v>217</v>
      </c>
      <c r="C40" s="45">
        <v>3.4</v>
      </c>
      <c r="D40" s="45">
        <v>14836</v>
      </c>
      <c r="E40" s="45">
        <v>1988</v>
      </c>
      <c r="F40" s="48" t="str">
        <f t="shared" si="0"/>
        <v>Mac and Me : Rating 3.4,  Released in 1988</v>
      </c>
    </row>
    <row r="41" spans="1:6" x14ac:dyDescent="0.35">
      <c r="A41" s="45" t="s">
        <v>136</v>
      </c>
      <c r="B41" s="45" t="s">
        <v>137</v>
      </c>
      <c r="C41" s="45">
        <v>2.2000000000000002</v>
      </c>
      <c r="D41" s="45">
        <v>12606</v>
      </c>
      <c r="E41" s="45">
        <v>1988</v>
      </c>
      <c r="F41" s="48" t="str">
        <f t="shared" si="0"/>
        <v>Hobgoblins : Rating 2.2,  Released in 1988</v>
      </c>
    </row>
    <row r="42" spans="1:6" x14ac:dyDescent="0.35">
      <c r="A42" s="45" t="s">
        <v>2175</v>
      </c>
      <c r="B42" s="45" t="s">
        <v>82</v>
      </c>
      <c r="C42" s="45">
        <v>5.2</v>
      </c>
      <c r="D42" s="45">
        <v>43943</v>
      </c>
      <c r="E42" s="45">
        <v>1988</v>
      </c>
      <c r="F42" s="48" t="str">
        <f t="shared" si="0"/>
        <v>Friday the 13th: The New Blood : Rating 5.2,  Released in 1988</v>
      </c>
    </row>
    <row r="43" spans="1:6" x14ac:dyDescent="0.35">
      <c r="A43" s="45" t="s">
        <v>501</v>
      </c>
      <c r="B43" s="45" t="s">
        <v>149</v>
      </c>
      <c r="C43" s="45">
        <v>3.8</v>
      </c>
      <c r="D43" s="45">
        <v>16700</v>
      </c>
      <c r="E43" s="45">
        <v>1988</v>
      </c>
      <c r="F43" s="48" t="str">
        <f t="shared" si="0"/>
        <v>Caddyshack II : Rating 3.8,  Released in 1988</v>
      </c>
    </row>
    <row r="44" spans="1:6" x14ac:dyDescent="0.35">
      <c r="A44" s="45" t="s">
        <v>2085</v>
      </c>
      <c r="B44" s="45" t="s">
        <v>1446</v>
      </c>
      <c r="C44" s="45">
        <v>5.0999999999999996</v>
      </c>
      <c r="D44" s="45">
        <v>10321</v>
      </c>
      <c r="E44" s="45">
        <v>1988</v>
      </c>
      <c r="F44" s="48" t="str">
        <f t="shared" si="0"/>
        <v>Big Top Pee-wee : Rating 5.1,  Released in 1988</v>
      </c>
    </row>
    <row r="45" spans="1:6" x14ac:dyDescent="0.35">
      <c r="A45" s="45" t="s">
        <v>999</v>
      </c>
      <c r="B45" s="45" t="s">
        <v>208</v>
      </c>
      <c r="C45" s="45">
        <v>4.5</v>
      </c>
      <c r="D45" s="45">
        <v>13136</v>
      </c>
      <c r="E45" s="45">
        <v>1989</v>
      </c>
      <c r="F45" s="48" t="str">
        <f t="shared" si="0"/>
        <v>Wild Orchid : Rating 4.5,  Released in 1989</v>
      </c>
    </row>
    <row r="46" spans="1:6" x14ac:dyDescent="0.35">
      <c r="A46" s="45" t="s">
        <v>1942</v>
      </c>
      <c r="B46" s="45" t="s">
        <v>1075</v>
      </c>
      <c r="C46" s="45">
        <v>5.0999999999999996</v>
      </c>
      <c r="D46" s="45">
        <v>25219</v>
      </c>
      <c r="E46" s="45">
        <v>1989</v>
      </c>
      <c r="F46" s="48" t="str">
        <f t="shared" si="0"/>
        <v>The Fly II : Rating 5.1,  Released in 1989</v>
      </c>
    </row>
    <row r="47" spans="1:6" x14ac:dyDescent="0.35">
      <c r="A47" s="45" t="s">
        <v>852</v>
      </c>
      <c r="B47" s="45" t="s">
        <v>214</v>
      </c>
      <c r="C47" s="45">
        <v>4.4000000000000004</v>
      </c>
      <c r="D47" s="45">
        <v>33689</v>
      </c>
      <c r="E47" s="45">
        <v>1989</v>
      </c>
      <c r="F47" s="48" t="str">
        <f t="shared" si="0"/>
        <v>Police Academy 6: City Under Siege : Rating 4.4,  Released in 1989</v>
      </c>
    </row>
    <row r="48" spans="1:6" x14ac:dyDescent="0.35">
      <c r="A48" s="45" t="s">
        <v>1558</v>
      </c>
      <c r="B48" s="45" t="s">
        <v>82</v>
      </c>
      <c r="C48" s="45">
        <v>4.9000000000000004</v>
      </c>
      <c r="D48" s="45">
        <v>48639</v>
      </c>
      <c r="E48" s="45">
        <v>1989</v>
      </c>
      <c r="F48" s="48" t="str">
        <f t="shared" si="0"/>
        <v>Halloween 5: The Revenge of Michael Myers : Rating 4.9,  Released in 1989</v>
      </c>
    </row>
    <row r="49" spans="1:6" x14ac:dyDescent="0.35">
      <c r="A49" s="45" t="s">
        <v>95</v>
      </c>
      <c r="B49" s="45" t="s">
        <v>11</v>
      </c>
      <c r="C49" s="45">
        <v>1.8</v>
      </c>
      <c r="D49" s="45">
        <v>14728</v>
      </c>
      <c r="E49" s="45">
        <v>1989</v>
      </c>
      <c r="F49" s="48" t="str">
        <f t="shared" si="0"/>
        <v>Going Overboard : Rating 1.8,  Released in 1989</v>
      </c>
    </row>
    <row r="50" spans="1:6" x14ac:dyDescent="0.35">
      <c r="A50" s="45" t="s">
        <v>946</v>
      </c>
      <c r="B50" s="45" t="s">
        <v>264</v>
      </c>
      <c r="C50" s="45">
        <v>4.5</v>
      </c>
      <c r="D50" s="45">
        <v>44694</v>
      </c>
      <c r="E50" s="45">
        <v>1989</v>
      </c>
      <c r="F50" s="48" t="str">
        <f t="shared" si="0"/>
        <v>Friday the 13th Part VIII: Jason Takes Manhattan : Rating 4.5,  Released in 1989</v>
      </c>
    </row>
    <row r="51" spans="1:6" x14ac:dyDescent="0.35">
      <c r="A51" s="45" t="s">
        <v>1718</v>
      </c>
      <c r="B51" s="45" t="s">
        <v>143</v>
      </c>
      <c r="C51" s="45">
        <v>5</v>
      </c>
      <c r="D51" s="45">
        <v>35093</v>
      </c>
      <c r="E51" s="45">
        <v>1989</v>
      </c>
      <c r="F51" s="48" t="str">
        <f t="shared" si="0"/>
        <v>Cyborg : Rating 5,  Released in 1989</v>
      </c>
    </row>
    <row r="52" spans="1:6" x14ac:dyDescent="0.35">
      <c r="A52" s="45" t="s">
        <v>1695</v>
      </c>
      <c r="B52" s="45" t="s">
        <v>859</v>
      </c>
      <c r="C52" s="45">
        <v>5</v>
      </c>
      <c r="D52" s="45">
        <v>52274</v>
      </c>
      <c r="E52" s="45">
        <v>1989</v>
      </c>
      <c r="F52" s="48" t="str">
        <f t="shared" si="0"/>
        <v>A Nightmare on Elm Street: The Dream Child : Rating 5,  Released in 1989</v>
      </c>
    </row>
    <row r="53" spans="1:6" x14ac:dyDescent="0.35">
      <c r="A53" s="45" t="s">
        <v>269</v>
      </c>
      <c r="B53" s="45" t="s">
        <v>270</v>
      </c>
      <c r="C53" s="45">
        <v>3</v>
      </c>
      <c r="D53" s="45">
        <v>35335</v>
      </c>
      <c r="E53" s="45">
        <v>1990</v>
      </c>
      <c r="F53" s="48" t="str">
        <f t="shared" si="0"/>
        <v>Troll 2 : Rating 3,  Released in 1990</v>
      </c>
    </row>
    <row r="54" spans="1:6" x14ac:dyDescent="0.35">
      <c r="A54" s="45" t="s">
        <v>1934</v>
      </c>
      <c r="B54" s="45" t="s">
        <v>762</v>
      </c>
      <c r="C54" s="45">
        <v>5.0999999999999996</v>
      </c>
      <c r="D54" s="45">
        <v>27917</v>
      </c>
      <c r="E54" s="45">
        <v>1990</v>
      </c>
      <c r="F54" s="48" t="str">
        <f t="shared" si="0"/>
        <v>The NeverEnding Story II: The Next Chapter : Rating 5.1,  Released in 1990</v>
      </c>
    </row>
    <row r="55" spans="1:6" x14ac:dyDescent="0.35">
      <c r="A55" s="45" t="s">
        <v>1520</v>
      </c>
      <c r="B55" s="45" t="s">
        <v>270</v>
      </c>
      <c r="C55" s="45">
        <v>4.8</v>
      </c>
      <c r="D55" s="45">
        <v>10133</v>
      </c>
      <c r="E55" s="45">
        <v>1990</v>
      </c>
      <c r="F55" s="48" t="str">
        <f t="shared" si="0"/>
        <v>Repossessed : Rating 4.8,  Released in 1990</v>
      </c>
    </row>
    <row r="56" spans="1:6" x14ac:dyDescent="0.35">
      <c r="A56" s="45" t="s">
        <v>1190</v>
      </c>
      <c r="B56" s="45" t="s">
        <v>455</v>
      </c>
      <c r="C56" s="45">
        <v>4.7</v>
      </c>
      <c r="D56" s="45">
        <v>49375</v>
      </c>
      <c r="E56" s="45">
        <v>1990</v>
      </c>
      <c r="F56" s="48" t="str">
        <f t="shared" si="0"/>
        <v>Look Who's Talking Too : Rating 4.7,  Released in 1990</v>
      </c>
    </row>
    <row r="57" spans="1:6" x14ac:dyDescent="0.35">
      <c r="A57" s="45" t="s">
        <v>1768</v>
      </c>
      <c r="B57" s="45" t="s">
        <v>82</v>
      </c>
      <c r="C57" s="45">
        <v>5</v>
      </c>
      <c r="D57" s="45">
        <v>20034</v>
      </c>
      <c r="E57" s="45">
        <v>1990</v>
      </c>
      <c r="F57" s="48" t="str">
        <f t="shared" si="0"/>
        <v>Leatherface: Texas Chainsaw Massacre III : Rating 5,  Released in 1990</v>
      </c>
    </row>
    <row r="58" spans="1:6" x14ac:dyDescent="0.35">
      <c r="A58" s="45" t="s">
        <v>1802</v>
      </c>
      <c r="B58" s="45" t="s">
        <v>76</v>
      </c>
      <c r="C58" s="45">
        <v>5</v>
      </c>
      <c r="D58" s="45">
        <v>13053</v>
      </c>
      <c r="E58" s="45">
        <v>1990</v>
      </c>
      <c r="F58" s="48" t="str">
        <f t="shared" si="0"/>
        <v>Graveyard Shift : Rating 5,  Released in 1990</v>
      </c>
    </row>
    <row r="59" spans="1:6" x14ac:dyDescent="0.35">
      <c r="A59" s="45" t="s">
        <v>303</v>
      </c>
      <c r="B59" s="45" t="s">
        <v>163</v>
      </c>
      <c r="C59" s="45">
        <v>3.2</v>
      </c>
      <c r="D59" s="45">
        <v>15389</v>
      </c>
      <c r="E59" s="45">
        <v>1990</v>
      </c>
      <c r="F59" s="48" t="str">
        <f t="shared" si="0"/>
        <v>Captain America : Rating 3.2,  Released in 1990</v>
      </c>
    </row>
    <row r="60" spans="1:6" x14ac:dyDescent="0.35">
      <c r="A60" s="45" t="s">
        <v>1139</v>
      </c>
      <c r="B60" s="45" t="s">
        <v>62</v>
      </c>
      <c r="C60" s="45">
        <v>4.5999999999999996</v>
      </c>
      <c r="D60" s="45">
        <v>11373</v>
      </c>
      <c r="E60" s="45">
        <v>1991</v>
      </c>
      <c r="F60" s="48" t="str">
        <f t="shared" si="0"/>
        <v>Suburban Commando : Rating 4.6,  Released in 1991</v>
      </c>
    </row>
    <row r="61" spans="1:6" x14ac:dyDescent="0.35">
      <c r="A61" s="45" t="s">
        <v>1151</v>
      </c>
      <c r="B61" s="45" t="s">
        <v>101</v>
      </c>
      <c r="C61" s="45">
        <v>4.5999999999999996</v>
      </c>
      <c r="D61" s="45">
        <v>10475</v>
      </c>
      <c r="E61" s="45">
        <v>1991</v>
      </c>
      <c r="F61" s="48" t="str">
        <f t="shared" si="0"/>
        <v>Samurai Cop : Rating 4.6,  Released in 1991</v>
      </c>
    </row>
    <row r="62" spans="1:6" x14ac:dyDescent="0.35">
      <c r="A62" s="45" t="s">
        <v>1595</v>
      </c>
      <c r="B62" s="45" t="s">
        <v>44</v>
      </c>
      <c r="C62" s="45">
        <v>4.9000000000000004</v>
      </c>
      <c r="D62" s="45">
        <v>24124</v>
      </c>
      <c r="E62" s="45">
        <v>1991</v>
      </c>
      <c r="F62" s="48" t="str">
        <f t="shared" si="0"/>
        <v>Problem Child 2 : Rating 4.9,  Released in 1991</v>
      </c>
    </row>
    <row r="63" spans="1:6" x14ac:dyDescent="0.35">
      <c r="A63" s="45" t="s">
        <v>1932</v>
      </c>
      <c r="B63" s="45" t="s">
        <v>11</v>
      </c>
      <c r="C63" s="45">
        <v>5.0999999999999996</v>
      </c>
      <c r="D63" s="45">
        <v>28077</v>
      </c>
      <c r="E63" s="45">
        <v>1991</v>
      </c>
      <c r="F63" s="48" t="str">
        <f t="shared" si="0"/>
        <v>Nothing But Trouble : Rating 5.1,  Released in 1991</v>
      </c>
    </row>
    <row r="64" spans="1:6" x14ac:dyDescent="0.35">
      <c r="A64" s="45" t="s">
        <v>695</v>
      </c>
      <c r="B64" s="45" t="s">
        <v>166</v>
      </c>
      <c r="C64" s="45">
        <v>4.2</v>
      </c>
      <c r="D64" s="45">
        <v>48638</v>
      </c>
      <c r="E64" s="45">
        <v>1991</v>
      </c>
      <c r="F64" s="48" t="str">
        <f t="shared" si="0"/>
        <v>Highlander II: The Quickening : Rating 4.2,  Released in 1991</v>
      </c>
    </row>
    <row r="65" spans="1:6" x14ac:dyDescent="0.35">
      <c r="A65" s="45" t="s">
        <v>1182</v>
      </c>
      <c r="B65" s="45" t="s">
        <v>859</v>
      </c>
      <c r="C65" s="45">
        <v>4.7</v>
      </c>
      <c r="D65" s="45">
        <v>52423</v>
      </c>
      <c r="E65" s="45">
        <v>1991</v>
      </c>
      <c r="F65" s="48" t="str">
        <f t="shared" si="0"/>
        <v>Freddy's Dead: The Final Nightmare : Rating 4.7,  Released in 1991</v>
      </c>
    </row>
    <row r="66" spans="1:6" x14ac:dyDescent="0.35">
      <c r="A66" s="45" t="s">
        <v>997</v>
      </c>
      <c r="B66" s="45" t="s">
        <v>137</v>
      </c>
      <c r="C66" s="45">
        <v>4.5</v>
      </c>
      <c r="D66" s="45">
        <v>13577</v>
      </c>
      <c r="E66" s="45">
        <v>1991</v>
      </c>
      <c r="F66" s="48" t="str">
        <f t="shared" ref="F66:F129" si="1">_xlfn.CONCAT(TRIM(A66)," ", ": Rating"," ",C66,",","  ","Released in", " ",E66)</f>
        <v>Critters 3 : Rating 4.5,  Released in 1991</v>
      </c>
    </row>
    <row r="67" spans="1:6" x14ac:dyDescent="0.35">
      <c r="A67" s="45" t="s">
        <v>260</v>
      </c>
      <c r="B67" s="45" t="s">
        <v>261</v>
      </c>
      <c r="C67" s="45">
        <v>2.9</v>
      </c>
      <c r="D67" s="45">
        <v>10570</v>
      </c>
      <c r="E67" s="45">
        <v>1991</v>
      </c>
      <c r="F67" s="48" t="str">
        <f t="shared" si="1"/>
        <v>Cool as Ice : Rating 2.9,  Released in 1991</v>
      </c>
    </row>
    <row r="68" spans="1:6" x14ac:dyDescent="0.35">
      <c r="A68" s="45" t="s">
        <v>2167</v>
      </c>
      <c r="B68" s="45" t="s">
        <v>82</v>
      </c>
      <c r="C68" s="45">
        <v>5.2</v>
      </c>
      <c r="D68" s="45">
        <v>47876</v>
      </c>
      <c r="E68" s="45">
        <v>1991</v>
      </c>
      <c r="F68" s="48" t="str">
        <f t="shared" si="1"/>
        <v>Child's Play 3 : Rating 5.2,  Released in 1991</v>
      </c>
    </row>
    <row r="69" spans="1:6" x14ac:dyDescent="0.35">
      <c r="A69" s="45" t="s">
        <v>1918</v>
      </c>
      <c r="B69" s="45" t="s">
        <v>549</v>
      </c>
      <c r="C69" s="45">
        <v>5.0999999999999996</v>
      </c>
      <c r="D69" s="45">
        <v>34036</v>
      </c>
      <c r="E69" s="45">
        <v>1992</v>
      </c>
      <c r="F69" s="48" t="str">
        <f t="shared" si="1"/>
        <v>Toys : Rating 5.1,  Released in 1992</v>
      </c>
    </row>
    <row r="70" spans="1:6" x14ac:dyDescent="0.35">
      <c r="A70" s="45" t="s">
        <v>842</v>
      </c>
      <c r="B70" s="45" t="s">
        <v>843</v>
      </c>
      <c r="C70" s="45">
        <v>4.4000000000000004</v>
      </c>
      <c r="D70" s="45">
        <v>45378</v>
      </c>
      <c r="E70" s="45">
        <v>1992</v>
      </c>
      <c r="F70" s="48" t="str">
        <f t="shared" si="1"/>
        <v>Stop! Or My Mom Will Shoot : Rating 4.4,  Released in 1992</v>
      </c>
    </row>
    <row r="71" spans="1:6" x14ac:dyDescent="0.35">
      <c r="A71" s="45" t="s">
        <v>1597</v>
      </c>
      <c r="B71" s="45" t="s">
        <v>639</v>
      </c>
      <c r="C71" s="45">
        <v>4.9000000000000004</v>
      </c>
      <c r="D71" s="45">
        <v>23991</v>
      </c>
      <c r="E71" s="45">
        <v>1992</v>
      </c>
      <c r="F71" s="48" t="str">
        <f t="shared" si="1"/>
        <v>Pet Sematary II : Rating 4.9,  Released in 1992</v>
      </c>
    </row>
    <row r="72" spans="1:6" x14ac:dyDescent="0.35">
      <c r="A72" s="45" t="s">
        <v>1562</v>
      </c>
      <c r="B72" s="45" t="s">
        <v>217</v>
      </c>
      <c r="C72" s="45">
        <v>4.9000000000000004</v>
      </c>
      <c r="D72" s="45">
        <v>47571</v>
      </c>
      <c r="E72" s="45">
        <v>1992</v>
      </c>
      <c r="F72" s="48" t="str">
        <f t="shared" si="1"/>
        <v>Honey, I Blew Up the Kid : Rating 4.9,  Released in 1992</v>
      </c>
    </row>
    <row r="73" spans="1:6" x14ac:dyDescent="0.35">
      <c r="A73" s="45" t="s">
        <v>1392</v>
      </c>
      <c r="B73" s="45" t="s">
        <v>87</v>
      </c>
      <c r="C73" s="45">
        <v>4.8</v>
      </c>
      <c r="D73" s="45">
        <v>25429</v>
      </c>
      <c r="E73" s="45">
        <v>1992</v>
      </c>
      <c r="F73" s="48" t="str">
        <f t="shared" si="1"/>
        <v>Cool World : Rating 4.8,  Released in 1992</v>
      </c>
    </row>
    <row r="74" spans="1:6" x14ac:dyDescent="0.35">
      <c r="A74" s="45" t="s">
        <v>1459</v>
      </c>
      <c r="B74" s="45" t="s">
        <v>152</v>
      </c>
      <c r="C74" s="45">
        <v>4.8</v>
      </c>
      <c r="D74" s="45">
        <v>14707</v>
      </c>
      <c r="E74" s="45">
        <v>1993</v>
      </c>
      <c r="F74" s="48" t="str">
        <f t="shared" si="1"/>
        <v>Weekend at Bernie's II : Rating 4.8,  Released in 1993</v>
      </c>
    </row>
    <row r="75" spans="1:6" x14ac:dyDescent="0.35">
      <c r="A75" s="45" t="s">
        <v>1969</v>
      </c>
      <c r="B75" s="45" t="s">
        <v>44</v>
      </c>
      <c r="C75" s="45">
        <v>5.0999999999999996</v>
      </c>
      <c r="D75" s="45">
        <v>20183</v>
      </c>
      <c r="E75" s="45">
        <v>1993</v>
      </c>
      <c r="F75" s="48" t="str">
        <f t="shared" si="1"/>
        <v>The Beverly Hillbillies : Rating 5.1,  Released in 1993</v>
      </c>
    </row>
    <row r="76" spans="1:6" x14ac:dyDescent="0.35">
      <c r="A76" s="45" t="s">
        <v>1364</v>
      </c>
      <c r="B76" s="45" t="s">
        <v>178</v>
      </c>
      <c r="C76" s="45">
        <v>4.8</v>
      </c>
      <c r="D76" s="45">
        <v>37029</v>
      </c>
      <c r="E76" s="45">
        <v>1993</v>
      </c>
      <c r="F76" s="48" t="str">
        <f t="shared" si="1"/>
        <v>Teenage Mutant Ninja Turtles III : Rating 4.8,  Released in 1993</v>
      </c>
    </row>
    <row r="77" spans="1:6" x14ac:dyDescent="0.35">
      <c r="A77" s="45" t="s">
        <v>688</v>
      </c>
      <c r="B77" s="45" t="s">
        <v>217</v>
      </c>
      <c r="C77" s="45">
        <v>4.2</v>
      </c>
      <c r="D77" s="45">
        <v>64107</v>
      </c>
      <c r="E77" s="45">
        <v>1993</v>
      </c>
      <c r="F77" s="48" t="str">
        <f t="shared" si="1"/>
        <v>Super Mario Bros. : Rating 4.2,  Released in 1993</v>
      </c>
    </row>
    <row r="78" spans="1:6" x14ac:dyDescent="0.35">
      <c r="A78" s="45" t="s">
        <v>1916</v>
      </c>
      <c r="B78" s="45" t="s">
        <v>31</v>
      </c>
      <c r="C78" s="45">
        <v>5.0999999999999996</v>
      </c>
      <c r="D78" s="45">
        <v>34730</v>
      </c>
      <c r="E78" s="45">
        <v>1993</v>
      </c>
      <c r="F78" s="48" t="str">
        <f t="shared" si="1"/>
        <v>Sliver : Rating 5.1,  Released in 1993</v>
      </c>
    </row>
    <row r="79" spans="1:6" x14ac:dyDescent="0.35">
      <c r="A79" s="45" t="s">
        <v>690</v>
      </c>
      <c r="B79" s="45" t="s">
        <v>691</v>
      </c>
      <c r="C79" s="45">
        <v>4.2</v>
      </c>
      <c r="D79" s="45">
        <v>55420</v>
      </c>
      <c r="E79" s="45">
        <v>1993</v>
      </c>
      <c r="F79" s="48" t="str">
        <f t="shared" si="1"/>
        <v>RoboCop 3 : Rating 4.2,  Released in 1993</v>
      </c>
    </row>
    <row r="80" spans="1:6" x14ac:dyDescent="0.35">
      <c r="A80" s="45" t="s">
        <v>523</v>
      </c>
      <c r="B80" s="45" t="s">
        <v>524</v>
      </c>
      <c r="C80" s="45">
        <v>3.8</v>
      </c>
      <c r="D80" s="45">
        <v>10355</v>
      </c>
      <c r="E80" s="45">
        <v>1993</v>
      </c>
      <c r="F80" s="48" t="str">
        <f t="shared" si="1"/>
        <v>Mr. Nanny : Rating 3.8,  Released in 1993</v>
      </c>
    </row>
    <row r="81" spans="1:6" x14ac:dyDescent="0.35">
      <c r="A81" s="45" t="s">
        <v>1989</v>
      </c>
      <c r="B81" s="45" t="s">
        <v>11</v>
      </c>
      <c r="C81" s="45">
        <v>5.0999999999999996</v>
      </c>
      <c r="D81" s="45">
        <v>18057</v>
      </c>
      <c r="E81" s="45">
        <v>1993</v>
      </c>
      <c r="F81" s="48" t="str">
        <f t="shared" si="1"/>
        <v>Made in America : Rating 5.1,  Released in 1993</v>
      </c>
    </row>
    <row r="82" spans="1:6" x14ac:dyDescent="0.35">
      <c r="A82" s="45" t="s">
        <v>854</v>
      </c>
      <c r="B82" s="45" t="s">
        <v>455</v>
      </c>
      <c r="C82" s="45">
        <v>4.4000000000000004</v>
      </c>
      <c r="D82" s="45">
        <v>31357</v>
      </c>
      <c r="E82" s="45">
        <v>1993</v>
      </c>
      <c r="F82" s="48" t="str">
        <f t="shared" si="1"/>
        <v>Look Who's Talking Now : Rating 4.4,  Released in 1993</v>
      </c>
    </row>
    <row r="83" spans="1:6" x14ac:dyDescent="0.35">
      <c r="A83" s="45" t="s">
        <v>1376</v>
      </c>
      <c r="B83" s="45" t="s">
        <v>270</v>
      </c>
      <c r="C83" s="45">
        <v>4.8</v>
      </c>
      <c r="D83" s="45">
        <v>31239</v>
      </c>
      <c r="E83" s="45">
        <v>1993</v>
      </c>
      <c r="F83" s="48" t="str">
        <f t="shared" si="1"/>
        <v>Leprechaun : Rating 4.8,  Released in 1993</v>
      </c>
    </row>
    <row r="84" spans="1:6" x14ac:dyDescent="0.35">
      <c r="A84" s="45" t="s">
        <v>638</v>
      </c>
      <c r="B84" s="45" t="s">
        <v>639</v>
      </c>
      <c r="C84" s="45">
        <v>4.0999999999999996</v>
      </c>
      <c r="D84" s="45">
        <v>38080</v>
      </c>
      <c r="E84" s="45">
        <v>1993</v>
      </c>
      <c r="F84" s="48" t="str">
        <f t="shared" si="1"/>
        <v>Jason Goes to Hell : Rating 4.1,  Released in 1993</v>
      </c>
    </row>
    <row r="85" spans="1:6" x14ac:dyDescent="0.35">
      <c r="A85" s="45" t="s">
        <v>1287</v>
      </c>
      <c r="B85" s="45" t="s">
        <v>933</v>
      </c>
      <c r="C85" s="45">
        <v>4.7</v>
      </c>
      <c r="D85" s="45">
        <v>13343</v>
      </c>
      <c r="E85" s="45">
        <v>1993</v>
      </c>
      <c r="F85" s="48" t="str">
        <f t="shared" si="1"/>
        <v>Boxing Helena : Rating 4.7,  Released in 1993</v>
      </c>
    </row>
    <row r="86" spans="1:6" x14ac:dyDescent="0.35">
      <c r="A86" s="45" t="s">
        <v>1110</v>
      </c>
      <c r="B86" s="45" t="s">
        <v>31</v>
      </c>
      <c r="C86" s="45">
        <v>4.5999999999999996</v>
      </c>
      <c r="D86" s="45">
        <v>16708</v>
      </c>
      <c r="E86" s="45">
        <v>1993</v>
      </c>
      <c r="F86" s="48" t="str">
        <f t="shared" si="1"/>
        <v>Body of Evidence : Rating 4.6,  Released in 1993</v>
      </c>
    </row>
    <row r="87" spans="1:6" x14ac:dyDescent="0.35">
      <c r="A87" s="45" t="s">
        <v>1740</v>
      </c>
      <c r="B87" s="45" t="s">
        <v>455</v>
      </c>
      <c r="C87" s="45">
        <v>5</v>
      </c>
      <c r="D87" s="45">
        <v>30157</v>
      </c>
      <c r="E87" s="45">
        <v>1993</v>
      </c>
      <c r="F87" s="48" t="str">
        <f t="shared" si="1"/>
        <v>Beethoven's 2nd : Rating 5,  Released in 1993</v>
      </c>
    </row>
    <row r="88" spans="1:6" x14ac:dyDescent="0.35">
      <c r="A88" s="45" t="s">
        <v>1058</v>
      </c>
      <c r="B88" s="45" t="s">
        <v>1059</v>
      </c>
      <c r="C88" s="45">
        <v>4.5999999999999996</v>
      </c>
      <c r="D88" s="45">
        <v>34690</v>
      </c>
      <c r="E88" s="45">
        <v>1994</v>
      </c>
      <c r="F88" s="48" t="str">
        <f t="shared" si="1"/>
        <v>The Next Karate Kid : Rating 4.6,  Released in 1994</v>
      </c>
    </row>
    <row r="89" spans="1:6" x14ac:dyDescent="0.35">
      <c r="A89" s="45" t="s">
        <v>310</v>
      </c>
      <c r="B89" s="45" t="s">
        <v>217</v>
      </c>
      <c r="C89" s="45">
        <v>3.2</v>
      </c>
      <c r="D89" s="45">
        <v>12633</v>
      </c>
      <c r="E89" s="45">
        <v>1994</v>
      </c>
      <c r="F89" s="48" t="str">
        <f t="shared" si="1"/>
        <v>The NeverEnding Story III : Rating 3.2,  Released in 1994</v>
      </c>
    </row>
    <row r="90" spans="1:6" x14ac:dyDescent="0.35">
      <c r="A90" s="45" t="s">
        <v>1677</v>
      </c>
      <c r="B90" s="45" t="s">
        <v>140</v>
      </c>
      <c r="C90" s="45">
        <v>5</v>
      </c>
      <c r="D90" s="45">
        <v>87941</v>
      </c>
      <c r="E90" s="45">
        <v>1994</v>
      </c>
      <c r="F90" s="48" t="str">
        <f t="shared" si="1"/>
        <v>The Flintstones : Rating 5,  Released in 1994</v>
      </c>
    </row>
    <row r="91" spans="1:6" x14ac:dyDescent="0.35">
      <c r="A91" s="45" t="s">
        <v>348</v>
      </c>
      <c r="B91" s="45" t="s">
        <v>349</v>
      </c>
      <c r="C91" s="45">
        <v>3.4</v>
      </c>
      <c r="D91" s="45">
        <v>26805</v>
      </c>
      <c r="E91" s="45">
        <v>1994</v>
      </c>
      <c r="F91" s="48" t="str">
        <f t="shared" si="1"/>
        <v>Texas Chainsaw Massacre: The Next Generation : Rating 3.4,  Released in 1994</v>
      </c>
    </row>
    <row r="92" spans="1:6" x14ac:dyDescent="0.35">
      <c r="A92" s="45" t="s">
        <v>636</v>
      </c>
      <c r="B92" s="45" t="s">
        <v>178</v>
      </c>
      <c r="C92" s="45">
        <v>4.0999999999999996</v>
      </c>
      <c r="D92" s="45">
        <v>76574</v>
      </c>
      <c r="E92" s="45">
        <v>1994</v>
      </c>
      <c r="F92" s="48" t="str">
        <f t="shared" si="1"/>
        <v>Street Fighter : Rating 4.1,  Released in 1994</v>
      </c>
    </row>
    <row r="93" spans="1:6" x14ac:dyDescent="0.35">
      <c r="A93" s="45" t="s">
        <v>369</v>
      </c>
      <c r="B93" s="45" t="s">
        <v>214</v>
      </c>
      <c r="C93" s="45">
        <v>3.5</v>
      </c>
      <c r="D93" s="45">
        <v>36715</v>
      </c>
      <c r="E93" s="45">
        <v>1994</v>
      </c>
      <c r="F93" s="48" t="str">
        <f t="shared" si="1"/>
        <v>Police Academy: Mission to Moscow : Rating 3.5,  Released in 1994</v>
      </c>
    </row>
    <row r="94" spans="1:6" x14ac:dyDescent="0.35">
      <c r="A94" s="45" t="s">
        <v>1069</v>
      </c>
      <c r="B94" s="45" t="s">
        <v>134</v>
      </c>
      <c r="C94" s="45">
        <v>4.5999999999999996</v>
      </c>
      <c r="D94" s="45">
        <v>25861</v>
      </c>
      <c r="E94" s="45">
        <v>1994</v>
      </c>
      <c r="F94" s="48" t="str">
        <f t="shared" si="1"/>
        <v>On Deadly Ground : Rating 4.6,  Released in 1994</v>
      </c>
    </row>
    <row r="95" spans="1:6" x14ac:dyDescent="0.35">
      <c r="A95" s="45" t="s">
        <v>989</v>
      </c>
      <c r="B95" s="45" t="s">
        <v>549</v>
      </c>
      <c r="C95" s="45">
        <v>4.5</v>
      </c>
      <c r="D95" s="45">
        <v>14962</v>
      </c>
      <c r="E95" s="45">
        <v>1994</v>
      </c>
      <c r="F95" s="48" t="str">
        <f t="shared" si="1"/>
        <v>North : Rating 4.5,  Released in 1994</v>
      </c>
    </row>
    <row r="96" spans="1:6" x14ac:dyDescent="0.35">
      <c r="A96" s="45" t="s">
        <v>1133</v>
      </c>
      <c r="B96" s="45" t="s">
        <v>270</v>
      </c>
      <c r="C96" s="45">
        <v>4.5999999999999996</v>
      </c>
      <c r="D96" s="45">
        <v>12193</v>
      </c>
      <c r="E96" s="45">
        <v>1994</v>
      </c>
      <c r="F96" s="48" t="str">
        <f t="shared" si="1"/>
        <v>Leprechaun 2 : Rating 4.6,  Released in 1994</v>
      </c>
    </row>
    <row r="97" spans="1:6" x14ac:dyDescent="0.35">
      <c r="A97" s="45" t="s">
        <v>1168</v>
      </c>
      <c r="B97" s="45" t="s">
        <v>944</v>
      </c>
      <c r="C97" s="45">
        <v>4.7</v>
      </c>
      <c r="D97" s="45">
        <v>74118</v>
      </c>
      <c r="E97" s="45">
        <v>1994</v>
      </c>
      <c r="F97" s="48" t="str">
        <f t="shared" si="1"/>
        <v>Junior : Rating 4.7,  Released in 1994</v>
      </c>
    </row>
    <row r="98" spans="1:6" x14ac:dyDescent="0.35">
      <c r="A98" s="45" t="s">
        <v>240</v>
      </c>
      <c r="B98" s="45" t="s">
        <v>11</v>
      </c>
      <c r="C98" s="45">
        <v>2.8</v>
      </c>
      <c r="D98" s="45">
        <v>10574</v>
      </c>
      <c r="E98" s="45">
        <v>1994</v>
      </c>
      <c r="F98" s="48" t="str">
        <f t="shared" si="1"/>
        <v>It's Pat: The Movie : Rating 2.8,  Released in 1994</v>
      </c>
    </row>
    <row r="99" spans="1:6" x14ac:dyDescent="0.35">
      <c r="A99" s="45" t="s">
        <v>1788</v>
      </c>
      <c r="B99" s="45" t="s">
        <v>1789</v>
      </c>
      <c r="C99" s="45">
        <v>5</v>
      </c>
      <c r="D99" s="45">
        <v>14933</v>
      </c>
      <c r="E99" s="45">
        <v>1994</v>
      </c>
      <c r="F99" s="48" t="str">
        <f t="shared" si="1"/>
        <v>In the Army Now : Rating 5,  Released in 1994</v>
      </c>
    </row>
    <row r="100" spans="1:6" x14ac:dyDescent="0.35">
      <c r="A100" s="45" t="s">
        <v>975</v>
      </c>
      <c r="B100" s="45" t="s">
        <v>976</v>
      </c>
      <c r="C100" s="45">
        <v>4.5</v>
      </c>
      <c r="D100" s="45">
        <v>22416</v>
      </c>
      <c r="E100" s="45">
        <v>1994</v>
      </c>
      <c r="F100" s="48" t="str">
        <f t="shared" si="1"/>
        <v>Highlander: The Final Dimension : Rating 4.5,  Released in 1994</v>
      </c>
    </row>
    <row r="101" spans="1:6" x14ac:dyDescent="0.35">
      <c r="A101" s="45" t="s">
        <v>573</v>
      </c>
      <c r="B101" s="45" t="s">
        <v>178</v>
      </c>
      <c r="C101" s="45">
        <v>3.9</v>
      </c>
      <c r="D101" s="45">
        <v>14096</v>
      </c>
      <c r="E101" s="45">
        <v>1994</v>
      </c>
      <c r="F101" s="48" t="str">
        <f t="shared" si="1"/>
        <v>Double Dragon : Rating 3.9,  Released in 1994</v>
      </c>
    </row>
    <row r="102" spans="1:6" x14ac:dyDescent="0.35">
      <c r="A102" s="45" t="s">
        <v>2077</v>
      </c>
      <c r="B102" s="45" t="s">
        <v>146</v>
      </c>
      <c r="C102" s="45">
        <v>5.0999999999999996</v>
      </c>
      <c r="D102" s="45">
        <v>10754</v>
      </c>
      <c r="E102" s="45">
        <v>1994</v>
      </c>
      <c r="F102" s="48" t="str">
        <f t="shared" si="1"/>
        <v>Blankman : Rating 5.1,  Released in 1994</v>
      </c>
    </row>
    <row r="103" spans="1:6" x14ac:dyDescent="0.35">
      <c r="A103" s="45" t="s">
        <v>1157</v>
      </c>
      <c r="B103" s="45" t="s">
        <v>524</v>
      </c>
      <c r="C103" s="45">
        <v>4.5999999999999996</v>
      </c>
      <c r="D103" s="45">
        <v>10089</v>
      </c>
      <c r="E103" s="45">
        <v>1994</v>
      </c>
      <c r="F103" s="48" t="str">
        <f t="shared" si="1"/>
        <v>3 Ninjas Kick Back : Rating 4.6,  Released in 1994</v>
      </c>
    </row>
    <row r="104" spans="1:6" x14ac:dyDescent="0.35">
      <c r="A104" s="45" t="s">
        <v>1232</v>
      </c>
      <c r="B104" s="45" t="s">
        <v>270</v>
      </c>
      <c r="C104" s="45">
        <v>4.7</v>
      </c>
      <c r="D104" s="45">
        <v>25626</v>
      </c>
      <c r="E104" s="45">
        <v>1995</v>
      </c>
      <c r="F104" s="48" t="str">
        <f t="shared" si="1"/>
        <v>Vampire in Brooklyn : Rating 4.7,  Released in 1995</v>
      </c>
    </row>
    <row r="105" spans="1:6" x14ac:dyDescent="0.35">
      <c r="A105" s="45" t="s">
        <v>921</v>
      </c>
      <c r="B105" s="45" t="s">
        <v>448</v>
      </c>
      <c r="C105" s="45">
        <v>4.4000000000000004</v>
      </c>
      <c r="D105" s="45">
        <v>10182</v>
      </c>
      <c r="E105" s="45">
        <v>1995</v>
      </c>
      <c r="F105" s="48" t="str">
        <f t="shared" si="1"/>
        <v>The Mangler : Rating 4.4,  Released in 1995</v>
      </c>
    </row>
    <row r="106" spans="1:6" x14ac:dyDescent="0.35">
      <c r="A106" s="45" t="s">
        <v>1873</v>
      </c>
      <c r="B106" s="45" t="s">
        <v>14</v>
      </c>
      <c r="C106" s="45">
        <v>5.0999999999999996</v>
      </c>
      <c r="D106" s="45">
        <v>76488</v>
      </c>
      <c r="E106" s="45">
        <v>1995</v>
      </c>
      <c r="F106" s="48" t="str">
        <f t="shared" si="1"/>
        <v>Showgirls : Rating 5.1,  Released in 1995</v>
      </c>
    </row>
    <row r="107" spans="1:6" x14ac:dyDescent="0.35">
      <c r="A107" s="45" t="s">
        <v>200</v>
      </c>
      <c r="B107" s="45" t="s">
        <v>143</v>
      </c>
      <c r="C107" s="45">
        <v>2.6</v>
      </c>
      <c r="D107" s="45">
        <v>10442</v>
      </c>
      <c r="E107" s="45">
        <v>1995</v>
      </c>
      <c r="F107" s="48" t="str">
        <f t="shared" si="1"/>
        <v>Lawnmower Man 2: Beyond Cyberspace : Rating 2.6,  Released in 1995</v>
      </c>
    </row>
    <row r="108" spans="1:6" x14ac:dyDescent="0.35">
      <c r="A108" s="45" t="s">
        <v>1199</v>
      </c>
      <c r="B108" s="45" t="s">
        <v>82</v>
      </c>
      <c r="C108" s="45">
        <v>4.7</v>
      </c>
      <c r="D108" s="45">
        <v>43509</v>
      </c>
      <c r="E108" s="45">
        <v>1995</v>
      </c>
      <c r="F108" s="48" t="str">
        <f t="shared" si="1"/>
        <v>Halloween: The Curse of Michael Myers : Rating 4.7,  Released in 1995</v>
      </c>
    </row>
    <row r="109" spans="1:6" x14ac:dyDescent="0.35">
      <c r="A109" s="45" t="s">
        <v>1971</v>
      </c>
      <c r="B109" s="45" t="s">
        <v>762</v>
      </c>
      <c r="C109" s="45">
        <v>5.0999999999999996</v>
      </c>
      <c r="D109" s="45">
        <v>19856</v>
      </c>
      <c r="E109" s="45">
        <v>1995</v>
      </c>
      <c r="F109" s="48" t="str">
        <f t="shared" si="1"/>
        <v>Free Willy 2: The Adventure Home : Rating 5.1,  Released in 1995</v>
      </c>
    </row>
    <row r="110" spans="1:6" x14ac:dyDescent="0.35">
      <c r="A110" s="45" t="s">
        <v>900</v>
      </c>
      <c r="B110" s="45" t="s">
        <v>901</v>
      </c>
      <c r="C110" s="45">
        <v>4.4000000000000004</v>
      </c>
      <c r="D110" s="45">
        <v>14073</v>
      </c>
      <c r="E110" s="45">
        <v>1995</v>
      </c>
      <c r="F110" s="48" t="str">
        <f t="shared" si="1"/>
        <v>Fair Game : Rating 4.4,  Released in 1995</v>
      </c>
    </row>
    <row r="111" spans="1:6" x14ac:dyDescent="0.35">
      <c r="A111" s="45" t="s">
        <v>1912</v>
      </c>
      <c r="B111" s="45" t="s">
        <v>178</v>
      </c>
      <c r="C111" s="45">
        <v>5.0999999999999996</v>
      </c>
      <c r="D111" s="45">
        <v>36282</v>
      </c>
      <c r="E111" s="45">
        <v>1996</v>
      </c>
      <c r="F111" s="48" t="str">
        <f t="shared" si="1"/>
        <v>The Phantom : Rating 5.1,  Released in 1996</v>
      </c>
    </row>
    <row r="112" spans="1:6" x14ac:dyDescent="0.35">
      <c r="A112" s="45" t="s">
        <v>1820</v>
      </c>
      <c r="B112" s="45" t="s">
        <v>116</v>
      </c>
      <c r="C112" s="45">
        <v>5</v>
      </c>
      <c r="D112" s="45">
        <v>11679</v>
      </c>
      <c r="E112" s="45">
        <v>1996</v>
      </c>
      <c r="F112" s="48" t="str">
        <f t="shared" si="1"/>
        <v>The Pallbearer : Rating 5,  Released in 1996</v>
      </c>
    </row>
    <row r="113" spans="1:6" x14ac:dyDescent="0.35">
      <c r="A113" s="45" t="s">
        <v>1056</v>
      </c>
      <c r="B113" s="45" t="s">
        <v>474</v>
      </c>
      <c r="C113" s="45">
        <v>4.5999999999999996</v>
      </c>
      <c r="D113" s="45">
        <v>36082</v>
      </c>
      <c r="E113" s="45">
        <v>1996</v>
      </c>
      <c r="F113" s="48" t="str">
        <f t="shared" si="1"/>
        <v>The Island of Dr. Moreau : Rating 4.6,  Released in 1996</v>
      </c>
    </row>
    <row r="114" spans="1:6" x14ac:dyDescent="0.35">
      <c r="A114" s="45" t="s">
        <v>1079</v>
      </c>
      <c r="B114" s="45" t="s">
        <v>338</v>
      </c>
      <c r="C114" s="45">
        <v>4.5999999999999996</v>
      </c>
      <c r="D114" s="45">
        <v>22517</v>
      </c>
      <c r="E114" s="45">
        <v>1996</v>
      </c>
      <c r="F114" s="48" t="str">
        <f t="shared" si="1"/>
        <v>The Crow: City of Angels : Rating 4.6,  Released in 1996</v>
      </c>
    </row>
    <row r="115" spans="1:6" x14ac:dyDescent="0.35">
      <c r="A115" s="45" t="s">
        <v>1038</v>
      </c>
      <c r="B115" s="45" t="s">
        <v>1039</v>
      </c>
      <c r="C115" s="45">
        <v>4.5999999999999996</v>
      </c>
      <c r="D115" s="45">
        <v>48925</v>
      </c>
      <c r="E115" s="45">
        <v>1996</v>
      </c>
      <c r="F115" s="48" t="str">
        <f t="shared" si="1"/>
        <v>Striptease : Rating 4.6,  Released in 1996</v>
      </c>
    </row>
    <row r="116" spans="1:6" x14ac:dyDescent="0.35">
      <c r="A116" s="45" t="s">
        <v>288</v>
      </c>
      <c r="B116" s="45" t="s">
        <v>140</v>
      </c>
      <c r="C116" s="45">
        <v>3.1</v>
      </c>
      <c r="D116" s="45">
        <v>25970</v>
      </c>
      <c r="E116" s="45">
        <v>1996</v>
      </c>
      <c r="F116" s="48" t="str">
        <f t="shared" si="1"/>
        <v>Kazaam : Rating 3.1,  Released in 1996</v>
      </c>
    </row>
    <row r="117" spans="1:6" x14ac:dyDescent="0.35">
      <c r="A117" s="45" t="s">
        <v>1940</v>
      </c>
      <c r="B117" s="45" t="s">
        <v>98</v>
      </c>
      <c r="C117" s="45">
        <v>5.0999999999999996</v>
      </c>
      <c r="D117" s="45">
        <v>25248</v>
      </c>
      <c r="E117" s="45">
        <v>1996</v>
      </c>
      <c r="F117" s="48" t="str">
        <f t="shared" si="1"/>
        <v>Hellraiser: Bloodline : Rating 5.1,  Released in 1996</v>
      </c>
    </row>
    <row r="118" spans="1:6" x14ac:dyDescent="0.35">
      <c r="A118" s="45" t="s">
        <v>861</v>
      </c>
      <c r="B118" s="45" t="s">
        <v>11</v>
      </c>
      <c r="C118" s="45">
        <v>4.4000000000000004</v>
      </c>
      <c r="D118" s="45">
        <v>30265</v>
      </c>
      <c r="E118" s="45">
        <v>1996</v>
      </c>
      <c r="F118" s="48" t="str">
        <f t="shared" si="1"/>
        <v>Bio-Dome : Rating 4.4,  Released in 1996</v>
      </c>
    </row>
    <row r="119" spans="1:6" x14ac:dyDescent="0.35">
      <c r="A119" s="45" t="s">
        <v>373</v>
      </c>
      <c r="B119" s="45" t="s">
        <v>172</v>
      </c>
      <c r="C119" s="45">
        <v>3.5</v>
      </c>
      <c r="D119" s="45">
        <v>31722</v>
      </c>
      <c r="E119" s="45">
        <v>1996</v>
      </c>
      <c r="F119" s="48" t="str">
        <f t="shared" si="1"/>
        <v>Barb Wire : Rating 3.5,  Released in 1996</v>
      </c>
    </row>
    <row r="120" spans="1:6" x14ac:dyDescent="0.35">
      <c r="A120" s="45" t="s">
        <v>1806</v>
      </c>
      <c r="B120" s="45" t="s">
        <v>294</v>
      </c>
      <c r="C120" s="45">
        <v>5</v>
      </c>
      <c r="D120" s="45">
        <v>12884</v>
      </c>
      <c r="E120" s="45">
        <v>1997</v>
      </c>
      <c r="F120" s="48" t="str">
        <f t="shared" si="1"/>
        <v>Turbulence : Rating 5,  Released in 1997</v>
      </c>
    </row>
    <row r="121" spans="1:6" x14ac:dyDescent="0.35">
      <c r="A121" s="45" t="s">
        <v>476</v>
      </c>
      <c r="B121" s="45" t="s">
        <v>477</v>
      </c>
      <c r="C121" s="45">
        <v>3.7</v>
      </c>
      <c r="D121" s="45">
        <v>10065</v>
      </c>
      <c r="E121" s="45">
        <v>1997</v>
      </c>
      <c r="F121" s="48" t="str">
        <f t="shared" si="1"/>
        <v>Turbo: A Power Rangers Movie : Rating 3.7,  Released in 1997</v>
      </c>
    </row>
    <row r="122" spans="1:6" x14ac:dyDescent="0.35">
      <c r="A122" s="45" t="s">
        <v>183</v>
      </c>
      <c r="B122" s="45" t="s">
        <v>184</v>
      </c>
      <c r="C122" s="45">
        <v>2.5</v>
      </c>
      <c r="D122" s="45">
        <v>10099</v>
      </c>
      <c r="E122" s="45">
        <v>1997</v>
      </c>
      <c r="F122" s="48" t="str">
        <f t="shared" si="1"/>
        <v>The View : Rating 2.5,  Released in 1997</v>
      </c>
    </row>
    <row r="123" spans="1:6" x14ac:dyDescent="0.35">
      <c r="A123" s="45" t="s">
        <v>274</v>
      </c>
      <c r="B123" s="45" t="s">
        <v>275</v>
      </c>
      <c r="C123" s="45">
        <v>3</v>
      </c>
      <c r="D123" s="45">
        <v>15292</v>
      </c>
      <c r="E123" s="45">
        <v>1997</v>
      </c>
      <c r="F123" s="48" t="str">
        <f t="shared" si="1"/>
        <v>Steel : Rating 3,  Released in 1997</v>
      </c>
    </row>
    <row r="124" spans="1:6" x14ac:dyDescent="0.35">
      <c r="A124" s="45" t="s">
        <v>450</v>
      </c>
      <c r="B124" s="45" t="s">
        <v>291</v>
      </c>
      <c r="C124" s="45">
        <v>3.7</v>
      </c>
      <c r="D124" s="45">
        <v>38236</v>
      </c>
      <c r="E124" s="45">
        <v>1997</v>
      </c>
      <c r="F124" s="48" t="str">
        <f t="shared" si="1"/>
        <v>Spice World : Rating 3.7,  Released in 1997</v>
      </c>
    </row>
    <row r="125" spans="1:6" x14ac:dyDescent="0.35">
      <c r="A125" s="45" t="s">
        <v>528</v>
      </c>
      <c r="B125" s="45" t="s">
        <v>275</v>
      </c>
      <c r="C125" s="45">
        <v>3.9</v>
      </c>
      <c r="D125" s="45">
        <v>87201</v>
      </c>
      <c r="E125" s="45">
        <v>1997</v>
      </c>
      <c r="F125" s="48" t="str">
        <f t="shared" si="1"/>
        <v>Speed 2: Cruise Control : Rating 3.9,  Released in 1997</v>
      </c>
    </row>
    <row r="126" spans="1:6" x14ac:dyDescent="0.35">
      <c r="A126" s="45" t="s">
        <v>2135</v>
      </c>
      <c r="B126" s="45" t="s">
        <v>56</v>
      </c>
      <c r="C126" s="45">
        <v>5.2</v>
      </c>
      <c r="D126" s="45">
        <v>73490</v>
      </c>
      <c r="E126" s="45">
        <v>1997</v>
      </c>
      <c r="F126" s="48" t="str">
        <f t="shared" si="1"/>
        <v>Spawn : Rating 5.2,  Released in 1997</v>
      </c>
    </row>
    <row r="127" spans="1:6" x14ac:dyDescent="0.35">
      <c r="A127" s="45" t="s">
        <v>662</v>
      </c>
      <c r="B127" s="45" t="s">
        <v>217</v>
      </c>
      <c r="C127" s="45">
        <v>4.0999999999999996</v>
      </c>
      <c r="D127" s="45">
        <v>16358</v>
      </c>
      <c r="E127" s="45">
        <v>1997</v>
      </c>
      <c r="F127" s="48" t="str">
        <f t="shared" si="1"/>
        <v>Mr. Magoo : Rating 4.1,  Released in 1997</v>
      </c>
    </row>
    <row r="128" spans="1:6" x14ac:dyDescent="0.35">
      <c r="A128" s="45" t="s">
        <v>404</v>
      </c>
      <c r="B128" s="45" t="s">
        <v>166</v>
      </c>
      <c r="C128" s="45">
        <v>3.6</v>
      </c>
      <c r="D128" s="45">
        <v>58941</v>
      </c>
      <c r="E128" s="45">
        <v>1997</v>
      </c>
      <c r="F128" s="48" t="str">
        <f t="shared" si="1"/>
        <v>Mortal Kombat: Annihilation : Rating 3.6,  Released in 1997</v>
      </c>
    </row>
    <row r="129" spans="1:6" x14ac:dyDescent="0.35">
      <c r="A129" s="45" t="s">
        <v>1309</v>
      </c>
      <c r="B129" s="45" t="s">
        <v>270</v>
      </c>
      <c r="C129" s="45">
        <v>4.7</v>
      </c>
      <c r="D129" s="45">
        <v>10942</v>
      </c>
      <c r="E129" s="45">
        <v>1997</v>
      </c>
      <c r="F129" s="48" t="str">
        <f t="shared" si="1"/>
        <v>Jack Frost : Rating 4.7,  Released in 1997</v>
      </c>
    </row>
    <row r="130" spans="1:6" x14ac:dyDescent="0.35">
      <c r="A130" s="45" t="s">
        <v>1772</v>
      </c>
      <c r="B130" s="45" t="s">
        <v>178</v>
      </c>
      <c r="C130" s="45">
        <v>5</v>
      </c>
      <c r="D130" s="45">
        <v>17382</v>
      </c>
      <c r="E130" s="45">
        <v>1997</v>
      </c>
      <c r="F130" s="48" t="str">
        <f t="shared" ref="F130:F193" si="2">_xlfn.CONCAT(TRIM(A130)," ", ": Rating"," ",C130,",","  ","Released in", " ",E130)</f>
        <v>Honey, We Shrunk Ourselves! : Rating 5,  Released in 1997</v>
      </c>
    </row>
    <row r="131" spans="1:6" x14ac:dyDescent="0.35">
      <c r="A131" s="45" t="s">
        <v>1026</v>
      </c>
      <c r="B131" s="45" t="s">
        <v>146</v>
      </c>
      <c r="C131" s="45">
        <v>4.5999999999999996</v>
      </c>
      <c r="D131" s="45">
        <v>129033</v>
      </c>
      <c r="E131" s="45">
        <v>1997</v>
      </c>
      <c r="F131" s="48" t="str">
        <f t="shared" si="2"/>
        <v>Home Alone 3 : Rating 4.6,  Released in 1997</v>
      </c>
    </row>
    <row r="132" spans="1:6" x14ac:dyDescent="0.35">
      <c r="A132" s="45" t="s">
        <v>1509</v>
      </c>
      <c r="B132" s="45" t="s">
        <v>214</v>
      </c>
      <c r="C132" s="45">
        <v>4.8</v>
      </c>
      <c r="D132" s="45">
        <v>10755</v>
      </c>
      <c r="E132" s="45">
        <v>1997</v>
      </c>
      <c r="F132" s="48" t="str">
        <f t="shared" si="2"/>
        <v>Gone Fishin' : Rating 4.8,  Released in 1997</v>
      </c>
    </row>
    <row r="133" spans="1:6" x14ac:dyDescent="0.35">
      <c r="A133" s="45" t="s">
        <v>1311</v>
      </c>
      <c r="B133" s="45" t="s">
        <v>762</v>
      </c>
      <c r="C133" s="45">
        <v>4.7</v>
      </c>
      <c r="D133" s="45">
        <v>10923</v>
      </c>
      <c r="E133" s="45">
        <v>1997</v>
      </c>
      <c r="F133" s="48" t="str">
        <f t="shared" si="2"/>
        <v>Free Willy 3: The Rescue : Rating 4.7,  Released in 1997</v>
      </c>
    </row>
    <row r="134" spans="1:6" x14ac:dyDescent="0.35">
      <c r="A134" s="45" t="s">
        <v>1975</v>
      </c>
      <c r="B134" s="45" t="s">
        <v>568</v>
      </c>
      <c r="C134" s="45">
        <v>5.0999999999999996</v>
      </c>
      <c r="D134" s="45">
        <v>19398</v>
      </c>
      <c r="E134" s="45">
        <v>1997</v>
      </c>
      <c r="F134" s="48" t="str">
        <f t="shared" si="2"/>
        <v>Fire Down Below : Rating 5.1,  Released in 1997</v>
      </c>
    </row>
    <row r="135" spans="1:6" x14ac:dyDescent="0.35">
      <c r="A135" s="45" t="s">
        <v>1362</v>
      </c>
      <c r="B135" s="45" t="s">
        <v>62</v>
      </c>
      <c r="C135" s="45">
        <v>4.8</v>
      </c>
      <c r="D135" s="45">
        <v>37206</v>
      </c>
      <c r="E135" s="45">
        <v>1997</v>
      </c>
      <c r="F135" s="48" t="str">
        <f t="shared" si="2"/>
        <v>Double Team : Rating 4.8,  Released in 1997</v>
      </c>
    </row>
    <row r="136" spans="1:6" x14ac:dyDescent="0.35">
      <c r="A136" s="45" t="s">
        <v>479</v>
      </c>
      <c r="B136" s="45" t="s">
        <v>172</v>
      </c>
      <c r="C136" s="45">
        <v>3.8</v>
      </c>
      <c r="D136" s="45">
        <v>272072</v>
      </c>
      <c r="E136" s="45">
        <v>1997</v>
      </c>
      <c r="F136" s="48" t="str">
        <f t="shared" si="2"/>
        <v>Batman &amp; Robin : Rating 3.8,  Released in 1997</v>
      </c>
    </row>
    <row r="137" spans="1:6" x14ac:dyDescent="0.35">
      <c r="A137" s="45" t="s">
        <v>1528</v>
      </c>
      <c r="B137" s="45" t="s">
        <v>122</v>
      </c>
      <c r="C137" s="45">
        <v>4.9000000000000004</v>
      </c>
      <c r="D137" s="45">
        <v>114363</v>
      </c>
      <c r="E137" s="45">
        <v>1997</v>
      </c>
      <c r="F137" s="48" t="str">
        <f t="shared" si="2"/>
        <v>Anaconda : Rating 4.9,  Released in 1997</v>
      </c>
    </row>
    <row r="138" spans="1:6" x14ac:dyDescent="0.35">
      <c r="A138" s="45" t="s">
        <v>1936</v>
      </c>
      <c r="B138" s="45" t="s">
        <v>270</v>
      </c>
      <c r="C138" s="45">
        <v>5.0999999999999996</v>
      </c>
      <c r="D138" s="45">
        <v>27665</v>
      </c>
      <c r="E138" s="45">
        <v>1997</v>
      </c>
      <c r="F138" s="48" t="str">
        <f t="shared" si="2"/>
        <v>An American Werewolf in Paris : Rating 5.1,  Released in 1997</v>
      </c>
    </row>
    <row r="139" spans="1:6" x14ac:dyDescent="0.35">
      <c r="A139" s="45" t="s">
        <v>731</v>
      </c>
      <c r="B139" s="45" t="s">
        <v>294</v>
      </c>
      <c r="C139" s="45">
        <v>4.2</v>
      </c>
      <c r="D139" s="45">
        <v>13489</v>
      </c>
      <c r="E139" s="45">
        <v>1998</v>
      </c>
      <c r="F139" s="48" t="str">
        <f t="shared" si="2"/>
        <v>The Patriot : Rating 4.2,  Released in 1998</v>
      </c>
    </row>
    <row r="140" spans="1:6" x14ac:dyDescent="0.35">
      <c r="A140" s="45" t="s">
        <v>489</v>
      </c>
      <c r="B140" s="45" t="s">
        <v>163</v>
      </c>
      <c r="C140" s="45">
        <v>3.8</v>
      </c>
      <c r="D140" s="45">
        <v>45902</v>
      </c>
      <c r="E140" s="45">
        <v>1998</v>
      </c>
      <c r="F140" s="48" t="str">
        <f t="shared" si="2"/>
        <v>The Avengers : Rating 3.8,  Released in 1998</v>
      </c>
    </row>
    <row r="141" spans="1:6" x14ac:dyDescent="0.35">
      <c r="A141" s="45" t="s">
        <v>957</v>
      </c>
      <c r="B141" s="45" t="s">
        <v>155</v>
      </c>
      <c r="C141" s="45">
        <v>4.5</v>
      </c>
      <c r="D141" s="45">
        <v>32271</v>
      </c>
      <c r="E141" s="45">
        <v>1998</v>
      </c>
      <c r="F141" s="48" t="str">
        <f t="shared" si="2"/>
        <v>Species II : Rating 4.5,  Released in 1998</v>
      </c>
    </row>
    <row r="142" spans="1:6" x14ac:dyDescent="0.35">
      <c r="A142" s="45" t="s">
        <v>1036</v>
      </c>
      <c r="B142" s="45" t="s">
        <v>175</v>
      </c>
      <c r="C142" s="45">
        <v>4.5999999999999996</v>
      </c>
      <c r="D142" s="45">
        <v>51262</v>
      </c>
      <c r="E142" s="45">
        <v>1998</v>
      </c>
      <c r="F142" s="48" t="str">
        <f t="shared" si="2"/>
        <v>Psycho : Rating 4.6,  Released in 1998</v>
      </c>
    </row>
    <row r="143" spans="1:6" x14ac:dyDescent="0.35">
      <c r="A143" s="45" t="s">
        <v>1428</v>
      </c>
      <c r="B143" s="45" t="s">
        <v>1429</v>
      </c>
      <c r="C143" s="45">
        <v>4.8</v>
      </c>
      <c r="D143" s="45">
        <v>17740</v>
      </c>
      <c r="E143" s="45">
        <v>1998</v>
      </c>
      <c r="F143" s="48" t="str">
        <f t="shared" si="2"/>
        <v>Pocahontas 2: Journey to a New World : Rating 4.8,  Released in 1998</v>
      </c>
    </row>
    <row r="144" spans="1:6" x14ac:dyDescent="0.35">
      <c r="A144" s="45" t="s">
        <v>2129</v>
      </c>
      <c r="B144" s="45" t="s">
        <v>163</v>
      </c>
      <c r="C144" s="45">
        <v>5.2</v>
      </c>
      <c r="D144" s="45">
        <v>75507</v>
      </c>
      <c r="E144" s="45">
        <v>1998</v>
      </c>
      <c r="F144" s="48" t="str">
        <f t="shared" si="2"/>
        <v>Lost in Space : Rating 5.2,  Released in 1998</v>
      </c>
    </row>
    <row r="145" spans="1:6" x14ac:dyDescent="0.35">
      <c r="A145" s="45" t="s">
        <v>1621</v>
      </c>
      <c r="B145" s="45" t="s">
        <v>101</v>
      </c>
      <c r="C145" s="45">
        <v>4.9000000000000004</v>
      </c>
      <c r="D145" s="45">
        <v>16691</v>
      </c>
      <c r="E145" s="45">
        <v>1998</v>
      </c>
      <c r="F145" s="48" t="str">
        <f t="shared" si="2"/>
        <v>Knock Off : Rating 4.9,  Released in 1998</v>
      </c>
    </row>
    <row r="146" spans="1:6" x14ac:dyDescent="0.35">
      <c r="A146" s="45" t="s">
        <v>1326</v>
      </c>
      <c r="B146" s="45" t="s">
        <v>175</v>
      </c>
      <c r="C146" s="45">
        <v>4.8</v>
      </c>
      <c r="D146" s="45">
        <v>80450</v>
      </c>
      <c r="E146" s="45">
        <v>1998</v>
      </c>
      <c r="F146" s="48" t="str">
        <f t="shared" si="2"/>
        <v>I Still Know What You Did Last Summer : Rating 4.8,  Released in 1998</v>
      </c>
    </row>
    <row r="147" spans="1:6" x14ac:dyDescent="0.35">
      <c r="A147" s="45" t="s">
        <v>1764</v>
      </c>
      <c r="B147" s="45" t="s">
        <v>646</v>
      </c>
      <c r="C147" s="45">
        <v>5</v>
      </c>
      <c r="D147" s="45">
        <v>21173</v>
      </c>
      <c r="E147" s="45">
        <v>1998</v>
      </c>
      <c r="F147" s="48" t="str">
        <f t="shared" si="2"/>
        <v>Holy Man : Rating 5,  Released in 1998</v>
      </c>
    </row>
    <row r="148" spans="1:6" x14ac:dyDescent="0.35">
      <c r="A148" s="45" t="s">
        <v>1574</v>
      </c>
      <c r="B148" s="45" t="s">
        <v>146</v>
      </c>
      <c r="C148" s="45">
        <v>4.9000000000000004</v>
      </c>
      <c r="D148" s="45">
        <v>35175</v>
      </c>
      <c r="E148" s="45">
        <v>1998</v>
      </c>
      <c r="F148" s="48" t="str">
        <f t="shared" si="2"/>
        <v>Blues Brothers 2000 : Rating 4.9,  Released in 1998</v>
      </c>
    </row>
    <row r="149" spans="1:6" x14ac:dyDescent="0.35">
      <c r="A149" s="45" t="s">
        <v>277</v>
      </c>
      <c r="B149" s="45" t="s">
        <v>178</v>
      </c>
      <c r="C149" s="45">
        <v>3</v>
      </c>
      <c r="D149" s="45">
        <v>12537</v>
      </c>
      <c r="E149" s="45">
        <v>1998</v>
      </c>
      <c r="F149" s="48" t="str">
        <f t="shared" si="2"/>
        <v>3 Ninjas: High Noon at Mega Mountain : Rating 3,  Released in 1998</v>
      </c>
    </row>
    <row r="150" spans="1:6" x14ac:dyDescent="0.35">
      <c r="A150" s="45" t="s">
        <v>788</v>
      </c>
      <c r="B150" s="45" t="s">
        <v>163</v>
      </c>
      <c r="C150" s="45">
        <v>4.3</v>
      </c>
      <c r="D150" s="45">
        <v>17596</v>
      </c>
      <c r="E150" s="45">
        <v>1999</v>
      </c>
      <c r="F150" s="48" t="str">
        <f t="shared" si="2"/>
        <v>Wing Commander : Rating 4.3,  Released in 1999</v>
      </c>
    </row>
    <row r="151" spans="1:6" x14ac:dyDescent="0.35">
      <c r="A151" s="45" t="s">
        <v>1524</v>
      </c>
      <c r="B151" s="45" t="s">
        <v>62</v>
      </c>
      <c r="C151" s="45">
        <v>4.9000000000000004</v>
      </c>
      <c r="D151" s="45">
        <v>168977</v>
      </c>
      <c r="E151" s="45">
        <v>1999</v>
      </c>
      <c r="F151" s="48" t="str">
        <f t="shared" si="2"/>
        <v>Wild Wild West : Rating 4.9,  Released in 1999</v>
      </c>
    </row>
    <row r="152" spans="1:6" x14ac:dyDescent="0.35">
      <c r="A152" s="45" t="s">
        <v>1738</v>
      </c>
      <c r="B152" s="45" t="s">
        <v>155</v>
      </c>
      <c r="C152" s="45">
        <v>5</v>
      </c>
      <c r="D152" s="45">
        <v>30458</v>
      </c>
      <c r="E152" s="45">
        <v>1999</v>
      </c>
      <c r="F152" s="48" t="str">
        <f t="shared" si="2"/>
        <v>Virus : Rating 5,  Released in 1999</v>
      </c>
    </row>
    <row r="153" spans="1:6" x14ac:dyDescent="0.35">
      <c r="A153" s="45" t="s">
        <v>703</v>
      </c>
      <c r="B153" s="45" t="s">
        <v>172</v>
      </c>
      <c r="C153" s="45">
        <v>4.2</v>
      </c>
      <c r="D153" s="45">
        <v>31116</v>
      </c>
      <c r="E153" s="45">
        <v>1999</v>
      </c>
      <c r="F153" s="48" t="str">
        <f t="shared" si="2"/>
        <v>Universal Soldier: The Return : Rating 4.2,  Released in 1999</v>
      </c>
    </row>
    <row r="154" spans="1:6" x14ac:dyDescent="0.35">
      <c r="A154" s="45" t="s">
        <v>1419</v>
      </c>
      <c r="B154" s="45" t="s">
        <v>1075</v>
      </c>
      <c r="C154" s="45">
        <v>4.8</v>
      </c>
      <c r="D154" s="45">
        <v>18388</v>
      </c>
      <c r="E154" s="45">
        <v>1999</v>
      </c>
      <c r="F154" s="48" t="str">
        <f t="shared" si="2"/>
        <v>The Rage: Carrie 2 : Rating 4.8,  Released in 1999</v>
      </c>
    </row>
    <row r="155" spans="1:6" x14ac:dyDescent="0.35">
      <c r="A155" s="45" t="s">
        <v>1681</v>
      </c>
      <c r="B155" s="45" t="s">
        <v>915</v>
      </c>
      <c r="C155" s="45">
        <v>5</v>
      </c>
      <c r="D155" s="45">
        <v>81840</v>
      </c>
      <c r="E155" s="45">
        <v>1999</v>
      </c>
      <c r="F155" s="48" t="str">
        <f t="shared" si="2"/>
        <v>The Haunting : Rating 5,  Released in 1999</v>
      </c>
    </row>
    <row r="156" spans="1:6" x14ac:dyDescent="0.35">
      <c r="A156" s="45" t="s">
        <v>1979</v>
      </c>
      <c r="B156" s="45" t="s">
        <v>116</v>
      </c>
      <c r="C156" s="45">
        <v>5.0999999999999996</v>
      </c>
      <c r="D156" s="45">
        <v>19148</v>
      </c>
      <c r="E156" s="45">
        <v>1999</v>
      </c>
      <c r="F156" s="48" t="str">
        <f t="shared" si="2"/>
        <v>The Bachelor : Rating 5.1,  Released in 1999</v>
      </c>
    </row>
    <row r="157" spans="1:6" x14ac:dyDescent="0.35">
      <c r="A157" s="45" t="s">
        <v>2025</v>
      </c>
      <c r="B157" s="45" t="s">
        <v>59</v>
      </c>
      <c r="C157" s="45">
        <v>5.0999999999999996</v>
      </c>
      <c r="D157" s="45">
        <v>14637</v>
      </c>
      <c r="E157" s="45">
        <v>1999</v>
      </c>
      <c r="F157" s="48" t="str">
        <f t="shared" si="2"/>
        <v>My Favorite Martian : Rating 5.1,  Released in 1999</v>
      </c>
    </row>
    <row r="158" spans="1:6" x14ac:dyDescent="0.35">
      <c r="A158" s="45" t="s">
        <v>693</v>
      </c>
      <c r="B158" s="45" t="s">
        <v>178</v>
      </c>
      <c r="C158" s="45">
        <v>4.2</v>
      </c>
      <c r="D158" s="45">
        <v>51595</v>
      </c>
      <c r="E158" s="45">
        <v>1999</v>
      </c>
      <c r="F158" s="48" t="str">
        <f t="shared" si="2"/>
        <v>Inspector Gadget : Rating 4.2,  Released in 1999</v>
      </c>
    </row>
    <row r="159" spans="1:6" x14ac:dyDescent="0.35">
      <c r="A159" s="45" t="s">
        <v>1469</v>
      </c>
      <c r="B159" s="45" t="s">
        <v>1470</v>
      </c>
      <c r="C159" s="45">
        <v>4.8</v>
      </c>
      <c r="D159" s="45">
        <v>12851</v>
      </c>
      <c r="E159" s="45">
        <v>1999</v>
      </c>
      <c r="F159" s="48" t="str">
        <f t="shared" si="2"/>
        <v>From Dusk Till Dawn 3: The Hangman's Daughter : Rating 4.8,  Released in 1999</v>
      </c>
    </row>
    <row r="160" spans="1:6" x14ac:dyDescent="0.35">
      <c r="A160" s="45" t="s">
        <v>719</v>
      </c>
      <c r="B160" s="45" t="s">
        <v>352</v>
      </c>
      <c r="C160" s="45">
        <v>4.2</v>
      </c>
      <c r="D160" s="45">
        <v>17724</v>
      </c>
      <c r="E160" s="45">
        <v>1999</v>
      </c>
      <c r="F160" s="48" t="str">
        <f t="shared" si="2"/>
        <v>From Dusk Till Dawn 2: Texas Blood Money : Rating 4.2,  Released in 1999</v>
      </c>
    </row>
    <row r="161" spans="1:6" x14ac:dyDescent="0.35">
      <c r="A161" s="45" t="s">
        <v>1782</v>
      </c>
      <c r="B161" s="45" t="s">
        <v>846</v>
      </c>
      <c r="C161" s="45">
        <v>5</v>
      </c>
      <c r="D161" s="45">
        <v>16170</v>
      </c>
      <c r="E161" s="45">
        <v>1999</v>
      </c>
      <c r="F161" s="48" t="str">
        <f t="shared" si="2"/>
        <v>Eye of the Beholder : Rating 5,  Released in 1999</v>
      </c>
    </row>
    <row r="162" spans="1:6" x14ac:dyDescent="0.35">
      <c r="A162" s="45" t="s">
        <v>579</v>
      </c>
      <c r="B162" s="45" t="s">
        <v>455</v>
      </c>
      <c r="C162" s="45">
        <v>3.9</v>
      </c>
      <c r="D162" s="45">
        <v>11508</v>
      </c>
      <c r="E162" s="45">
        <v>1999</v>
      </c>
      <c r="F162" s="48" t="str">
        <f t="shared" si="2"/>
        <v>Dudley Do-Right : Rating 3.9,  Released in 1999</v>
      </c>
    </row>
    <row r="163" spans="1:6" x14ac:dyDescent="0.35">
      <c r="A163" s="45" t="s">
        <v>671</v>
      </c>
      <c r="B163" s="45" t="s">
        <v>166</v>
      </c>
      <c r="C163" s="45">
        <v>4.0999999999999996</v>
      </c>
      <c r="D163" s="45">
        <v>12725</v>
      </c>
      <c r="E163" s="45">
        <v>1999</v>
      </c>
      <c r="F163" s="48" t="str">
        <f t="shared" si="2"/>
        <v>Beowulf : Rating 4.1,  Released in 1999</v>
      </c>
    </row>
    <row r="164" spans="1:6" x14ac:dyDescent="0.35">
      <c r="A164" s="45" t="s">
        <v>677</v>
      </c>
      <c r="B164" s="45" t="s">
        <v>474</v>
      </c>
      <c r="C164" s="45">
        <v>4.0999999999999996</v>
      </c>
      <c r="D164" s="45">
        <v>11649</v>
      </c>
      <c r="E164" s="45">
        <v>1999</v>
      </c>
      <c r="F164" s="48" t="str">
        <f t="shared" si="2"/>
        <v>Bats : Rating 4.1,  Released in 1999</v>
      </c>
    </row>
    <row r="165" spans="1:6" x14ac:dyDescent="0.35">
      <c r="A165" s="45" t="s">
        <v>195</v>
      </c>
      <c r="B165" s="45" t="s">
        <v>193</v>
      </c>
      <c r="C165" s="45">
        <v>2.6</v>
      </c>
      <c r="D165" s="45">
        <v>27849</v>
      </c>
      <c r="E165" s="45">
        <v>1999</v>
      </c>
      <c r="F165" s="48" t="str">
        <f t="shared" si="2"/>
        <v>Baby Geniuses : Rating 2.6,  Released in 1999</v>
      </c>
    </row>
    <row r="166" spans="1:6" x14ac:dyDescent="0.35">
      <c r="A166" s="45" t="s">
        <v>883</v>
      </c>
      <c r="B166" s="45" t="s">
        <v>448</v>
      </c>
      <c r="C166" s="45">
        <v>4.4000000000000004</v>
      </c>
      <c r="D166" s="45">
        <v>19287</v>
      </c>
      <c r="E166" s="45">
        <v>2000</v>
      </c>
      <c r="F166" s="48" t="str">
        <f t="shared" si="2"/>
        <v>Urban Legends: Final Cut : Rating 4.4,  Released in 2000</v>
      </c>
    </row>
    <row r="167" spans="1:6" x14ac:dyDescent="0.35">
      <c r="A167" s="45" t="s">
        <v>1299</v>
      </c>
      <c r="B167" s="45" t="s">
        <v>128</v>
      </c>
      <c r="C167" s="45">
        <v>4.7</v>
      </c>
      <c r="D167" s="45">
        <v>11815</v>
      </c>
      <c r="E167" s="45">
        <v>2000</v>
      </c>
      <c r="F167" s="48" t="str">
        <f t="shared" si="2"/>
        <v>The Next Best Thing : Rating 4.7,  Released in 2000</v>
      </c>
    </row>
    <row r="168" spans="1:6" x14ac:dyDescent="0.35">
      <c r="A168" s="45" t="s">
        <v>454</v>
      </c>
      <c r="B168" s="45" t="s">
        <v>455</v>
      </c>
      <c r="C168" s="45">
        <v>3.7</v>
      </c>
      <c r="D168" s="45">
        <v>25926</v>
      </c>
      <c r="E168" s="45">
        <v>2000</v>
      </c>
      <c r="F168" s="48" t="str">
        <f t="shared" si="2"/>
        <v>The Flintstones in Viva Rock Vegas : Rating 3.7,  Released in 2000</v>
      </c>
    </row>
    <row r="169" spans="1:6" x14ac:dyDescent="0.35">
      <c r="A169" s="45" t="s">
        <v>1639</v>
      </c>
      <c r="B169" s="45" t="s">
        <v>338</v>
      </c>
      <c r="C169" s="45">
        <v>4.9000000000000004</v>
      </c>
      <c r="D169" s="45">
        <v>13059</v>
      </c>
      <c r="E169" s="45">
        <v>2000</v>
      </c>
      <c r="F169" s="48" t="str">
        <f t="shared" si="2"/>
        <v>The Crow: Salvation : Rating 4.9,  Released in 2000</v>
      </c>
    </row>
    <row r="170" spans="1:6" x14ac:dyDescent="0.35">
      <c r="A170" s="45" t="s">
        <v>781</v>
      </c>
      <c r="B170" s="45" t="s">
        <v>217</v>
      </c>
      <c r="C170" s="45">
        <v>4.3</v>
      </c>
      <c r="D170" s="45">
        <v>21396</v>
      </c>
      <c r="E170" s="45">
        <v>2000</v>
      </c>
      <c r="F170" s="48" t="str">
        <f t="shared" si="2"/>
        <v>The Adventures of Rocky &amp; Bullwinkle : Rating 4.3,  Released in 2000</v>
      </c>
    </row>
    <row r="171" spans="1:6" x14ac:dyDescent="0.35">
      <c r="A171" s="45" t="s">
        <v>1415</v>
      </c>
      <c r="B171" s="45" t="s">
        <v>474</v>
      </c>
      <c r="C171" s="45">
        <v>4.8</v>
      </c>
      <c r="D171" s="45">
        <v>19765</v>
      </c>
      <c r="E171" s="45">
        <v>2000</v>
      </c>
      <c r="F171" s="48" t="str">
        <f t="shared" si="2"/>
        <v>Supernova : Rating 4.8,  Released in 2000</v>
      </c>
    </row>
    <row r="172" spans="1:6" x14ac:dyDescent="0.35">
      <c r="A172" s="45" t="s">
        <v>622</v>
      </c>
      <c r="B172" s="45" t="s">
        <v>211</v>
      </c>
      <c r="C172" s="45">
        <v>4</v>
      </c>
      <c r="D172" s="45">
        <v>11678</v>
      </c>
      <c r="E172" s="45">
        <v>2000</v>
      </c>
      <c r="F172" s="48" t="str">
        <f t="shared" si="2"/>
        <v>Shriek If You Know What I Did Last Friday the Thirteenth : Rating 4,  Released in 2000</v>
      </c>
    </row>
    <row r="173" spans="1:6" x14ac:dyDescent="0.35">
      <c r="A173" s="45" t="s">
        <v>943</v>
      </c>
      <c r="B173" s="45" t="s">
        <v>944</v>
      </c>
      <c r="C173" s="45">
        <v>4.5</v>
      </c>
      <c r="D173" s="45">
        <v>53985</v>
      </c>
      <c r="E173" s="45">
        <v>2000</v>
      </c>
      <c r="F173" s="48" t="str">
        <f t="shared" si="2"/>
        <v>Nutty Professor II: The Klumps : Rating 4.5,  Released in 2000</v>
      </c>
    </row>
    <row r="174" spans="1:6" x14ac:dyDescent="0.35">
      <c r="A174" s="45" t="s">
        <v>2063</v>
      </c>
      <c r="B174" s="45" t="s">
        <v>214</v>
      </c>
      <c r="C174" s="45">
        <v>5.0999999999999996</v>
      </c>
      <c r="D174" s="45">
        <v>11034</v>
      </c>
      <c r="E174" s="45">
        <v>2000</v>
      </c>
      <c r="F174" s="48" t="str">
        <f t="shared" si="2"/>
        <v>Lucky Numbers : Rating 5.1,  Released in 2000</v>
      </c>
    </row>
    <row r="175" spans="1:6" x14ac:dyDescent="0.35">
      <c r="A175" s="45" t="s">
        <v>1492</v>
      </c>
      <c r="B175" s="45" t="s">
        <v>584</v>
      </c>
      <c r="C175" s="45">
        <v>4.8</v>
      </c>
      <c r="D175" s="45">
        <v>11487</v>
      </c>
      <c r="E175" s="45">
        <v>2000</v>
      </c>
      <c r="F175" s="48" t="str">
        <f t="shared" si="2"/>
        <v>Lost Souls : Rating 4.8,  Released in 2000</v>
      </c>
    </row>
    <row r="176" spans="1:6" x14ac:dyDescent="0.35">
      <c r="A176" s="45" t="s">
        <v>822</v>
      </c>
      <c r="B176" s="45" t="s">
        <v>376</v>
      </c>
      <c r="C176" s="45">
        <v>4.3</v>
      </c>
      <c r="D176" s="45">
        <v>10733</v>
      </c>
      <c r="E176" s="45">
        <v>2000</v>
      </c>
      <c r="F176" s="48" t="str">
        <f t="shared" si="2"/>
        <v>Left Behind: The Movie : Rating 4.3,  Released in 2000</v>
      </c>
    </row>
    <row r="177" spans="1:6" x14ac:dyDescent="0.35">
      <c r="A177" s="45" t="s">
        <v>1083</v>
      </c>
      <c r="B177" s="45" t="s">
        <v>166</v>
      </c>
      <c r="C177" s="45">
        <v>4.5999999999999996</v>
      </c>
      <c r="D177" s="45">
        <v>21523</v>
      </c>
      <c r="E177" s="45">
        <v>2000</v>
      </c>
      <c r="F177" s="48" t="str">
        <f t="shared" si="2"/>
        <v>Highlander: Endgame : Rating 4.6,  Released in 2000</v>
      </c>
    </row>
    <row r="178" spans="1:6" x14ac:dyDescent="0.35">
      <c r="A178" s="45" t="s">
        <v>1637</v>
      </c>
      <c r="B178" s="45" t="s">
        <v>646</v>
      </c>
      <c r="C178" s="45">
        <v>4.9000000000000004</v>
      </c>
      <c r="D178" s="45">
        <v>13301</v>
      </c>
      <c r="E178" s="45">
        <v>2000</v>
      </c>
      <c r="F178" s="48" t="str">
        <f t="shared" si="2"/>
        <v>Hanging Up : Rating 4.9,  Released in 2000</v>
      </c>
    </row>
    <row r="179" spans="1:6" x14ac:dyDescent="0.35">
      <c r="A179" s="45" t="s">
        <v>2181</v>
      </c>
      <c r="B179" s="45" t="s">
        <v>56</v>
      </c>
      <c r="C179" s="45">
        <v>5.2</v>
      </c>
      <c r="D179" s="45">
        <v>37384</v>
      </c>
      <c r="E179" s="45">
        <v>2000</v>
      </c>
      <c r="F179" s="48" t="str">
        <f t="shared" si="2"/>
        <v>Get Carter : Rating 5.2,  Released in 2000</v>
      </c>
    </row>
    <row r="180" spans="1:6" x14ac:dyDescent="0.35">
      <c r="A180" s="45" t="s">
        <v>452</v>
      </c>
      <c r="B180" s="45" t="s">
        <v>166</v>
      </c>
      <c r="C180" s="45">
        <v>3.7</v>
      </c>
      <c r="D180" s="45">
        <v>36690</v>
      </c>
      <c r="E180" s="45">
        <v>2000</v>
      </c>
      <c r="F180" s="48" t="str">
        <f t="shared" si="2"/>
        <v>Dungeons &amp; Dragons : Rating 3.7,  Released in 2000</v>
      </c>
    </row>
    <row r="181" spans="1:6" x14ac:dyDescent="0.35">
      <c r="A181" s="45" t="s">
        <v>1572</v>
      </c>
      <c r="B181" s="45" t="s">
        <v>267</v>
      </c>
      <c r="C181" s="45">
        <v>4.9000000000000004</v>
      </c>
      <c r="D181" s="45">
        <v>37216</v>
      </c>
      <c r="E181" s="45">
        <v>2000</v>
      </c>
      <c r="F181" s="48" t="str">
        <f t="shared" si="2"/>
        <v>Dracula 2000 : Rating 4.9,  Released in 2000</v>
      </c>
    </row>
    <row r="182" spans="1:6" x14ac:dyDescent="0.35">
      <c r="A182" s="45" t="s">
        <v>1251</v>
      </c>
      <c r="B182" s="45" t="s">
        <v>128</v>
      </c>
      <c r="C182" s="45">
        <v>4.7</v>
      </c>
      <c r="D182" s="45">
        <v>20420</v>
      </c>
      <c r="E182" s="45">
        <v>2000</v>
      </c>
      <c r="F182" s="48" t="str">
        <f t="shared" si="2"/>
        <v>Dr. T &amp; the Women : Rating 4.7,  Released in 2000</v>
      </c>
    </row>
    <row r="183" spans="1:6" x14ac:dyDescent="0.35">
      <c r="A183" s="45" t="s">
        <v>1784</v>
      </c>
      <c r="B183" s="45" t="s">
        <v>128</v>
      </c>
      <c r="C183" s="45">
        <v>5</v>
      </c>
      <c r="D183" s="45">
        <v>15875</v>
      </c>
      <c r="E183" s="45">
        <v>2000</v>
      </c>
      <c r="F183" s="48" t="str">
        <f t="shared" si="2"/>
        <v>Down to You : Rating 5,  Released in 2000</v>
      </c>
    </row>
    <row r="184" spans="1:6" x14ac:dyDescent="0.35">
      <c r="A184" s="45" t="s">
        <v>893</v>
      </c>
      <c r="B184" s="45" t="s">
        <v>14</v>
      </c>
      <c r="C184" s="45">
        <v>4.4000000000000004</v>
      </c>
      <c r="D184" s="45">
        <v>16373</v>
      </c>
      <c r="E184" s="45">
        <v>2000</v>
      </c>
      <c r="F184" s="48" t="str">
        <f t="shared" si="2"/>
        <v>Cruel Intentions 2 : Rating 4.4,  Released in 2000</v>
      </c>
    </row>
    <row r="185" spans="1:6" x14ac:dyDescent="0.35">
      <c r="A185" s="45" t="s">
        <v>596</v>
      </c>
      <c r="B185" s="45" t="s">
        <v>597</v>
      </c>
      <c r="C185" s="45">
        <v>4</v>
      </c>
      <c r="D185" s="45">
        <v>40658</v>
      </c>
      <c r="E185" s="45">
        <v>2000</v>
      </c>
      <c r="F185" s="48" t="str">
        <f t="shared" si="2"/>
        <v>Book of Shadows: Blair Witch 2 : Rating 4,  Released in 2000</v>
      </c>
    </row>
    <row r="186" spans="1:6" x14ac:dyDescent="0.35">
      <c r="A186" s="45" t="s">
        <v>2011</v>
      </c>
      <c r="B186" s="45" t="s">
        <v>669</v>
      </c>
      <c r="C186" s="45">
        <v>5.0999999999999996</v>
      </c>
      <c r="D186" s="45">
        <v>15538</v>
      </c>
      <c r="E186" s="45">
        <v>2000</v>
      </c>
      <c r="F186" s="48" t="str">
        <f t="shared" si="2"/>
        <v>Bless the Child : Rating 5.1,  Released in 2000</v>
      </c>
    </row>
    <row r="187" spans="1:6" x14ac:dyDescent="0.35">
      <c r="A187" s="45" t="s">
        <v>2125</v>
      </c>
      <c r="B187" s="45" t="s">
        <v>146</v>
      </c>
      <c r="C187" s="45">
        <v>5.2</v>
      </c>
      <c r="D187" s="45">
        <v>92136</v>
      </c>
      <c r="E187" s="45">
        <v>2000</v>
      </c>
      <c r="F187" s="48" t="str">
        <f t="shared" si="2"/>
        <v>Big Momma's House : Rating 5.2,  Released in 2000</v>
      </c>
    </row>
    <row r="188" spans="1:6" x14ac:dyDescent="0.35">
      <c r="A188" s="45" t="s">
        <v>162</v>
      </c>
      <c r="B188" s="45" t="s">
        <v>163</v>
      </c>
      <c r="C188" s="45">
        <v>2.5</v>
      </c>
      <c r="D188" s="45">
        <v>83924</v>
      </c>
      <c r="E188" s="45">
        <v>2000</v>
      </c>
      <c r="F188" s="48" t="str">
        <f t="shared" si="2"/>
        <v>Battlefield Earth : Rating 2.5,  Released in 2000</v>
      </c>
    </row>
    <row r="189" spans="1:6" x14ac:dyDescent="0.35">
      <c r="A189" s="45" t="s">
        <v>885</v>
      </c>
      <c r="B189" s="45" t="s">
        <v>606</v>
      </c>
      <c r="C189" s="45">
        <v>4.4000000000000004</v>
      </c>
      <c r="D189" s="45">
        <v>18776</v>
      </c>
      <c r="E189" s="45">
        <v>2000</v>
      </c>
      <c r="F189" s="48" t="str">
        <f t="shared" si="2"/>
        <v>Baise-moi : Rating 4.4,  Released in 2000</v>
      </c>
    </row>
    <row r="190" spans="1:6" x14ac:dyDescent="0.35">
      <c r="A190" s="45" t="s">
        <v>388</v>
      </c>
      <c r="B190" s="45" t="s">
        <v>104</v>
      </c>
      <c r="C190" s="45">
        <v>3.5</v>
      </c>
      <c r="D190" s="45">
        <v>13085</v>
      </c>
      <c r="E190" s="45">
        <v>2000</v>
      </c>
      <c r="F190" s="48" t="str">
        <f t="shared" si="2"/>
        <v>2001: A Space Travesty : Rating 3.5,  Released in 2000</v>
      </c>
    </row>
    <row r="191" spans="1:6" x14ac:dyDescent="0.35">
      <c r="A191" s="45" t="s">
        <v>1358</v>
      </c>
      <c r="B191" s="45" t="s">
        <v>217</v>
      </c>
      <c r="C191" s="45">
        <v>4.8</v>
      </c>
      <c r="D191" s="45">
        <v>40156</v>
      </c>
      <c r="E191" s="45">
        <v>2000</v>
      </c>
      <c r="F191" s="48" t="str">
        <f t="shared" si="2"/>
        <v>102 Dalmatians : Rating 4.8,  Released in 2000</v>
      </c>
    </row>
    <row r="192" spans="1:6" x14ac:dyDescent="0.35">
      <c r="A192" s="45" t="s">
        <v>1578</v>
      </c>
      <c r="B192" s="45" t="s">
        <v>175</v>
      </c>
      <c r="C192" s="45">
        <v>4.9000000000000004</v>
      </c>
      <c r="D192" s="45">
        <v>30687</v>
      </c>
      <c r="E192" s="45">
        <v>2001</v>
      </c>
      <c r="F192" s="48" t="str">
        <f t="shared" si="2"/>
        <v>Valentine : Rating 4.9,  Released in 2001</v>
      </c>
    </row>
    <row r="193" spans="1:6" x14ac:dyDescent="0.35">
      <c r="A193" s="45" t="s">
        <v>1271</v>
      </c>
      <c r="B193" s="45" t="s">
        <v>1272</v>
      </c>
      <c r="C193" s="45">
        <v>4.7</v>
      </c>
      <c r="D193" s="45">
        <v>15158</v>
      </c>
      <c r="E193" s="45">
        <v>2001</v>
      </c>
      <c r="F193" s="48" t="str">
        <f t="shared" si="2"/>
        <v>The Musketeer : Rating 4.7,  Released in 2001</v>
      </c>
    </row>
    <row r="194" spans="1:6" x14ac:dyDescent="0.35">
      <c r="A194" s="45" t="s">
        <v>1333</v>
      </c>
      <c r="B194" s="45" t="s">
        <v>104</v>
      </c>
      <c r="C194" s="45">
        <v>4.8</v>
      </c>
      <c r="D194" s="45">
        <v>64742</v>
      </c>
      <c r="E194" s="45">
        <v>2001</v>
      </c>
      <c r="F194" s="48" t="str">
        <f t="shared" ref="F194:F257" si="3">_xlfn.CONCAT(TRIM(A194)," ", ": Rating"," ",C194,",","  ","Released in", " ",E194)</f>
        <v>The Animal : Rating 4.8,  Released in 2001</v>
      </c>
    </row>
    <row r="195" spans="1:6" x14ac:dyDescent="0.35">
      <c r="A195" s="45" t="s">
        <v>2000</v>
      </c>
      <c r="B195" s="45" t="s">
        <v>128</v>
      </c>
      <c r="C195" s="45">
        <v>5.0999999999999996</v>
      </c>
      <c r="D195" s="45">
        <v>16811</v>
      </c>
      <c r="E195" s="45">
        <v>2001</v>
      </c>
      <c r="F195" s="48" t="str">
        <f t="shared" si="3"/>
        <v>Summer Catch : Rating 5.1,  Released in 2001</v>
      </c>
    </row>
    <row r="196" spans="1:6" x14ac:dyDescent="0.35">
      <c r="A196" s="45" t="s">
        <v>1798</v>
      </c>
      <c r="B196" s="45" t="s">
        <v>116</v>
      </c>
      <c r="C196" s="45">
        <v>5</v>
      </c>
      <c r="D196" s="45">
        <v>13897</v>
      </c>
      <c r="E196" s="45">
        <v>2001</v>
      </c>
      <c r="F196" s="48" t="str">
        <f t="shared" si="3"/>
        <v>Say It Isn't So : Rating 5,  Released in 2001</v>
      </c>
    </row>
    <row r="197" spans="1:6" x14ac:dyDescent="0.35">
      <c r="A197" s="45" t="s">
        <v>1417</v>
      </c>
      <c r="B197" s="45" t="s">
        <v>227</v>
      </c>
      <c r="C197" s="45">
        <v>4.8</v>
      </c>
      <c r="D197" s="45">
        <v>19460</v>
      </c>
      <c r="E197" s="45">
        <v>2001</v>
      </c>
      <c r="F197" s="48" t="str">
        <f t="shared" si="3"/>
        <v>Monkeybone : Rating 4.8,  Released in 2001</v>
      </c>
    </row>
    <row r="198" spans="1:6" x14ac:dyDescent="0.35">
      <c r="A198" s="45" t="s">
        <v>937</v>
      </c>
      <c r="B198" s="45" t="s">
        <v>155</v>
      </c>
      <c r="C198" s="45">
        <v>4.5</v>
      </c>
      <c r="D198" s="45">
        <v>63098</v>
      </c>
      <c r="E198" s="45">
        <v>2001</v>
      </c>
      <c r="F198" s="48" t="str">
        <f t="shared" si="3"/>
        <v>Jason X : Rating 4.5,  Released in 2001</v>
      </c>
    </row>
    <row r="199" spans="1:6" x14ac:dyDescent="0.35">
      <c r="A199" s="45" t="s">
        <v>157</v>
      </c>
      <c r="B199" s="45" t="s">
        <v>158</v>
      </c>
      <c r="C199" s="45">
        <v>2.4</v>
      </c>
      <c r="D199" s="45">
        <v>24198</v>
      </c>
      <c r="E199" s="45">
        <v>2001</v>
      </c>
      <c r="F199" s="48" t="str">
        <f t="shared" si="3"/>
        <v>Glitter : Rating 2.4,  Released in 2001</v>
      </c>
    </row>
    <row r="200" spans="1:6" x14ac:dyDescent="0.35">
      <c r="A200" s="45" t="s">
        <v>1546</v>
      </c>
      <c r="B200" s="45" t="s">
        <v>155</v>
      </c>
      <c r="C200" s="45">
        <v>4.9000000000000004</v>
      </c>
      <c r="D200" s="45">
        <v>58866</v>
      </c>
      <c r="E200" s="45">
        <v>2001</v>
      </c>
      <c r="F200" s="48" t="str">
        <f t="shared" si="3"/>
        <v>Ghosts of Mars : Rating 4.9,  Released in 2001</v>
      </c>
    </row>
    <row r="201" spans="1:6" x14ac:dyDescent="0.35">
      <c r="A201" s="45" t="s">
        <v>1184</v>
      </c>
      <c r="B201" s="45" t="s">
        <v>11</v>
      </c>
      <c r="C201" s="45">
        <v>4.7</v>
      </c>
      <c r="D201" s="45">
        <v>52219</v>
      </c>
      <c r="E201" s="45">
        <v>2001</v>
      </c>
      <c r="F201" s="48" t="str">
        <f t="shared" si="3"/>
        <v>Freddy Got Fingered : Rating 4.7,  Released in 2001</v>
      </c>
    </row>
    <row r="202" spans="1:6" x14ac:dyDescent="0.35">
      <c r="A202" s="45" t="s">
        <v>1047</v>
      </c>
      <c r="B202" s="45" t="s">
        <v>1048</v>
      </c>
      <c r="C202" s="45">
        <v>4.5999999999999996</v>
      </c>
      <c r="D202" s="45">
        <v>43600</v>
      </c>
      <c r="E202" s="45">
        <v>2001</v>
      </c>
      <c r="F202" s="48" t="str">
        <f t="shared" si="3"/>
        <v>Driven : Rating 4.6,  Released in 2001</v>
      </c>
    </row>
    <row r="203" spans="1:6" x14ac:dyDescent="0.35">
      <c r="A203" s="45" t="s">
        <v>1192</v>
      </c>
      <c r="B203" s="45" t="s">
        <v>140</v>
      </c>
      <c r="C203" s="45">
        <v>4.7</v>
      </c>
      <c r="D203" s="45">
        <v>48063</v>
      </c>
      <c r="E203" s="45">
        <v>2001</v>
      </c>
      <c r="F203" s="48" t="str">
        <f t="shared" si="3"/>
        <v>Dr. Dolittle 2 : Rating 4.7,  Released in 2001</v>
      </c>
    </row>
    <row r="204" spans="1:6" x14ac:dyDescent="0.35">
      <c r="A204" s="45" t="s">
        <v>1386</v>
      </c>
      <c r="B204" s="45" t="s">
        <v>178</v>
      </c>
      <c r="C204" s="45">
        <v>4.8</v>
      </c>
      <c r="D204" s="45">
        <v>26542</v>
      </c>
      <c r="E204" s="45">
        <v>2001</v>
      </c>
      <c r="F204" s="48" t="str">
        <f t="shared" si="3"/>
        <v>Crocodile Dundee in Los Angeles : Rating 4.8,  Released in 2001</v>
      </c>
    </row>
    <row r="205" spans="1:6" x14ac:dyDescent="0.35">
      <c r="A205" s="45" t="s">
        <v>1285</v>
      </c>
      <c r="B205" s="45" t="s">
        <v>214</v>
      </c>
      <c r="C205" s="45">
        <v>4.7</v>
      </c>
      <c r="D205" s="45">
        <v>13867</v>
      </c>
      <c r="E205" s="45">
        <v>2001</v>
      </c>
      <c r="F205" s="48" t="str">
        <f t="shared" si="3"/>
        <v>Corky Romano : Rating 4.7,  Released in 2001</v>
      </c>
    </row>
    <row r="206" spans="1:6" x14ac:dyDescent="0.35">
      <c r="A206" s="45" t="s">
        <v>2153</v>
      </c>
      <c r="B206" s="45" t="s">
        <v>178</v>
      </c>
      <c r="C206" s="45">
        <v>5.2</v>
      </c>
      <c r="D206" s="45">
        <v>63312</v>
      </c>
      <c r="E206" s="45">
        <v>2001</v>
      </c>
      <c r="F206" s="48" t="str">
        <f t="shared" si="3"/>
        <v>Cats &amp; Dogs : Rating 5.2,  Released in 2001</v>
      </c>
    </row>
    <row r="207" spans="1:6" x14ac:dyDescent="0.35">
      <c r="A207" s="45" t="s">
        <v>1566</v>
      </c>
      <c r="B207" s="45" t="s">
        <v>152</v>
      </c>
      <c r="C207" s="45">
        <v>4.9000000000000004</v>
      </c>
      <c r="D207" s="45">
        <v>43983</v>
      </c>
      <c r="E207" s="45">
        <v>2001</v>
      </c>
      <c r="F207" s="48" t="str">
        <f t="shared" si="3"/>
        <v>Black Knight : Rating 4.9,  Released in 2001</v>
      </c>
    </row>
    <row r="208" spans="1:6" x14ac:dyDescent="0.35">
      <c r="A208" s="45" t="s">
        <v>1461</v>
      </c>
      <c r="B208" s="45" t="s">
        <v>175</v>
      </c>
      <c r="C208" s="45">
        <v>4.8</v>
      </c>
      <c r="D208" s="45">
        <v>14227</v>
      </c>
      <c r="E208" s="45">
        <v>2002</v>
      </c>
      <c r="F208" s="48" t="str">
        <f t="shared" si="3"/>
        <v>They : Rating 4.8,  Released in 2002</v>
      </c>
    </row>
    <row r="209" spans="1:6" x14ac:dyDescent="0.35">
      <c r="A209" s="45" t="s">
        <v>1305</v>
      </c>
      <c r="B209" s="45" t="s">
        <v>736</v>
      </c>
      <c r="C209" s="45">
        <v>4.7</v>
      </c>
      <c r="D209" s="45">
        <v>11142</v>
      </c>
      <c r="E209" s="45">
        <v>2002</v>
      </c>
      <c r="F209" s="48" t="str">
        <f t="shared" si="3"/>
        <v>The Truth About Charlie : Rating 4.7,  Released in 2002</v>
      </c>
    </row>
    <row r="210" spans="1:6" x14ac:dyDescent="0.35">
      <c r="A210" s="45" t="s">
        <v>2151</v>
      </c>
      <c r="B210" s="45" t="s">
        <v>116</v>
      </c>
      <c r="C210" s="45">
        <v>5.2</v>
      </c>
      <c r="D210" s="45">
        <v>63432</v>
      </c>
      <c r="E210" s="45">
        <v>2002</v>
      </c>
      <c r="F210" s="48" t="str">
        <f t="shared" si="3"/>
        <v>The Sweetest Thing : Rating 5.2,  Released in 2002</v>
      </c>
    </row>
    <row r="211" spans="1:6" x14ac:dyDescent="0.35">
      <c r="A211" s="45" t="s">
        <v>346</v>
      </c>
      <c r="B211" s="45" t="s">
        <v>217</v>
      </c>
      <c r="C211" s="45">
        <v>3.4</v>
      </c>
      <c r="D211" s="45">
        <v>27733</v>
      </c>
      <c r="E211" s="45">
        <v>2002</v>
      </c>
      <c r="F211" s="48" t="str">
        <f t="shared" si="3"/>
        <v>The Master of Disguise : Rating 3.4,  Released in 2002</v>
      </c>
    </row>
    <row r="212" spans="1:6" x14ac:dyDescent="0.35">
      <c r="A212" s="45" t="s">
        <v>546</v>
      </c>
      <c r="B212" s="45" t="s">
        <v>62</v>
      </c>
      <c r="C212" s="45">
        <v>3.9</v>
      </c>
      <c r="D212" s="45">
        <v>27338</v>
      </c>
      <c r="E212" s="45">
        <v>2002</v>
      </c>
      <c r="F212" s="48" t="str">
        <f t="shared" si="3"/>
        <v>The Adventures of Pluto Nash : Rating 3.9,  Released in 2002</v>
      </c>
    </row>
    <row r="213" spans="1:6" x14ac:dyDescent="0.35">
      <c r="A213" s="45" t="s">
        <v>1962</v>
      </c>
      <c r="B213" s="45" t="s">
        <v>31</v>
      </c>
      <c r="C213" s="45">
        <v>5.0999999999999996</v>
      </c>
      <c r="D213" s="45">
        <v>21512</v>
      </c>
      <c r="E213" s="45">
        <v>2002</v>
      </c>
      <c r="F213" s="48" t="str">
        <f t="shared" si="3"/>
        <v>Swimfan : Rating 5.1,  Released in 2002</v>
      </c>
    </row>
    <row r="214" spans="1:6" x14ac:dyDescent="0.35">
      <c r="A214" s="45" t="s">
        <v>420</v>
      </c>
      <c r="B214" s="45" t="s">
        <v>116</v>
      </c>
      <c r="C214" s="45">
        <v>3.6</v>
      </c>
      <c r="D214" s="45">
        <v>18142</v>
      </c>
      <c r="E214" s="45">
        <v>2002</v>
      </c>
      <c r="F214" s="48" t="str">
        <f t="shared" si="3"/>
        <v>Swept Away : Rating 3.6,  Released in 2002</v>
      </c>
    </row>
    <row r="215" spans="1:6" x14ac:dyDescent="0.35">
      <c r="A215" s="45" t="s">
        <v>2033</v>
      </c>
      <c r="B215" s="45" t="s">
        <v>214</v>
      </c>
      <c r="C215" s="45">
        <v>5.0999999999999996</v>
      </c>
      <c r="D215" s="45">
        <v>13878</v>
      </c>
      <c r="E215" s="45">
        <v>2002</v>
      </c>
      <c r="F215" s="48" t="str">
        <f t="shared" si="3"/>
        <v>Stealing Harvard : Rating 5.1,  Released in 2002</v>
      </c>
    </row>
    <row r="216" spans="1:6" x14ac:dyDescent="0.35">
      <c r="A216" s="45" t="s">
        <v>285</v>
      </c>
      <c r="B216" s="45" t="s">
        <v>286</v>
      </c>
      <c r="C216" s="45">
        <v>3.1</v>
      </c>
      <c r="D216" s="45">
        <v>30005</v>
      </c>
      <c r="E216" s="45">
        <v>2002</v>
      </c>
      <c r="F216" s="48" t="str">
        <f t="shared" si="3"/>
        <v>Rollerball : Rating 3.1,  Released in 2002</v>
      </c>
    </row>
    <row r="217" spans="1:6" x14ac:dyDescent="0.35">
      <c r="A217" s="45" t="s">
        <v>192</v>
      </c>
      <c r="B217" s="45" t="s">
        <v>193</v>
      </c>
      <c r="C217" s="45">
        <v>2.6</v>
      </c>
      <c r="D217" s="45">
        <v>40098</v>
      </c>
      <c r="E217" s="45">
        <v>2002</v>
      </c>
      <c r="F217" s="48" t="str">
        <f t="shared" si="3"/>
        <v>Home Alone 4: Taking Back the House : Rating 2.6,  Released in 2002</v>
      </c>
    </row>
    <row r="218" spans="1:6" x14ac:dyDescent="0.35">
      <c r="A218" s="45" t="s">
        <v>1627</v>
      </c>
      <c r="B218" s="45" t="s">
        <v>175</v>
      </c>
      <c r="C218" s="45">
        <v>4.9000000000000004</v>
      </c>
      <c r="D218" s="45">
        <v>14869</v>
      </c>
      <c r="E218" s="45">
        <v>2002</v>
      </c>
      <c r="F218" s="48" t="str">
        <f t="shared" si="3"/>
        <v>Hellraiser: Hellseeker : Rating 4.9,  Released in 2002</v>
      </c>
    </row>
    <row r="219" spans="1:6" x14ac:dyDescent="0.35">
      <c r="A219" s="45" t="s">
        <v>530</v>
      </c>
      <c r="B219" s="45" t="s">
        <v>82</v>
      </c>
      <c r="C219" s="45">
        <v>3.9</v>
      </c>
      <c r="D219" s="45">
        <v>50725</v>
      </c>
      <c r="E219" s="45">
        <v>2002</v>
      </c>
      <c r="F219" s="48" t="str">
        <f t="shared" si="3"/>
        <v>Halloween: Resurrection : Rating 3.9,  Released in 2002</v>
      </c>
    </row>
    <row r="220" spans="1:6" x14ac:dyDescent="0.35">
      <c r="A220" s="45" t="s">
        <v>1104</v>
      </c>
      <c r="B220" s="45" t="s">
        <v>101</v>
      </c>
      <c r="C220" s="45">
        <v>4.5999999999999996</v>
      </c>
      <c r="D220" s="45">
        <v>17006</v>
      </c>
      <c r="E220" s="45">
        <v>2002</v>
      </c>
      <c r="F220" s="48" t="str">
        <f t="shared" si="3"/>
        <v>Half Past Dead : Rating 4.6,  Released in 2002</v>
      </c>
    </row>
    <row r="221" spans="1:6" x14ac:dyDescent="0.35">
      <c r="A221" s="45" t="s">
        <v>1301</v>
      </c>
      <c r="B221" s="45" t="s">
        <v>116</v>
      </c>
      <c r="C221" s="45">
        <v>4.7</v>
      </c>
      <c r="D221" s="45">
        <v>11368</v>
      </c>
      <c r="E221" s="45">
        <v>2002</v>
      </c>
      <c r="F221" s="48" t="str">
        <f t="shared" si="3"/>
        <v>Full Frontal : Rating 4.7,  Released in 2002</v>
      </c>
    </row>
    <row r="222" spans="1:6" x14ac:dyDescent="0.35">
      <c r="A222" s="45" t="s">
        <v>351</v>
      </c>
      <c r="B222" s="45" t="s">
        <v>352</v>
      </c>
      <c r="C222" s="45">
        <v>3.4</v>
      </c>
      <c r="D222" s="45">
        <v>23043</v>
      </c>
      <c r="E222" s="45">
        <v>2002</v>
      </c>
      <c r="F222" s="48" t="str">
        <f t="shared" si="3"/>
        <v>Feardotcom : Rating 3.4,  Released in 2002</v>
      </c>
    </row>
    <row r="223" spans="1:6" x14ac:dyDescent="0.35">
      <c r="A223" s="45" t="s">
        <v>491</v>
      </c>
      <c r="B223" s="45" t="s">
        <v>128</v>
      </c>
      <c r="C223" s="45">
        <v>3.8</v>
      </c>
      <c r="D223" s="45">
        <v>45106</v>
      </c>
      <c r="E223" s="45">
        <v>2002</v>
      </c>
      <c r="F223" s="48" t="str">
        <f t="shared" si="3"/>
        <v>Crossroads : Rating 3.8,  Released in 2002</v>
      </c>
    </row>
    <row r="224" spans="1:6" x14ac:dyDescent="0.35">
      <c r="A224" s="45" t="s">
        <v>1795</v>
      </c>
      <c r="B224" s="45" t="s">
        <v>1796</v>
      </c>
      <c r="C224" s="45">
        <v>5</v>
      </c>
      <c r="D224" s="45">
        <v>14209</v>
      </c>
      <c r="E224" s="45">
        <v>2002</v>
      </c>
      <c r="F224" s="48" t="str">
        <f t="shared" si="3"/>
        <v>Cinderella II: Dreams Come True : Rating 5,  Released in 2002</v>
      </c>
    </row>
    <row r="225" spans="1:6" x14ac:dyDescent="0.35">
      <c r="A225" s="45" t="s">
        <v>1576</v>
      </c>
      <c r="B225" s="45" t="s">
        <v>11</v>
      </c>
      <c r="C225" s="45">
        <v>4.9000000000000004</v>
      </c>
      <c r="D225" s="45">
        <v>32630</v>
      </c>
      <c r="E225" s="45">
        <v>2002</v>
      </c>
      <c r="F225" s="48" t="str">
        <f t="shared" si="3"/>
        <v>Boat Trip : Rating 4.9,  Released in 2002</v>
      </c>
    </row>
    <row r="226" spans="1:6" x14ac:dyDescent="0.35">
      <c r="A226" s="45" t="s">
        <v>461</v>
      </c>
      <c r="B226" s="45" t="s">
        <v>462</v>
      </c>
      <c r="C226" s="45">
        <v>3.7</v>
      </c>
      <c r="D226" s="45">
        <v>21267</v>
      </c>
      <c r="E226" s="45">
        <v>2002</v>
      </c>
      <c r="F226" s="48" t="str">
        <f t="shared" si="3"/>
        <v>Ballistic: Ecks vs. Sever : Rating 3.7,  Released in 2002</v>
      </c>
    </row>
    <row r="227" spans="1:6" x14ac:dyDescent="0.35">
      <c r="A227" s="45" t="s">
        <v>2087</v>
      </c>
      <c r="B227" s="45" t="s">
        <v>146</v>
      </c>
      <c r="C227" s="45">
        <v>5.0999999999999996</v>
      </c>
      <c r="D227" s="45">
        <v>10231</v>
      </c>
      <c r="E227" s="45">
        <v>2002</v>
      </c>
      <c r="F227" s="48" t="str">
        <f t="shared" si="3"/>
        <v>Avenging Angelo : Rating 5.1,  Released in 2002</v>
      </c>
    </row>
    <row r="228" spans="1:6" x14ac:dyDescent="0.35">
      <c r="A228" s="45" t="s">
        <v>464</v>
      </c>
      <c r="B228" s="45" t="s">
        <v>82</v>
      </c>
      <c r="C228" s="45">
        <v>3.7</v>
      </c>
      <c r="D228" s="45">
        <v>18409</v>
      </c>
      <c r="E228" s="45">
        <v>2002</v>
      </c>
      <c r="F228" s="48" t="str">
        <f t="shared" si="3"/>
        <v>American Psycho II: All American Girl : Rating 3.7,  Released in 2002</v>
      </c>
    </row>
    <row r="229" spans="1:6" x14ac:dyDescent="0.35">
      <c r="A229" s="45" t="s">
        <v>776</v>
      </c>
      <c r="B229" s="45" t="s">
        <v>777</v>
      </c>
      <c r="C229" s="45">
        <v>4.3</v>
      </c>
      <c r="D229" s="45">
        <v>22352</v>
      </c>
      <c r="E229" s="45">
        <v>2002</v>
      </c>
      <c r="F229" s="48" t="str">
        <f t="shared" si="3"/>
        <v>American Idol : Rating 4.3,  Released in 2002</v>
      </c>
    </row>
    <row r="230" spans="1:6" x14ac:dyDescent="0.35">
      <c r="A230" s="45" t="s">
        <v>1516</v>
      </c>
      <c r="B230" s="45" t="s">
        <v>933</v>
      </c>
      <c r="C230" s="45">
        <v>4.8</v>
      </c>
      <c r="D230" s="45">
        <v>10241</v>
      </c>
      <c r="E230" s="45">
        <v>2002</v>
      </c>
      <c r="F230" s="48" t="str">
        <f t="shared" si="3"/>
        <v>Abandon : Rating 4.8,  Released in 2002</v>
      </c>
    </row>
    <row r="231" spans="1:6" x14ac:dyDescent="0.35">
      <c r="A231" s="45" t="s">
        <v>402</v>
      </c>
      <c r="B231" s="45" t="s">
        <v>14</v>
      </c>
      <c r="C231" s="45">
        <v>3.6</v>
      </c>
      <c r="D231" s="45">
        <v>96417</v>
      </c>
      <c r="E231" s="45">
        <v>2003</v>
      </c>
      <c r="F231" s="48" t="str">
        <f t="shared" si="3"/>
        <v>The Room : Rating 3.6,  Released in 2003</v>
      </c>
    </row>
    <row r="232" spans="1:6" x14ac:dyDescent="0.35">
      <c r="A232" s="45" t="s">
        <v>1983</v>
      </c>
      <c r="B232" s="45" t="s">
        <v>175</v>
      </c>
      <c r="C232" s="45">
        <v>5.0999999999999996</v>
      </c>
      <c r="D232" s="45">
        <v>18648</v>
      </c>
      <c r="E232" s="45">
        <v>2003</v>
      </c>
      <c r="F232" s="48" t="str">
        <f t="shared" si="3"/>
        <v>The Order : Rating 5.1,  Released in 2003</v>
      </c>
    </row>
    <row r="233" spans="1:6" x14ac:dyDescent="0.35">
      <c r="A233" s="45" t="s">
        <v>2173</v>
      </c>
      <c r="B233" s="45" t="s">
        <v>1967</v>
      </c>
      <c r="C233" s="45">
        <v>5.2</v>
      </c>
      <c r="D233" s="45">
        <v>44504</v>
      </c>
      <c r="E233" s="45">
        <v>2003</v>
      </c>
      <c r="F233" s="48" t="str">
        <f t="shared" si="3"/>
        <v>The Medallion : Rating 5.2,  Released in 2003</v>
      </c>
    </row>
    <row r="234" spans="1:6" x14ac:dyDescent="0.35">
      <c r="A234" s="45" t="s">
        <v>2159</v>
      </c>
      <c r="B234" s="45" t="s">
        <v>140</v>
      </c>
      <c r="C234" s="45">
        <v>5.2</v>
      </c>
      <c r="D234" s="45">
        <v>58317</v>
      </c>
      <c r="E234" s="45">
        <v>2003</v>
      </c>
      <c r="F234" s="48" t="str">
        <f t="shared" si="3"/>
        <v>The Haunted Mansion : Rating 5.2,  Released in 2003</v>
      </c>
    </row>
    <row r="235" spans="1:6" x14ac:dyDescent="0.35">
      <c r="A235" s="45" t="s">
        <v>1652</v>
      </c>
      <c r="B235" s="45" t="s">
        <v>128</v>
      </c>
      <c r="C235" s="45">
        <v>4.9000000000000004</v>
      </c>
      <c r="D235" s="45">
        <v>12237</v>
      </c>
      <c r="E235" s="45">
        <v>2003</v>
      </c>
      <c r="F235" s="48" t="str">
        <f t="shared" si="3"/>
        <v>The Divorce : Rating 4.9,  Released in 2003</v>
      </c>
    </row>
    <row r="236" spans="1:6" x14ac:dyDescent="0.35">
      <c r="A236" s="45" t="s">
        <v>634</v>
      </c>
      <c r="B236" s="45" t="s">
        <v>217</v>
      </c>
      <c r="C236" s="45">
        <v>4.0999999999999996</v>
      </c>
      <c r="D236" s="45">
        <v>89438</v>
      </c>
      <c r="E236" s="45">
        <v>2003</v>
      </c>
      <c r="F236" s="48" t="str">
        <f t="shared" si="3"/>
        <v>The Cat in the Hat : Rating 4.1,  Released in 2003</v>
      </c>
    </row>
    <row r="237" spans="1:6" x14ac:dyDescent="0.35">
      <c r="A237" s="45" t="s">
        <v>1619</v>
      </c>
      <c r="B237" s="45" t="s">
        <v>14</v>
      </c>
      <c r="C237" s="45">
        <v>4.9000000000000004</v>
      </c>
      <c r="D237" s="45">
        <v>16896</v>
      </c>
      <c r="E237" s="45">
        <v>2003</v>
      </c>
      <c r="F237" s="48" t="str">
        <f t="shared" si="3"/>
        <v>The Brown Bunny : Rating 4.9,  Released in 2003</v>
      </c>
    </row>
    <row r="238" spans="1:6" x14ac:dyDescent="0.35">
      <c r="A238" s="45" t="s">
        <v>836</v>
      </c>
      <c r="B238" s="45" t="s">
        <v>178</v>
      </c>
      <c r="C238" s="45">
        <v>4.4000000000000004</v>
      </c>
      <c r="D238" s="45">
        <v>67628</v>
      </c>
      <c r="E238" s="45">
        <v>2003</v>
      </c>
      <c r="F238" s="48" t="str">
        <f t="shared" si="3"/>
        <v>Spy Kids 3: Game Over : Rating 4.4,  Released in 2003</v>
      </c>
    </row>
    <row r="239" spans="1:6" x14ac:dyDescent="0.35">
      <c r="A239" s="45" t="s">
        <v>1215</v>
      </c>
      <c r="B239" s="45" t="s">
        <v>116</v>
      </c>
      <c r="C239" s="45">
        <v>4.7</v>
      </c>
      <c r="D239" s="45">
        <v>30886</v>
      </c>
      <c r="E239" s="45">
        <v>2003</v>
      </c>
      <c r="F239" s="48" t="str">
        <f t="shared" si="3"/>
        <v>My Boss's Daughter : Rating 4.7,  Released in 2003</v>
      </c>
    </row>
    <row r="240" spans="1:6" x14ac:dyDescent="0.35">
      <c r="A240" s="45" t="s">
        <v>1331</v>
      </c>
      <c r="B240" s="45" t="s">
        <v>11</v>
      </c>
      <c r="C240" s="45">
        <v>4.8</v>
      </c>
      <c r="D240" s="45">
        <v>74211</v>
      </c>
      <c r="E240" s="45">
        <v>2003</v>
      </c>
      <c r="F240" s="48" t="str">
        <f t="shared" si="3"/>
        <v>Legally Blonde 2: Red, White &amp; Blonde : Rating 4.8,  Released in 2003</v>
      </c>
    </row>
    <row r="241" spans="1:6" x14ac:dyDescent="0.35">
      <c r="A241" s="45" t="s">
        <v>955</v>
      </c>
      <c r="B241" s="45" t="s">
        <v>178</v>
      </c>
      <c r="C241" s="45">
        <v>4.5</v>
      </c>
      <c r="D241" s="45">
        <v>34299</v>
      </c>
      <c r="E241" s="45">
        <v>2003</v>
      </c>
      <c r="F241" s="48" t="str">
        <f t="shared" si="3"/>
        <v>Kangaroo Jack : Rating 4.5,  Released in 2003</v>
      </c>
    </row>
    <row r="242" spans="1:6" x14ac:dyDescent="0.35">
      <c r="A242" s="45" t="s">
        <v>121</v>
      </c>
      <c r="B242" s="45" t="s">
        <v>122</v>
      </c>
      <c r="C242" s="45">
        <v>2.1</v>
      </c>
      <c r="D242" s="45">
        <v>38962</v>
      </c>
      <c r="E242" s="45">
        <v>2003</v>
      </c>
      <c r="F242" s="48" t="str">
        <f t="shared" si="3"/>
        <v>House of the Dead : Rating 2.1,  Released in 2003</v>
      </c>
    </row>
    <row r="243" spans="1:6" x14ac:dyDescent="0.35">
      <c r="A243" s="45" t="s">
        <v>186</v>
      </c>
      <c r="B243" s="45" t="s">
        <v>187</v>
      </c>
      <c r="C243" s="45">
        <v>2.6</v>
      </c>
      <c r="D243" s="45">
        <v>51193</v>
      </c>
      <c r="E243" s="45">
        <v>2003</v>
      </c>
      <c r="F243" s="48" t="str">
        <f t="shared" si="3"/>
        <v>Gigli : Rating 2.6,  Released in 2003</v>
      </c>
    </row>
    <row r="244" spans="1:6" x14ac:dyDescent="0.35">
      <c r="A244" s="45" t="s">
        <v>108</v>
      </c>
      <c r="B244" s="45" t="s">
        <v>109</v>
      </c>
      <c r="C244" s="45">
        <v>1.9</v>
      </c>
      <c r="D244" s="45">
        <v>27123</v>
      </c>
      <c r="E244" s="45">
        <v>2003</v>
      </c>
      <c r="F244" s="48" t="str">
        <f t="shared" si="3"/>
        <v>From Justin to Kelly : Rating 1.9,  Released in 2003</v>
      </c>
    </row>
    <row r="245" spans="1:6" x14ac:dyDescent="0.35">
      <c r="A245" s="45" t="s">
        <v>344</v>
      </c>
      <c r="B245" s="45" t="s">
        <v>11</v>
      </c>
      <c r="C245" s="45">
        <v>3.4</v>
      </c>
      <c r="D245" s="45">
        <v>42995</v>
      </c>
      <c r="E245" s="45">
        <v>2003</v>
      </c>
      <c r="F245" s="48" t="str">
        <f t="shared" si="3"/>
        <v>Dumb and Dumberer: When Harry Met Lloyd : Rating 3.4,  Released in 2003</v>
      </c>
    </row>
    <row r="246" spans="1:6" x14ac:dyDescent="0.35">
      <c r="A246" s="45" t="s">
        <v>1724</v>
      </c>
      <c r="B246" s="45" t="s">
        <v>915</v>
      </c>
      <c r="C246" s="45">
        <v>5</v>
      </c>
      <c r="D246" s="45">
        <v>33993</v>
      </c>
      <c r="E246" s="45">
        <v>2003</v>
      </c>
      <c r="F246" s="48" t="str">
        <f t="shared" si="3"/>
        <v>Darkness Falls : Rating 5,  Released in 2003</v>
      </c>
    </row>
    <row r="247" spans="1:6" x14ac:dyDescent="0.35">
      <c r="A247" s="45" t="s">
        <v>1752</v>
      </c>
      <c r="B247" s="45" t="s">
        <v>846</v>
      </c>
      <c r="C247" s="45">
        <v>5</v>
      </c>
      <c r="D247" s="45">
        <v>25165</v>
      </c>
      <c r="E247" s="45">
        <v>2003</v>
      </c>
      <c r="F247" s="48" t="str">
        <f t="shared" si="3"/>
        <v>Cold Creek Manor : Rating 5,  Released in 2003</v>
      </c>
    </row>
    <row r="248" spans="1:6" x14ac:dyDescent="0.35">
      <c r="A248" s="45" t="s">
        <v>1526</v>
      </c>
      <c r="B248" s="45" t="s">
        <v>178</v>
      </c>
      <c r="C248" s="45">
        <v>4.9000000000000004</v>
      </c>
      <c r="D248" s="45">
        <v>134567</v>
      </c>
      <c r="E248" s="45">
        <v>2003</v>
      </c>
      <c r="F248" s="48" t="str">
        <f t="shared" si="3"/>
        <v>Charlie's Angels: Full Throttle : Rating 4.9,  Released in 2003</v>
      </c>
    </row>
    <row r="249" spans="1:6" x14ac:dyDescent="0.35">
      <c r="A249" s="45" t="s">
        <v>1281</v>
      </c>
      <c r="B249" s="45" t="s">
        <v>26</v>
      </c>
      <c r="C249" s="45">
        <v>4.7</v>
      </c>
      <c r="D249" s="45">
        <v>14293</v>
      </c>
      <c r="E249" s="45">
        <v>2003</v>
      </c>
      <c r="F249" s="48" t="str">
        <f t="shared" si="3"/>
        <v>Biker Boyz : Rating 4.7,  Released in 2003</v>
      </c>
    </row>
    <row r="250" spans="1:6" x14ac:dyDescent="0.35">
      <c r="A250" s="45" t="s">
        <v>1081</v>
      </c>
      <c r="B250" s="45" t="s">
        <v>93</v>
      </c>
      <c r="C250" s="45">
        <v>4.5999999999999996</v>
      </c>
      <c r="D250" s="45">
        <v>21671</v>
      </c>
      <c r="E250" s="45">
        <v>2003</v>
      </c>
      <c r="F250" s="48" t="str">
        <f t="shared" si="3"/>
        <v>Battle Royale II : Rating 4.6,  Released in 2003</v>
      </c>
    </row>
    <row r="251" spans="1:6" x14ac:dyDescent="0.35">
      <c r="A251" s="45" t="s">
        <v>1822</v>
      </c>
      <c r="B251" s="45" t="s">
        <v>47</v>
      </c>
      <c r="C251" s="45">
        <v>5</v>
      </c>
      <c r="D251" s="45">
        <v>11526</v>
      </c>
      <c r="E251" s="45">
        <v>2003</v>
      </c>
      <c r="F251" s="48" t="str">
        <f t="shared" si="3"/>
        <v>Atlantis: Milo's Return : Rating 5,  Released in 2003</v>
      </c>
    </row>
    <row r="252" spans="1:6" x14ac:dyDescent="0.35">
      <c r="A252" s="45" t="s">
        <v>1910</v>
      </c>
      <c r="B252" s="45" t="s">
        <v>178</v>
      </c>
      <c r="C252" s="45">
        <v>5.0999999999999996</v>
      </c>
      <c r="D252" s="45">
        <v>37534</v>
      </c>
      <c r="E252" s="45">
        <v>2003</v>
      </c>
      <c r="F252" s="48" t="str">
        <f t="shared" si="3"/>
        <v>Agent Cody Banks : Rating 5.1,  Released in 2003</v>
      </c>
    </row>
    <row r="253" spans="1:6" x14ac:dyDescent="0.35">
      <c r="A253" s="45" t="s">
        <v>543</v>
      </c>
      <c r="B253" s="45" t="s">
        <v>544</v>
      </c>
      <c r="C253" s="45">
        <v>3.9</v>
      </c>
      <c r="D253" s="45">
        <v>28830</v>
      </c>
      <c r="E253" s="45">
        <v>2004</v>
      </c>
      <c r="F253" s="48" t="str">
        <f t="shared" si="3"/>
        <v>You Got Served : Rating 3.9,  Released in 2004</v>
      </c>
    </row>
    <row r="254" spans="1:6" x14ac:dyDescent="0.35">
      <c r="A254" s="45" t="s">
        <v>641</v>
      </c>
      <c r="B254" s="45" t="s">
        <v>146</v>
      </c>
      <c r="C254" s="45">
        <v>4.0999999999999996</v>
      </c>
      <c r="D254" s="45">
        <v>29795</v>
      </c>
      <c r="E254" s="45">
        <v>2004</v>
      </c>
      <c r="F254" s="48" t="str">
        <f t="shared" si="3"/>
        <v>Torque : Rating 4.1,  Released in 2004</v>
      </c>
    </row>
    <row r="255" spans="1:6" x14ac:dyDescent="0.35">
      <c r="A255" s="45" t="s">
        <v>806</v>
      </c>
      <c r="B255" s="45" t="s">
        <v>178</v>
      </c>
      <c r="C255" s="45">
        <v>4.3</v>
      </c>
      <c r="D255" s="45">
        <v>14644</v>
      </c>
      <c r="E255" s="45">
        <v>2004</v>
      </c>
      <c r="F255" s="48" t="str">
        <f t="shared" si="3"/>
        <v>Thunderbirds : Rating 4.3,  Released in 2004</v>
      </c>
    </row>
    <row r="256" spans="1:6" x14ac:dyDescent="0.35">
      <c r="A256" s="45" t="s">
        <v>1611</v>
      </c>
      <c r="B256" s="45" t="s">
        <v>214</v>
      </c>
      <c r="C256" s="45">
        <v>4.9000000000000004</v>
      </c>
      <c r="D256" s="45">
        <v>18930</v>
      </c>
      <c r="E256" s="45">
        <v>2004</v>
      </c>
      <c r="F256" s="48" t="str">
        <f t="shared" si="3"/>
        <v>The Big Bounce : Rating 4.9,  Released in 2004</v>
      </c>
    </row>
    <row r="257" spans="1:6" x14ac:dyDescent="0.35">
      <c r="A257" s="45" t="s">
        <v>1045</v>
      </c>
      <c r="B257" s="45" t="s">
        <v>146</v>
      </c>
      <c r="C257" s="45">
        <v>4.5999999999999996</v>
      </c>
      <c r="D257" s="45">
        <v>45562</v>
      </c>
      <c r="E257" s="45">
        <v>2004</v>
      </c>
      <c r="F257" s="48" t="str">
        <f t="shared" si="3"/>
        <v>Taxi : Rating 4.6,  Released in 2004</v>
      </c>
    </row>
    <row r="258" spans="1:6" x14ac:dyDescent="0.35">
      <c r="A258" s="45" t="s">
        <v>58</v>
      </c>
      <c r="B258" s="45" t="s">
        <v>59</v>
      </c>
      <c r="C258" s="45">
        <v>1.5</v>
      </c>
      <c r="D258" s="45">
        <v>31809</v>
      </c>
      <c r="E258" s="45">
        <v>2004</v>
      </c>
      <c r="F258" s="48" t="str">
        <f t="shared" ref="F258:F321" si="4">_xlfn.CONCAT(TRIM(A258)," ", ": Rating"," ",C258,",","  ","Released in", " ",E258)</f>
        <v>Superbabies: Baby Geniuses 2 : Rating 1.5,  Released in 2004</v>
      </c>
    </row>
    <row r="259" spans="1:6" x14ac:dyDescent="0.35">
      <c r="A259" s="45" t="s">
        <v>414</v>
      </c>
      <c r="B259" s="45" t="s">
        <v>122</v>
      </c>
      <c r="C259" s="45">
        <v>3.6</v>
      </c>
      <c r="D259" s="45">
        <v>24800</v>
      </c>
      <c r="E259" s="45">
        <v>2004</v>
      </c>
      <c r="F259" s="48" t="str">
        <f t="shared" si="4"/>
        <v>Starship Troopers 2: Hero of the Federation : Rating 3.6,  Released in 2004</v>
      </c>
    </row>
    <row r="260" spans="1:6" x14ac:dyDescent="0.35">
      <c r="A260" s="45" t="s">
        <v>738</v>
      </c>
      <c r="B260" s="45" t="s">
        <v>98</v>
      </c>
      <c r="C260" s="45">
        <v>4.2</v>
      </c>
      <c r="D260" s="45">
        <v>11289</v>
      </c>
      <c r="E260" s="45">
        <v>2004</v>
      </c>
      <c r="F260" s="48" t="str">
        <f t="shared" si="4"/>
        <v>Species III : Rating 4.2,  Released in 2004</v>
      </c>
    </row>
    <row r="261" spans="1:6" x14ac:dyDescent="0.35">
      <c r="A261" s="45" t="s">
        <v>965</v>
      </c>
      <c r="B261" s="45" t="s">
        <v>11</v>
      </c>
      <c r="C261" s="45">
        <v>4.5</v>
      </c>
      <c r="D261" s="45">
        <v>24952</v>
      </c>
      <c r="E261" s="45">
        <v>2004</v>
      </c>
      <c r="F261" s="48" t="str">
        <f t="shared" si="4"/>
        <v>Soul Plane : Rating 4.5,  Released in 2004</v>
      </c>
    </row>
    <row r="262" spans="1:6" x14ac:dyDescent="0.35">
      <c r="A262" s="45" t="s">
        <v>1556</v>
      </c>
      <c r="B262" s="45" t="s">
        <v>349</v>
      </c>
      <c r="C262" s="45">
        <v>4.9000000000000004</v>
      </c>
      <c r="D262" s="45">
        <v>51323</v>
      </c>
      <c r="E262" s="45">
        <v>2004</v>
      </c>
      <c r="F262" s="48" t="str">
        <f t="shared" si="4"/>
        <v>Seed of Chucky : Rating 4.9,  Released in 2004</v>
      </c>
    </row>
    <row r="263" spans="1:6" x14ac:dyDescent="0.35">
      <c r="A263" s="45" t="s">
        <v>1590</v>
      </c>
      <c r="B263" s="45" t="s">
        <v>1591</v>
      </c>
      <c r="C263" s="45">
        <v>4.9000000000000004</v>
      </c>
      <c r="D263" s="45">
        <v>25286</v>
      </c>
      <c r="E263" s="45">
        <v>2004</v>
      </c>
      <c r="F263" s="48" t="str">
        <f t="shared" si="4"/>
        <v>New York Minute : Rating 4.9,  Released in 2004</v>
      </c>
    </row>
    <row r="264" spans="1:6" x14ac:dyDescent="0.35">
      <c r="A264" s="45" t="s">
        <v>1384</v>
      </c>
      <c r="B264" s="45" t="s">
        <v>376</v>
      </c>
      <c r="C264" s="45">
        <v>4.8</v>
      </c>
      <c r="D264" s="45">
        <v>26734</v>
      </c>
      <c r="E264" s="45">
        <v>2004</v>
      </c>
      <c r="F264" s="48" t="str">
        <f t="shared" si="4"/>
        <v>Godsend : Rating 4.8,  Released in 2004</v>
      </c>
    </row>
    <row r="265" spans="1:6" x14ac:dyDescent="0.35">
      <c r="A265" s="45" t="s">
        <v>1864</v>
      </c>
      <c r="B265" s="45" t="s">
        <v>217</v>
      </c>
      <c r="C265" s="45">
        <v>5.0999999999999996</v>
      </c>
      <c r="D265" s="45">
        <v>96086</v>
      </c>
      <c r="E265" s="45">
        <v>2004</v>
      </c>
      <c r="F265" s="48" t="str">
        <f t="shared" si="4"/>
        <v>Garfield: The Movie : Rating 5.1,  Released in 2004</v>
      </c>
    </row>
    <row r="266" spans="1:6" x14ac:dyDescent="0.35">
      <c r="A266" s="45" t="s">
        <v>1928</v>
      </c>
      <c r="B266" s="45" t="s">
        <v>128</v>
      </c>
      <c r="C266" s="45">
        <v>5.0999999999999996</v>
      </c>
      <c r="D266" s="45">
        <v>28618</v>
      </c>
      <c r="E266" s="45">
        <v>2004</v>
      </c>
      <c r="F266" s="48" t="str">
        <f t="shared" si="4"/>
        <v>First Daughter : Rating 5.1,  Released in 2004</v>
      </c>
    </row>
    <row r="267" spans="1:6" x14ac:dyDescent="0.35">
      <c r="A267" s="45" t="s">
        <v>905</v>
      </c>
      <c r="B267" s="45" t="s">
        <v>140</v>
      </c>
      <c r="C267" s="45">
        <v>4.4000000000000004</v>
      </c>
      <c r="D267" s="45">
        <v>13152</v>
      </c>
      <c r="E267" s="45">
        <v>2004</v>
      </c>
      <c r="F267" s="48" t="str">
        <f t="shared" si="4"/>
        <v>Fat Albert : Rating 4.4,  Released in 2004</v>
      </c>
    </row>
    <row r="268" spans="1:6" x14ac:dyDescent="0.35">
      <c r="A268" s="45" t="s">
        <v>1904</v>
      </c>
      <c r="B268" s="45" t="s">
        <v>175</v>
      </c>
      <c r="C268" s="45">
        <v>5.0999999999999996</v>
      </c>
      <c r="D268" s="45">
        <v>40491</v>
      </c>
      <c r="E268" s="45">
        <v>2004</v>
      </c>
      <c r="F268" s="48" t="str">
        <f t="shared" si="4"/>
        <v>Exorcist: The Beginning : Rating 5.1,  Released in 2004</v>
      </c>
    </row>
    <row r="269" spans="1:6" x14ac:dyDescent="0.35">
      <c r="A269" s="45" t="s">
        <v>1374</v>
      </c>
      <c r="B269" s="45" t="s">
        <v>11</v>
      </c>
      <c r="C269" s="45">
        <v>4.8</v>
      </c>
      <c r="D269" s="45">
        <v>32589</v>
      </c>
      <c r="E269" s="45">
        <v>2004</v>
      </c>
      <c r="F269" s="48" t="str">
        <f t="shared" si="4"/>
        <v>Envy : Rating 4.8,  Released in 2004</v>
      </c>
    </row>
    <row r="270" spans="1:6" x14ac:dyDescent="0.35">
      <c r="A270" s="45" t="s">
        <v>36</v>
      </c>
      <c r="B270" s="45" t="s">
        <v>37</v>
      </c>
      <c r="C270" s="45">
        <v>1.2</v>
      </c>
      <c r="D270" s="45">
        <v>14938</v>
      </c>
      <c r="E270" s="45">
        <v>2004</v>
      </c>
      <c r="F270" s="48" t="str">
        <f t="shared" si="4"/>
        <v>Daniel the Wizard : Rating 1.2,  Released in 2004</v>
      </c>
    </row>
    <row r="271" spans="1:6" x14ac:dyDescent="0.35">
      <c r="A271" s="45" t="s">
        <v>1210</v>
      </c>
      <c r="B271" s="45" t="s">
        <v>291</v>
      </c>
      <c r="C271" s="45">
        <v>4.7</v>
      </c>
      <c r="D271" s="45">
        <v>31927</v>
      </c>
      <c r="E271" s="45">
        <v>2004</v>
      </c>
      <c r="F271" s="48" t="str">
        <f t="shared" si="4"/>
        <v>Confessions of a Teenage Drama Queen : Rating 4.7,  Released in 2004</v>
      </c>
    </row>
    <row r="272" spans="1:6" x14ac:dyDescent="0.35">
      <c r="A272" s="45" t="s">
        <v>337</v>
      </c>
      <c r="B272" s="45" t="s">
        <v>338</v>
      </c>
      <c r="C272" s="45">
        <v>3.4</v>
      </c>
      <c r="D272" s="45">
        <v>127566</v>
      </c>
      <c r="E272" s="45">
        <v>2004</v>
      </c>
      <c r="F272" s="48" t="str">
        <f t="shared" si="4"/>
        <v>Catwoman : Rating 3.4,  Released in 2004</v>
      </c>
    </row>
    <row r="273" spans="1:6" x14ac:dyDescent="0.35">
      <c r="A273" s="45" t="s">
        <v>917</v>
      </c>
      <c r="B273" s="45" t="s">
        <v>149</v>
      </c>
      <c r="C273" s="45">
        <v>4.4000000000000004</v>
      </c>
      <c r="D273" s="45">
        <v>11010</v>
      </c>
      <c r="E273" s="45">
        <v>2004</v>
      </c>
      <c r="F273" s="48" t="str">
        <f t="shared" si="4"/>
        <v>Bring It on: Again : Rating 4.4,  Released in 2004</v>
      </c>
    </row>
    <row r="274" spans="1:6" x14ac:dyDescent="0.35">
      <c r="A274" s="45" t="s">
        <v>1206</v>
      </c>
      <c r="B274" s="45" t="s">
        <v>122</v>
      </c>
      <c r="C274" s="45">
        <v>4.7</v>
      </c>
      <c r="D274" s="45">
        <v>34619</v>
      </c>
      <c r="E274" s="45">
        <v>2004</v>
      </c>
      <c r="F274" s="48" t="str">
        <f t="shared" si="4"/>
        <v>Anacondas: The Hunt for the Blood Orchid : Rating 4.7,  Released in 2004</v>
      </c>
    </row>
    <row r="275" spans="1:6" x14ac:dyDescent="0.35">
      <c r="A275" s="45" t="s">
        <v>1112</v>
      </c>
      <c r="B275" s="45" t="s">
        <v>178</v>
      </c>
      <c r="C275" s="45">
        <v>4.5999999999999996</v>
      </c>
      <c r="D275" s="45">
        <v>16172</v>
      </c>
      <c r="E275" s="45">
        <v>2004</v>
      </c>
      <c r="F275" s="48" t="str">
        <f t="shared" si="4"/>
        <v>Agent Cody Banks 2: Destination London : Rating 4.6,  Released in 2004</v>
      </c>
    </row>
    <row r="276" spans="1:6" x14ac:dyDescent="0.35">
      <c r="A276" s="45" t="s">
        <v>2035</v>
      </c>
      <c r="B276" s="45" t="s">
        <v>11</v>
      </c>
      <c r="C276" s="45">
        <v>5.0999999999999996</v>
      </c>
      <c r="D276" s="45">
        <v>13732</v>
      </c>
      <c r="E276" s="45">
        <v>2004</v>
      </c>
      <c r="F276" s="48" t="str">
        <f t="shared" si="4"/>
        <v>A Dirty Shame : Rating 5.1,  Released in 2004</v>
      </c>
    </row>
    <row r="277" spans="1:6" x14ac:dyDescent="0.35">
      <c r="A277" s="45" t="s">
        <v>1238</v>
      </c>
      <c r="B277" s="45" t="s">
        <v>158</v>
      </c>
      <c r="C277" s="45">
        <v>4.7</v>
      </c>
      <c r="D277" s="45">
        <v>24366</v>
      </c>
      <c r="E277" s="45">
        <v>2004</v>
      </c>
      <c r="F277" s="48" t="str">
        <f t="shared" si="4"/>
        <v>9 Songs : Rating 4.7,  Released in 2004</v>
      </c>
    </row>
    <row r="278" spans="1:6" x14ac:dyDescent="0.35">
      <c r="A278" s="45" t="s">
        <v>935</v>
      </c>
      <c r="B278" s="45" t="s">
        <v>275</v>
      </c>
      <c r="C278" s="45">
        <v>4.5</v>
      </c>
      <c r="D278" s="45">
        <v>74341</v>
      </c>
      <c r="E278" s="45">
        <v>2005</v>
      </c>
      <c r="F278" s="48" t="str">
        <f t="shared" si="4"/>
        <v>xXx: State of the Union : Rating 4.5,  Released in 2005</v>
      </c>
    </row>
    <row r="279" spans="1:6" x14ac:dyDescent="0.35">
      <c r="A279" s="45" t="s">
        <v>1143</v>
      </c>
      <c r="B279" s="45" t="s">
        <v>76</v>
      </c>
      <c r="C279" s="45">
        <v>4.5999999999999996</v>
      </c>
      <c r="D279" s="45">
        <v>11021</v>
      </c>
      <c r="E279" s="45">
        <v>2005</v>
      </c>
      <c r="F279" s="48" t="str">
        <f t="shared" si="4"/>
        <v>Venom : Rating 4.6,  Released in 2005</v>
      </c>
    </row>
    <row r="280" spans="1:6" x14ac:dyDescent="0.35">
      <c r="A280" s="45" t="s">
        <v>1293</v>
      </c>
      <c r="B280" s="45" t="s">
        <v>175</v>
      </c>
      <c r="C280" s="45">
        <v>4.7</v>
      </c>
      <c r="D280" s="45">
        <v>12436</v>
      </c>
      <c r="E280" s="45">
        <v>2005</v>
      </c>
      <c r="F280" s="48" t="str">
        <f t="shared" si="4"/>
        <v>The Return : Rating 4.7,  Released in 2005</v>
      </c>
    </row>
    <row r="281" spans="1:6" x14ac:dyDescent="0.35">
      <c r="A281" s="45" t="s">
        <v>447</v>
      </c>
      <c r="B281" s="45" t="s">
        <v>448</v>
      </c>
      <c r="C281" s="45">
        <v>3.7</v>
      </c>
      <c r="D281" s="45">
        <v>39839</v>
      </c>
      <c r="E281" s="45">
        <v>2005</v>
      </c>
      <c r="F281" s="48" t="str">
        <f t="shared" si="4"/>
        <v>The Fog : Rating 3.7,  Released in 2005</v>
      </c>
    </row>
    <row r="282" spans="1:6" x14ac:dyDescent="0.35">
      <c r="A282" s="45" t="s">
        <v>1871</v>
      </c>
      <c r="B282" s="45" t="s">
        <v>11</v>
      </c>
      <c r="C282" s="45">
        <v>5.0999999999999996</v>
      </c>
      <c r="D282" s="45">
        <v>82607</v>
      </c>
      <c r="E282" s="45">
        <v>2005</v>
      </c>
      <c r="F282" s="48" t="str">
        <f t="shared" si="4"/>
        <v>The Dukes of Hazzard : Rating 5.1,  Released in 2005</v>
      </c>
    </row>
    <row r="283" spans="1:6" x14ac:dyDescent="0.35">
      <c r="A283" s="45" t="s">
        <v>279</v>
      </c>
      <c r="B283" s="45" t="s">
        <v>178</v>
      </c>
      <c r="C283" s="45">
        <v>3</v>
      </c>
      <c r="D283" s="45">
        <v>10063</v>
      </c>
      <c r="E283" s="45">
        <v>2005</v>
      </c>
      <c r="F283" s="48" t="str">
        <f t="shared" si="4"/>
        <v>The Crow: Wicked Prayer : Rating 3,  Released in 2005</v>
      </c>
    </row>
    <row r="284" spans="1:6" x14ac:dyDescent="0.35">
      <c r="A284" s="45" t="s">
        <v>1899</v>
      </c>
      <c r="B284" s="45" t="s">
        <v>1900</v>
      </c>
      <c r="C284" s="45">
        <v>5.0999999999999996</v>
      </c>
      <c r="D284" s="45">
        <v>42213</v>
      </c>
      <c r="E284" s="45">
        <v>2005</v>
      </c>
      <c r="F284" s="48" t="str">
        <f t="shared" si="4"/>
        <v>The Cave : Rating 5.1,  Released in 2005</v>
      </c>
    </row>
    <row r="285" spans="1:6" x14ac:dyDescent="0.35">
      <c r="A285" s="45" t="s">
        <v>495</v>
      </c>
      <c r="B285" s="45" t="s">
        <v>178</v>
      </c>
      <c r="C285" s="45">
        <v>3.8</v>
      </c>
      <c r="D285" s="45">
        <v>43456</v>
      </c>
      <c r="E285" s="45">
        <v>2005</v>
      </c>
      <c r="F285" s="48" t="str">
        <f t="shared" si="4"/>
        <v>The Adventures of Sharkboy and Lavagirl 3-D : Rating 3.8,  Released in 2005</v>
      </c>
    </row>
    <row r="286" spans="1:6" x14ac:dyDescent="0.35">
      <c r="A286" s="45" t="s">
        <v>1832</v>
      </c>
      <c r="B286" s="45" t="s">
        <v>400</v>
      </c>
      <c r="C286" s="45">
        <v>5</v>
      </c>
      <c r="D286" s="45">
        <v>11279</v>
      </c>
      <c r="E286" s="45">
        <v>2005</v>
      </c>
      <c r="F286" s="48" t="str">
        <f t="shared" si="4"/>
        <v>Tamara : Rating 5,  Released in 2005</v>
      </c>
    </row>
    <row r="287" spans="1:6" x14ac:dyDescent="0.35">
      <c r="A287" s="45" t="s">
        <v>1668</v>
      </c>
      <c r="B287" s="45" t="s">
        <v>31</v>
      </c>
      <c r="C287" s="45">
        <v>4.9000000000000004</v>
      </c>
      <c r="D287" s="45">
        <v>10665</v>
      </c>
      <c r="E287" s="45">
        <v>2005</v>
      </c>
      <c r="F287" s="48" t="str">
        <f t="shared" si="4"/>
        <v>Survival Island : Rating 4.9,  Released in 2005</v>
      </c>
    </row>
    <row r="288" spans="1:6" x14ac:dyDescent="0.35">
      <c r="A288" s="45" t="s">
        <v>1881</v>
      </c>
      <c r="B288" s="45" t="s">
        <v>163</v>
      </c>
      <c r="C288" s="45">
        <v>5.0999999999999996</v>
      </c>
      <c r="D288" s="45">
        <v>56751</v>
      </c>
      <c r="E288" s="45">
        <v>2005</v>
      </c>
      <c r="F288" s="48" t="str">
        <f t="shared" si="4"/>
        <v>Stealth : Rating 5.1,  Released in 2005</v>
      </c>
    </row>
    <row r="289" spans="1:6" x14ac:dyDescent="0.35">
      <c r="A289" s="45" t="s">
        <v>139</v>
      </c>
      <c r="B289" s="45" t="s">
        <v>140</v>
      </c>
      <c r="C289" s="45">
        <v>2.2999999999999998</v>
      </c>
      <c r="D289" s="45">
        <v>60120</v>
      </c>
      <c r="E289" s="45">
        <v>2005</v>
      </c>
      <c r="F289" s="48" t="str">
        <f t="shared" si="4"/>
        <v>Son of the Mask : Rating 2.3,  Released in 2005</v>
      </c>
    </row>
    <row r="290" spans="1:6" x14ac:dyDescent="0.35">
      <c r="A290" s="45" t="s">
        <v>2065</v>
      </c>
      <c r="B290" s="45" t="s">
        <v>175</v>
      </c>
      <c r="C290" s="45">
        <v>5.0999999999999996</v>
      </c>
      <c r="D290" s="45">
        <v>10977</v>
      </c>
      <c r="E290" s="45">
        <v>2005</v>
      </c>
      <c r="F290" s="48" t="str">
        <f t="shared" si="4"/>
        <v>Reeker : Rating 5.1,  Released in 2005</v>
      </c>
    </row>
    <row r="291" spans="1:6" x14ac:dyDescent="0.35">
      <c r="A291" s="45" t="s">
        <v>2127</v>
      </c>
      <c r="B291" s="45" t="s">
        <v>146</v>
      </c>
      <c r="C291" s="45">
        <v>5.2</v>
      </c>
      <c r="D291" s="45">
        <v>81432</v>
      </c>
      <c r="E291" s="45">
        <v>2005</v>
      </c>
      <c r="F291" s="48" t="str">
        <f t="shared" si="4"/>
        <v>Miss Congeniality 2: Armed &amp; Fabulous : Rating 5.2,  Released in 2005</v>
      </c>
    </row>
    <row r="292" spans="1:6" x14ac:dyDescent="0.35">
      <c r="A292" s="45" t="s">
        <v>1445</v>
      </c>
      <c r="B292" s="45" t="s">
        <v>1446</v>
      </c>
      <c r="C292" s="45">
        <v>4.8</v>
      </c>
      <c r="D292" s="45">
        <v>15699</v>
      </c>
      <c r="E292" s="45">
        <v>2005</v>
      </c>
      <c r="F292" s="48" t="str">
        <f t="shared" si="4"/>
        <v>Lovewrecked : Rating 4.8,  Released in 2005</v>
      </c>
    </row>
    <row r="293" spans="1:6" x14ac:dyDescent="0.35">
      <c r="A293" s="45" t="s">
        <v>1554</v>
      </c>
      <c r="B293" s="45" t="s">
        <v>217</v>
      </c>
      <c r="C293" s="45">
        <v>4.9000000000000004</v>
      </c>
      <c r="D293" s="45">
        <v>51617</v>
      </c>
      <c r="E293" s="45">
        <v>2005</v>
      </c>
      <c r="F293" s="48" t="str">
        <f t="shared" si="4"/>
        <v>Herbie Fully Loaded : Rating 4.9,  Released in 2005</v>
      </c>
    </row>
    <row r="294" spans="1:6" x14ac:dyDescent="0.35">
      <c r="A294" s="45" t="s">
        <v>733</v>
      </c>
      <c r="B294" s="45" t="s">
        <v>76</v>
      </c>
      <c r="C294" s="45">
        <v>4.2</v>
      </c>
      <c r="D294" s="45">
        <v>13378</v>
      </c>
      <c r="E294" s="45">
        <v>2005</v>
      </c>
      <c r="F294" s="48" t="str">
        <f t="shared" si="4"/>
        <v>Hellraiser: Hellworld : Rating 4.2,  Released in 2005</v>
      </c>
    </row>
    <row r="295" spans="1:6" x14ac:dyDescent="0.35">
      <c r="A295" s="45" t="s">
        <v>909</v>
      </c>
      <c r="B295" s="45" t="s">
        <v>175</v>
      </c>
      <c r="C295" s="45">
        <v>4.4000000000000004</v>
      </c>
      <c r="D295" s="45">
        <v>12212</v>
      </c>
      <c r="E295" s="45">
        <v>2005</v>
      </c>
      <c r="F295" s="48" t="str">
        <f t="shared" si="4"/>
        <v>Hellraiser: Deader : Rating 4.4,  Released in 2005</v>
      </c>
    </row>
    <row r="296" spans="1:6" x14ac:dyDescent="0.35">
      <c r="A296" s="45" t="s">
        <v>1162</v>
      </c>
      <c r="B296" s="45" t="s">
        <v>275</v>
      </c>
      <c r="C296" s="45">
        <v>4.7</v>
      </c>
      <c r="D296" s="45">
        <v>100251</v>
      </c>
      <c r="E296" s="45">
        <v>2005</v>
      </c>
      <c r="F296" s="48" t="str">
        <f t="shared" si="4"/>
        <v>Elektra : Rating 4.7,  Released in 2005</v>
      </c>
    </row>
    <row r="297" spans="1:6" x14ac:dyDescent="0.35">
      <c r="A297" s="45" t="s">
        <v>2113</v>
      </c>
      <c r="B297" s="45" t="s">
        <v>155</v>
      </c>
      <c r="C297" s="45">
        <v>5.2</v>
      </c>
      <c r="D297" s="45">
        <v>120222</v>
      </c>
      <c r="E297" s="45">
        <v>2005</v>
      </c>
      <c r="F297" s="48" t="str">
        <f t="shared" si="4"/>
        <v>Doom : Rating 5.2,  Released in 2005</v>
      </c>
    </row>
    <row r="298" spans="1:6" x14ac:dyDescent="0.35">
      <c r="A298" s="45" t="s">
        <v>2031</v>
      </c>
      <c r="B298" s="45" t="s">
        <v>584</v>
      </c>
      <c r="C298" s="45">
        <v>5.0999999999999996</v>
      </c>
      <c r="D298" s="45">
        <v>13987</v>
      </c>
      <c r="E298" s="45">
        <v>2005</v>
      </c>
      <c r="F298" s="48" t="str">
        <f t="shared" si="4"/>
        <v>Dominion: Prequel to the Exorcist : Rating 5.1,  Released in 2005</v>
      </c>
    </row>
    <row r="299" spans="1:6" x14ac:dyDescent="0.35">
      <c r="A299" s="45" t="s">
        <v>1178</v>
      </c>
      <c r="B299" s="45" t="s">
        <v>11</v>
      </c>
      <c r="C299" s="45">
        <v>4.7</v>
      </c>
      <c r="D299" s="45">
        <v>54002</v>
      </c>
      <c r="E299" s="45">
        <v>2005</v>
      </c>
      <c r="F299" s="48" t="str">
        <f t="shared" si="4"/>
        <v>Deuce Bigalow: European Gigolo : Rating 4.7,  Released in 2005</v>
      </c>
    </row>
    <row r="300" spans="1:6" x14ac:dyDescent="0.35">
      <c r="A300" s="45" t="s">
        <v>1670</v>
      </c>
      <c r="B300" s="45" t="s">
        <v>1671</v>
      </c>
      <c r="C300" s="45">
        <v>4.9000000000000004</v>
      </c>
      <c r="D300" s="45">
        <v>10637</v>
      </c>
      <c r="E300" s="45">
        <v>2005</v>
      </c>
      <c r="F300" s="48" t="str">
        <f t="shared" si="4"/>
        <v>Dancing with the Stars : Rating 4.9,  Released in 2005</v>
      </c>
    </row>
    <row r="301" spans="1:6" x14ac:dyDescent="0.35">
      <c r="A301" s="45" t="s">
        <v>1914</v>
      </c>
      <c r="B301" s="45" t="s">
        <v>1098</v>
      </c>
      <c r="C301" s="45">
        <v>5.0999999999999996</v>
      </c>
      <c r="D301" s="45">
        <v>35718</v>
      </c>
      <c r="E301" s="45">
        <v>2005</v>
      </c>
      <c r="F301" s="48" t="str">
        <f t="shared" si="4"/>
        <v>Cursed : Rating 5.1,  Released in 2005</v>
      </c>
    </row>
    <row r="302" spans="1:6" x14ac:dyDescent="0.35">
      <c r="A302" s="45" t="s">
        <v>701</v>
      </c>
      <c r="B302" s="45" t="s">
        <v>565</v>
      </c>
      <c r="C302" s="45">
        <v>4.2</v>
      </c>
      <c r="D302" s="45">
        <v>32959</v>
      </c>
      <c r="E302" s="45">
        <v>2005</v>
      </c>
      <c r="F302" s="48" t="str">
        <f t="shared" si="4"/>
        <v>Boogeyman : Rating 4.2,  Released in 2005</v>
      </c>
    </row>
    <row r="303" spans="1:6" x14ac:dyDescent="0.35">
      <c r="A303" s="45" t="s">
        <v>266</v>
      </c>
      <c r="B303" s="45" t="s">
        <v>267</v>
      </c>
      <c r="C303" s="45">
        <v>3</v>
      </c>
      <c r="D303" s="45">
        <v>37559</v>
      </c>
      <c r="E303" s="45">
        <v>2005</v>
      </c>
      <c r="F303" s="48" t="str">
        <f t="shared" si="4"/>
        <v>BloodRayne : Rating 3,  Released in 2005</v>
      </c>
    </row>
    <row r="304" spans="1:6" x14ac:dyDescent="0.35">
      <c r="A304" s="45" t="s">
        <v>1328</v>
      </c>
      <c r="B304" s="45" t="s">
        <v>1329</v>
      </c>
      <c r="C304" s="45">
        <v>4.8</v>
      </c>
      <c r="D304" s="45">
        <v>76235</v>
      </c>
      <c r="E304" s="45">
        <v>2005</v>
      </c>
      <c r="F304" s="48" t="str">
        <f t="shared" si="4"/>
        <v>Bewitched : Rating 4.8,  Released in 2005</v>
      </c>
    </row>
    <row r="305" spans="1:6" x14ac:dyDescent="0.35">
      <c r="A305" s="45" t="s">
        <v>1370</v>
      </c>
      <c r="B305" s="45" t="s">
        <v>217</v>
      </c>
      <c r="C305" s="45">
        <v>4.8</v>
      </c>
      <c r="D305" s="45">
        <v>35096</v>
      </c>
      <c r="E305" s="45">
        <v>2005</v>
      </c>
      <c r="F305" s="48" t="str">
        <f t="shared" si="4"/>
        <v>Are We There Yet? : Rating 4.8,  Released in 2005</v>
      </c>
    </row>
    <row r="306" spans="1:6" x14ac:dyDescent="0.35">
      <c r="A306" s="45" t="s">
        <v>1748</v>
      </c>
      <c r="B306" s="45" t="s">
        <v>565</v>
      </c>
      <c r="C306" s="45">
        <v>5</v>
      </c>
      <c r="D306" s="45">
        <v>27196</v>
      </c>
      <c r="E306" s="45">
        <v>2005</v>
      </c>
      <c r="F306" s="48" t="str">
        <f t="shared" si="4"/>
        <v>An American Haunting : Rating 5,  Released in 2005</v>
      </c>
    </row>
    <row r="307" spans="1:6" x14ac:dyDescent="0.35">
      <c r="A307" s="45" t="s">
        <v>1685</v>
      </c>
      <c r="B307" s="45" t="s">
        <v>11</v>
      </c>
      <c r="C307" s="45">
        <v>5</v>
      </c>
      <c r="D307" s="45">
        <v>76565</v>
      </c>
      <c r="E307" s="45">
        <v>2005</v>
      </c>
      <c r="F307" s="48" t="str">
        <f t="shared" si="4"/>
        <v>American Pie Presents: Band Camp : Rating 5,  Released in 2005</v>
      </c>
    </row>
    <row r="308" spans="1:6" x14ac:dyDescent="0.35">
      <c r="A308" s="45" t="s">
        <v>154</v>
      </c>
      <c r="B308" s="45" t="s">
        <v>155</v>
      </c>
      <c r="C308" s="45">
        <v>2.4</v>
      </c>
      <c r="D308" s="45">
        <v>47417</v>
      </c>
      <c r="E308" s="45">
        <v>2005</v>
      </c>
      <c r="F308" s="48" t="str">
        <f t="shared" si="4"/>
        <v>Alone in the Dark : Rating 2.4,  Released in 2005</v>
      </c>
    </row>
    <row r="309" spans="1:6" x14ac:dyDescent="0.35">
      <c r="A309" s="45" t="s">
        <v>713</v>
      </c>
      <c r="B309" s="45" t="s">
        <v>122</v>
      </c>
      <c r="C309" s="45">
        <v>4.2</v>
      </c>
      <c r="D309" s="45">
        <v>20755</v>
      </c>
      <c r="E309" s="45">
        <v>2005</v>
      </c>
      <c r="F309" s="48" t="str">
        <f t="shared" si="4"/>
        <v>A Sound of Thunder : Rating 4.2,  Released in 2005</v>
      </c>
    </row>
    <row r="310" spans="1:6" x14ac:dyDescent="0.35">
      <c r="A310" s="45" t="s">
        <v>875</v>
      </c>
      <c r="B310" s="45" t="s">
        <v>178</v>
      </c>
      <c r="C310" s="45">
        <v>4.4000000000000004</v>
      </c>
      <c r="D310" s="45">
        <v>23135</v>
      </c>
      <c r="E310" s="45">
        <v>2006</v>
      </c>
      <c r="F310" s="48" t="str">
        <f t="shared" si="4"/>
        <v>Zoom : Rating 4.4,  Released in 2006</v>
      </c>
    </row>
    <row r="311" spans="1:6" x14ac:dyDescent="0.35">
      <c r="A311" s="45" t="s">
        <v>1891</v>
      </c>
      <c r="B311" s="45" t="s">
        <v>82</v>
      </c>
      <c r="C311" s="45">
        <v>5.0999999999999996</v>
      </c>
      <c r="D311" s="45">
        <v>49376</v>
      </c>
      <c r="E311" s="45">
        <v>2006</v>
      </c>
      <c r="F311" s="48" t="str">
        <f t="shared" si="4"/>
        <v>When a Stranger Calls : Rating 5.1,  Released in 2006</v>
      </c>
    </row>
    <row r="312" spans="1:6" x14ac:dyDescent="0.35">
      <c r="A312" s="45" t="s">
        <v>1394</v>
      </c>
      <c r="B312" s="45" t="s">
        <v>116</v>
      </c>
      <c r="C312" s="45">
        <v>4.8</v>
      </c>
      <c r="D312" s="45">
        <v>24209</v>
      </c>
      <c r="E312" s="45">
        <v>2006</v>
      </c>
      <c r="F312" s="48" t="str">
        <f t="shared" si="4"/>
        <v>Van Wilder: The Rise of Taj : Rating 4.8,  Released in 2006</v>
      </c>
    </row>
    <row r="313" spans="1:6" x14ac:dyDescent="0.35">
      <c r="A313" s="45" t="s">
        <v>834</v>
      </c>
      <c r="B313" s="45" t="s">
        <v>172</v>
      </c>
      <c r="C313" s="45">
        <v>4.4000000000000004</v>
      </c>
      <c r="D313" s="45">
        <v>84625</v>
      </c>
      <c r="E313" s="45">
        <v>2006</v>
      </c>
      <c r="F313" s="48" t="str">
        <f t="shared" si="4"/>
        <v>Ultraviolet : Rating 4.4,  Released in 2006</v>
      </c>
    </row>
    <row r="314" spans="1:6" x14ac:dyDescent="0.35">
      <c r="A314" s="45" t="s">
        <v>61</v>
      </c>
      <c r="B314" s="45" t="s">
        <v>62</v>
      </c>
      <c r="C314" s="45">
        <v>1.5</v>
      </c>
      <c r="D314" s="45">
        <v>16829</v>
      </c>
      <c r="E314" s="45">
        <v>2006</v>
      </c>
      <c r="F314" s="48" t="str">
        <f t="shared" si="4"/>
        <v>Turks in Space : Rating 1.5,  Released in 2006</v>
      </c>
    </row>
    <row r="315" spans="1:6" x14ac:dyDescent="0.35">
      <c r="A315" s="45" t="s">
        <v>481</v>
      </c>
      <c r="B315" s="45" t="s">
        <v>175</v>
      </c>
      <c r="C315" s="45">
        <v>3.8</v>
      </c>
      <c r="D315" s="45">
        <v>72530</v>
      </c>
      <c r="E315" s="45">
        <v>2006</v>
      </c>
      <c r="F315" s="48" t="str">
        <f t="shared" si="4"/>
        <v>The Wicker Man : Rating 3.8,  Released in 2006</v>
      </c>
    </row>
    <row r="316" spans="1:6" x14ac:dyDescent="0.35">
      <c r="A316" s="45" t="s">
        <v>881</v>
      </c>
      <c r="B316" s="45" t="s">
        <v>140</v>
      </c>
      <c r="C316" s="45">
        <v>4.4000000000000004</v>
      </c>
      <c r="D316" s="45">
        <v>20411</v>
      </c>
      <c r="E316" s="45">
        <v>2006</v>
      </c>
      <c r="F316" s="48" t="str">
        <f t="shared" si="4"/>
        <v>The Shaggy Dog : Rating 4.4,  Released in 2006</v>
      </c>
    </row>
    <row r="317" spans="1:6" x14ac:dyDescent="0.35">
      <c r="A317" s="45" t="s">
        <v>1354</v>
      </c>
      <c r="B317" s="45" t="s">
        <v>217</v>
      </c>
      <c r="C317" s="45">
        <v>4.8</v>
      </c>
      <c r="D317" s="45">
        <v>43211</v>
      </c>
      <c r="E317" s="45">
        <v>2006</v>
      </c>
      <c r="F317" s="48" t="str">
        <f t="shared" si="4"/>
        <v>The Santa Clause 3: The Escape Clause : Rating 4.8,  Released in 2006</v>
      </c>
    </row>
    <row r="318" spans="1:6" x14ac:dyDescent="0.35">
      <c r="A318" s="45" t="s">
        <v>1368</v>
      </c>
      <c r="B318" s="45" t="s">
        <v>125</v>
      </c>
      <c r="C318" s="45">
        <v>4.8</v>
      </c>
      <c r="D318" s="45">
        <v>36320</v>
      </c>
      <c r="E318" s="45">
        <v>2006</v>
      </c>
      <c r="F318" s="48" t="str">
        <f t="shared" si="4"/>
        <v>The Marine : Rating 4.8,  Released in 2006</v>
      </c>
    </row>
    <row r="319" spans="1:6" x14ac:dyDescent="0.35">
      <c r="A319" s="45" t="s">
        <v>518</v>
      </c>
      <c r="B319" s="45" t="s">
        <v>519</v>
      </c>
      <c r="C319" s="45">
        <v>3.8</v>
      </c>
      <c r="D319" s="45">
        <v>11617</v>
      </c>
      <c r="E319" s="45">
        <v>2006</v>
      </c>
      <c r="F319" s="48" t="str">
        <f t="shared" si="4"/>
        <v>The Hills : Rating 3.8,  Released in 2006</v>
      </c>
    </row>
    <row r="320" spans="1:6" x14ac:dyDescent="0.35">
      <c r="A320" s="45" t="s">
        <v>1885</v>
      </c>
      <c r="B320" s="45" t="s">
        <v>82</v>
      </c>
      <c r="C320" s="45">
        <v>5.0999999999999996</v>
      </c>
      <c r="D320" s="45">
        <v>52043</v>
      </c>
      <c r="E320" s="45">
        <v>2006</v>
      </c>
      <c r="F320" s="48" t="str">
        <f t="shared" si="4"/>
        <v>The Grudge 2 : Rating 5.1,  Released in 2006</v>
      </c>
    </row>
    <row r="321" spans="1:6" x14ac:dyDescent="0.35">
      <c r="A321" s="45" t="s">
        <v>2163</v>
      </c>
      <c r="B321" s="45" t="s">
        <v>597</v>
      </c>
      <c r="C321" s="45">
        <v>5.2</v>
      </c>
      <c r="D321" s="45">
        <v>52788</v>
      </c>
      <c r="E321" s="45">
        <v>2006</v>
      </c>
      <c r="F321" s="48" t="str">
        <f t="shared" si="4"/>
        <v>The Covenant : Rating 5.2,  Released in 2006</v>
      </c>
    </row>
    <row r="322" spans="1:6" x14ac:dyDescent="0.35">
      <c r="A322" s="45" t="s">
        <v>950</v>
      </c>
      <c r="B322" s="45" t="s">
        <v>951</v>
      </c>
      <c r="C322" s="45">
        <v>4.5</v>
      </c>
      <c r="D322" s="45">
        <v>37695</v>
      </c>
      <c r="E322" s="45">
        <v>2006</v>
      </c>
      <c r="F322" s="48" t="str">
        <f t="shared" ref="F322:F385" si="5">_xlfn.CONCAT(TRIM(A322)," ", ": Rating"," ",C322,",","  ","Released in", " ",E322)</f>
        <v>The Butterfly Effect 2 : Rating 4.5,  Released in 2006</v>
      </c>
    </row>
    <row r="323" spans="1:6" x14ac:dyDescent="0.35">
      <c r="A323" s="45" t="s">
        <v>2027</v>
      </c>
      <c r="B323" s="45" t="s">
        <v>169</v>
      </c>
      <c r="C323" s="45">
        <v>5.0999999999999996</v>
      </c>
      <c r="D323" s="45">
        <v>14554</v>
      </c>
      <c r="E323" s="45">
        <v>2006</v>
      </c>
      <c r="F323" s="48" t="str">
        <f t="shared" si="5"/>
        <v>The Breed : Rating 5.1,  Released in 2006</v>
      </c>
    </row>
    <row r="324" spans="1:6" x14ac:dyDescent="0.35">
      <c r="A324" s="45" t="s">
        <v>1938</v>
      </c>
      <c r="B324" s="45" t="s">
        <v>477</v>
      </c>
      <c r="C324" s="45">
        <v>5.0999999999999996</v>
      </c>
      <c r="D324" s="45">
        <v>25853</v>
      </c>
      <c r="E324" s="45">
        <v>2006</v>
      </c>
      <c r="F324" s="48" t="str">
        <f t="shared" si="5"/>
        <v>Stormbreaker : Rating 5.1,  Released in 2006</v>
      </c>
    </row>
    <row r="325" spans="1:6" x14ac:dyDescent="0.35">
      <c r="A325" s="45" t="s">
        <v>1722</v>
      </c>
      <c r="B325" s="45" t="s">
        <v>915</v>
      </c>
      <c r="C325" s="45">
        <v>5</v>
      </c>
      <c r="D325" s="45">
        <v>34517</v>
      </c>
      <c r="E325" s="45">
        <v>2006</v>
      </c>
      <c r="F325" s="48" t="str">
        <f t="shared" si="5"/>
        <v>Stay Alive : Rating 5,  Released in 2006</v>
      </c>
    </row>
    <row r="326" spans="1:6" x14ac:dyDescent="0.35">
      <c r="A326" s="45" t="s">
        <v>995</v>
      </c>
      <c r="B326" s="45" t="s">
        <v>267</v>
      </c>
      <c r="C326" s="45">
        <v>4.5</v>
      </c>
      <c r="D326" s="45">
        <v>13898</v>
      </c>
      <c r="E326" s="45">
        <v>2006</v>
      </c>
      <c r="F326" s="48" t="str">
        <f t="shared" si="5"/>
        <v>Skinwalkers : Rating 4.5,  Released in 2006</v>
      </c>
    </row>
    <row r="327" spans="1:6" x14ac:dyDescent="0.35">
      <c r="A327" s="45" t="s">
        <v>1742</v>
      </c>
      <c r="B327" s="45" t="s">
        <v>571</v>
      </c>
      <c r="C327" s="45">
        <v>5</v>
      </c>
      <c r="D327" s="45">
        <v>29436</v>
      </c>
      <c r="E327" s="45">
        <v>2006</v>
      </c>
      <c r="F327" s="48" t="str">
        <f t="shared" si="5"/>
        <v>See No Evil : Rating 5,  Released in 2006</v>
      </c>
    </row>
    <row r="328" spans="1:6" x14ac:dyDescent="0.35">
      <c r="A328" s="45" t="s">
        <v>1856</v>
      </c>
      <c r="B328" s="45" t="s">
        <v>11</v>
      </c>
      <c r="C328" s="45">
        <v>5.0999999999999996</v>
      </c>
      <c r="D328" s="45">
        <v>131453</v>
      </c>
      <c r="E328" s="45">
        <v>2006</v>
      </c>
      <c r="F328" s="48" t="str">
        <f t="shared" si="5"/>
        <v>Scary Movie 4 : Rating 5.1,  Released in 2006</v>
      </c>
    </row>
    <row r="329" spans="1:6" x14ac:dyDescent="0.35">
      <c r="A329" s="45" t="s">
        <v>1008</v>
      </c>
      <c r="B329" s="45" t="s">
        <v>1009</v>
      </c>
      <c r="C329" s="45">
        <v>4.5</v>
      </c>
      <c r="D329" s="45">
        <v>11963</v>
      </c>
      <c r="E329" s="45">
        <v>2006</v>
      </c>
      <c r="F329" s="48" t="str">
        <f t="shared" si="5"/>
        <v>Rest Stop : Rating 4.5,  Released in 2006</v>
      </c>
    </row>
    <row r="330" spans="1:6" x14ac:dyDescent="0.35">
      <c r="A330" s="45" t="s">
        <v>1212</v>
      </c>
      <c r="B330" s="45" t="s">
        <v>474</v>
      </c>
      <c r="C330" s="45">
        <v>4.7</v>
      </c>
      <c r="D330" s="45">
        <v>31247</v>
      </c>
      <c r="E330" s="45">
        <v>2006</v>
      </c>
      <c r="F330" s="48" t="str">
        <f t="shared" si="5"/>
        <v>Pulse : Rating 4.7,  Released in 2006</v>
      </c>
    </row>
    <row r="331" spans="1:6" x14ac:dyDescent="0.35">
      <c r="A331" s="45" t="s">
        <v>84</v>
      </c>
      <c r="B331" s="45" t="s">
        <v>11</v>
      </c>
      <c r="C331" s="45">
        <v>1.7</v>
      </c>
      <c r="D331" s="45">
        <v>18975</v>
      </c>
      <c r="E331" s="45">
        <v>2006</v>
      </c>
      <c r="F331" s="48" t="str">
        <f t="shared" si="5"/>
        <v>Pledge This! : Rating 1.7,  Released in 2006</v>
      </c>
    </row>
    <row r="332" spans="1:6" x14ac:dyDescent="0.35">
      <c r="A332" s="45" t="s">
        <v>2143</v>
      </c>
      <c r="B332" s="45" t="s">
        <v>944</v>
      </c>
      <c r="C332" s="45">
        <v>5.2</v>
      </c>
      <c r="D332" s="45">
        <v>67625</v>
      </c>
      <c r="E332" s="45">
        <v>2006</v>
      </c>
      <c r="F332" s="48" t="str">
        <f t="shared" si="5"/>
        <v>My Super Ex-Girlfriend : Rating 5.2,  Released in 2006</v>
      </c>
    </row>
    <row r="333" spans="1:6" x14ac:dyDescent="0.35">
      <c r="A333" s="45" t="s">
        <v>601</v>
      </c>
      <c r="B333" s="45" t="s">
        <v>455</v>
      </c>
      <c r="C333" s="45">
        <v>4</v>
      </c>
      <c r="D333" s="45">
        <v>22857</v>
      </c>
      <c r="E333" s="45">
        <v>2006</v>
      </c>
      <c r="F333" s="48" t="str">
        <f t="shared" si="5"/>
        <v>Material Girls : Rating 4,  Released in 2006</v>
      </c>
    </row>
    <row r="334" spans="1:6" x14ac:dyDescent="0.35">
      <c r="A334" s="45" t="s">
        <v>939</v>
      </c>
      <c r="B334" s="45" t="s">
        <v>214</v>
      </c>
      <c r="C334" s="45">
        <v>4.5</v>
      </c>
      <c r="D334" s="45">
        <v>61281</v>
      </c>
      <c r="E334" s="45">
        <v>2006</v>
      </c>
      <c r="F334" s="48" t="str">
        <f t="shared" si="5"/>
        <v>Little Man : Rating 4.5,  Released in 2006</v>
      </c>
    </row>
    <row r="335" spans="1:6" x14ac:dyDescent="0.35">
      <c r="A335" s="45" t="s">
        <v>397</v>
      </c>
      <c r="B335" s="45" t="s">
        <v>116</v>
      </c>
      <c r="C335" s="45">
        <v>3.5</v>
      </c>
      <c r="D335" s="45">
        <v>12561</v>
      </c>
      <c r="E335" s="45">
        <v>2006</v>
      </c>
      <c r="F335" s="48" t="str">
        <f t="shared" si="5"/>
        <v>Larry the Cable Guy: Health Inspector : Rating 3.5,  Released in 2006</v>
      </c>
    </row>
    <row r="336" spans="1:6" x14ac:dyDescent="0.35">
      <c r="A336" s="45" t="s">
        <v>363</v>
      </c>
      <c r="B336" s="45" t="s">
        <v>175</v>
      </c>
      <c r="C336" s="45">
        <v>3.4</v>
      </c>
      <c r="D336" s="45">
        <v>13827</v>
      </c>
      <c r="E336" s="45">
        <v>2006</v>
      </c>
      <c r="F336" s="48" t="str">
        <f t="shared" si="5"/>
        <v>I'll Always Know What You Did Last Summer : Rating 3.4,  Released in 2006</v>
      </c>
    </row>
    <row r="337" spans="1:6" x14ac:dyDescent="0.35">
      <c r="A337" s="45" t="s">
        <v>919</v>
      </c>
      <c r="B337" s="45" t="s">
        <v>155</v>
      </c>
      <c r="C337" s="45">
        <v>4.4000000000000004</v>
      </c>
      <c r="D337" s="45">
        <v>10415</v>
      </c>
      <c r="E337" s="45">
        <v>2006</v>
      </c>
      <c r="F337" s="48" t="str">
        <f t="shared" si="5"/>
        <v>Hollow Man II : Rating 4.4,  Released in 2006</v>
      </c>
    </row>
    <row r="338" spans="1:6" x14ac:dyDescent="0.35">
      <c r="A338" s="45" t="s">
        <v>1015</v>
      </c>
      <c r="B338" s="45" t="s">
        <v>65</v>
      </c>
      <c r="C338" s="45">
        <v>4.5</v>
      </c>
      <c r="D338" s="45">
        <v>11255</v>
      </c>
      <c r="E338" s="45">
        <v>2006</v>
      </c>
      <c r="F338" s="48" t="str">
        <f t="shared" si="5"/>
        <v>Happily N'Ever After : Rating 4.5,  Released in 2006</v>
      </c>
    </row>
    <row r="339" spans="1:6" x14ac:dyDescent="0.35">
      <c r="A339" s="45" t="s">
        <v>1703</v>
      </c>
      <c r="B339" s="45" t="s">
        <v>217</v>
      </c>
      <c r="C339" s="45">
        <v>5</v>
      </c>
      <c r="D339" s="45">
        <v>48401</v>
      </c>
      <c r="E339" s="45">
        <v>2006</v>
      </c>
      <c r="F339" s="48" t="str">
        <f t="shared" si="5"/>
        <v>Garfield: A Tail of Two Kitties : Rating 5,  Released in 2006</v>
      </c>
    </row>
    <row r="340" spans="1:6" x14ac:dyDescent="0.35">
      <c r="A340" s="45" t="s">
        <v>1854</v>
      </c>
      <c r="B340" s="45" t="s">
        <v>477</v>
      </c>
      <c r="C340" s="45">
        <v>5.0999999999999996</v>
      </c>
      <c r="D340" s="45">
        <v>131549</v>
      </c>
      <c r="E340" s="45">
        <v>2006</v>
      </c>
      <c r="F340" s="48" t="str">
        <f t="shared" si="5"/>
        <v>Eragon : Rating 5.1,  Released in 2006</v>
      </c>
    </row>
    <row r="341" spans="1:6" x14ac:dyDescent="0.35">
      <c r="A341" s="45" t="s">
        <v>1341</v>
      </c>
      <c r="B341" s="45" t="s">
        <v>1342</v>
      </c>
      <c r="C341" s="45">
        <v>4.8</v>
      </c>
      <c r="D341" s="45">
        <v>46718</v>
      </c>
      <c r="E341" s="45">
        <v>2006</v>
      </c>
      <c r="F341" s="48" t="str">
        <f t="shared" si="5"/>
        <v>DOA: Dead or Alive : Rating 4.8,  Released in 2006</v>
      </c>
    </row>
    <row r="342" spans="1:6" x14ac:dyDescent="0.35">
      <c r="A342" s="45" t="s">
        <v>1922</v>
      </c>
      <c r="B342" s="45" t="s">
        <v>44</v>
      </c>
      <c r="C342" s="45">
        <v>5.0999999999999996</v>
      </c>
      <c r="D342" s="45">
        <v>33502</v>
      </c>
      <c r="E342" s="45">
        <v>2006</v>
      </c>
      <c r="F342" s="48" t="str">
        <f t="shared" si="5"/>
        <v>Deck the Halls : Rating 5.1,  Released in 2006</v>
      </c>
    </row>
    <row r="343" spans="1:6" x14ac:dyDescent="0.35">
      <c r="A343" s="45" t="s">
        <v>229</v>
      </c>
      <c r="B343" s="45" t="s">
        <v>116</v>
      </c>
      <c r="C343" s="45">
        <v>2.8</v>
      </c>
      <c r="D343" s="45">
        <v>62675</v>
      </c>
      <c r="E343" s="45">
        <v>2006</v>
      </c>
      <c r="F343" s="48" t="str">
        <f t="shared" si="5"/>
        <v>Date Movie : Rating 2.8,  Released in 2006</v>
      </c>
    </row>
    <row r="344" spans="1:6" x14ac:dyDescent="0.35">
      <c r="A344" s="45" t="s">
        <v>380</v>
      </c>
      <c r="B344" s="45" t="s">
        <v>76</v>
      </c>
      <c r="C344" s="45">
        <v>4.7</v>
      </c>
      <c r="D344" s="45">
        <v>31102</v>
      </c>
      <c r="E344" s="45">
        <v>2006</v>
      </c>
      <c r="F344" s="48" t="str">
        <f t="shared" si="5"/>
        <v>Black Christmas : Rating 4.7,  Released in 2006</v>
      </c>
    </row>
    <row r="345" spans="1:6" x14ac:dyDescent="0.35">
      <c r="A345" s="45" t="s">
        <v>1339</v>
      </c>
      <c r="B345" s="45" t="s">
        <v>214</v>
      </c>
      <c r="C345" s="45">
        <v>4.8</v>
      </c>
      <c r="D345" s="45">
        <v>47211</v>
      </c>
      <c r="E345" s="45">
        <v>2006</v>
      </c>
      <c r="F345" s="48" t="str">
        <f t="shared" si="5"/>
        <v>Big Momma's House 2 : Rating 4.8,  Released in 2006</v>
      </c>
    </row>
    <row r="346" spans="1:6" x14ac:dyDescent="0.35">
      <c r="A346" s="45" t="s">
        <v>845</v>
      </c>
      <c r="B346" s="45" t="s">
        <v>846</v>
      </c>
      <c r="C346" s="45">
        <v>4.4000000000000004</v>
      </c>
      <c r="D346" s="45">
        <v>42107</v>
      </c>
      <c r="E346" s="45">
        <v>2006</v>
      </c>
      <c r="F346" s="48" t="str">
        <f t="shared" si="5"/>
        <v>Basic Instinct 2 : Rating 4.4,  Released in 2006</v>
      </c>
    </row>
    <row r="347" spans="1:6" x14ac:dyDescent="0.35">
      <c r="A347" s="45" t="s">
        <v>1875</v>
      </c>
      <c r="B347" s="45" t="s">
        <v>11</v>
      </c>
      <c r="C347" s="45">
        <v>5.0999999999999996</v>
      </c>
      <c r="D347" s="45">
        <v>75162</v>
      </c>
      <c r="E347" s="45">
        <v>2006</v>
      </c>
      <c r="F347" s="48" t="str">
        <f t="shared" si="5"/>
        <v>American Pie Presents: The Naked Mile : Rating 5.1,  Released in 2006</v>
      </c>
    </row>
    <row r="348" spans="1:6" x14ac:dyDescent="0.35">
      <c r="A348" s="45" t="s">
        <v>148</v>
      </c>
      <c r="B348" s="45" t="s">
        <v>149</v>
      </c>
      <c r="C348" s="45">
        <v>2.2999999999999998</v>
      </c>
      <c r="D348" s="45">
        <v>15639</v>
      </c>
      <c r="E348" s="45">
        <v>2007</v>
      </c>
      <c r="F348" s="48" t="str">
        <f t="shared" si="5"/>
        <v>Who's Your Caddy? : Rating 2.3,  Released in 2007</v>
      </c>
    </row>
    <row r="349" spans="1:6" x14ac:dyDescent="0.35">
      <c r="A349" s="45" t="s">
        <v>1400</v>
      </c>
      <c r="B349" s="45" t="s">
        <v>178</v>
      </c>
      <c r="C349" s="45">
        <v>4.8</v>
      </c>
      <c r="D349" s="45">
        <v>23019</v>
      </c>
      <c r="E349" s="45">
        <v>2007</v>
      </c>
      <c r="F349" s="48" t="str">
        <f t="shared" si="5"/>
        <v>Underdog : Rating 4.8,  Released in 2007</v>
      </c>
    </row>
    <row r="350" spans="1:6" x14ac:dyDescent="0.35">
      <c r="A350" s="45" t="s">
        <v>1617</v>
      </c>
      <c r="B350" s="45" t="s">
        <v>116</v>
      </c>
      <c r="C350" s="45">
        <v>4.9000000000000004</v>
      </c>
      <c r="D350" s="45">
        <v>17031</v>
      </c>
      <c r="E350" s="45">
        <v>2007</v>
      </c>
      <c r="F350" s="48" t="str">
        <f t="shared" si="5"/>
        <v>The Ten : Rating 4.9,  Released in 2007</v>
      </c>
    </row>
    <row r="351" spans="1:6" x14ac:dyDescent="0.35">
      <c r="A351" s="45" t="s">
        <v>1439</v>
      </c>
      <c r="B351" s="45" t="s">
        <v>762</v>
      </c>
      <c r="C351" s="45">
        <v>4.8</v>
      </c>
      <c r="D351" s="45">
        <v>15945</v>
      </c>
      <c r="E351" s="45">
        <v>2007</v>
      </c>
      <c r="F351" s="48" t="str">
        <f t="shared" si="5"/>
        <v>The Seeker: The Dark Is Rising : Rating 4.8,  Released in 2007</v>
      </c>
    </row>
    <row r="352" spans="1:6" x14ac:dyDescent="0.35">
      <c r="A352" s="45" t="s">
        <v>1877</v>
      </c>
      <c r="B352" s="45" t="s">
        <v>82</v>
      </c>
      <c r="C352" s="45">
        <v>5.0999999999999996</v>
      </c>
      <c r="D352" s="45">
        <v>68727</v>
      </c>
      <c r="E352" s="45">
        <v>2007</v>
      </c>
      <c r="F352" s="48" t="str">
        <f t="shared" si="5"/>
        <v>The Hills Have Eyes 2 : Rating 5.1,  Released in 2007</v>
      </c>
    </row>
    <row r="353" spans="1:6" x14ac:dyDescent="0.35">
      <c r="A353" s="45" t="s">
        <v>812</v>
      </c>
      <c r="B353" s="45" t="s">
        <v>149</v>
      </c>
      <c r="C353" s="45">
        <v>4.3</v>
      </c>
      <c r="D353" s="45">
        <v>12138</v>
      </c>
      <c r="E353" s="45">
        <v>2007</v>
      </c>
      <c r="F353" s="48" t="str">
        <f t="shared" si="5"/>
        <v>The Comebacks : Rating 4.3,  Released in 2007</v>
      </c>
    </row>
    <row r="354" spans="1:6" x14ac:dyDescent="0.35">
      <c r="A354" s="45" t="s">
        <v>1097</v>
      </c>
      <c r="B354" s="45" t="s">
        <v>1098</v>
      </c>
      <c r="C354" s="45">
        <v>4.5999999999999996</v>
      </c>
      <c r="D354" s="45">
        <v>17918</v>
      </c>
      <c r="E354" s="45">
        <v>2007</v>
      </c>
      <c r="F354" s="48" t="str">
        <f t="shared" si="5"/>
        <v>Shrooms : Rating 4.6,  Released in 2007</v>
      </c>
    </row>
    <row r="355" spans="1:6" x14ac:dyDescent="0.35">
      <c r="A355" s="45" t="s">
        <v>2083</v>
      </c>
      <c r="B355" s="45" t="s">
        <v>270</v>
      </c>
      <c r="C355" s="45">
        <v>5.0999999999999996</v>
      </c>
      <c r="D355" s="45">
        <v>10334</v>
      </c>
      <c r="E355" s="45">
        <v>2007</v>
      </c>
      <c r="F355" s="48" t="str">
        <f t="shared" si="5"/>
        <v>Sacred Demijohn : Rating 5.1,  Released in 2007</v>
      </c>
    </row>
    <row r="356" spans="1:6" x14ac:dyDescent="0.35">
      <c r="A356" s="45" t="s">
        <v>1641</v>
      </c>
      <c r="B356" s="45" t="s">
        <v>1642</v>
      </c>
      <c r="C356" s="45">
        <v>4.9000000000000004</v>
      </c>
      <c r="D356" s="45">
        <v>12710</v>
      </c>
      <c r="E356" s="45">
        <v>2007</v>
      </c>
      <c r="F356" s="48" t="str">
        <f t="shared" si="5"/>
        <v>Rise: Blood Hunter : Rating 4.9,  Released in 2007</v>
      </c>
    </row>
    <row r="357" spans="1:6" x14ac:dyDescent="0.35">
      <c r="A357" s="45" t="s">
        <v>1019</v>
      </c>
      <c r="B357" s="45" t="s">
        <v>1020</v>
      </c>
      <c r="C357" s="45">
        <v>4.5</v>
      </c>
      <c r="D357" s="45">
        <v>10713</v>
      </c>
      <c r="E357" s="45">
        <v>2007</v>
      </c>
      <c r="F357" s="48" t="str">
        <f t="shared" si="5"/>
        <v>Return to House on Haunted Hill : Rating 4.5,  Released in 2007</v>
      </c>
    </row>
    <row r="358" spans="1:6" x14ac:dyDescent="0.35">
      <c r="A358" s="45" t="s">
        <v>1453</v>
      </c>
      <c r="B358" s="45" t="s">
        <v>275</v>
      </c>
      <c r="C358" s="45">
        <v>4.8</v>
      </c>
      <c r="D358" s="45">
        <v>15334</v>
      </c>
      <c r="E358" s="45">
        <v>2007</v>
      </c>
      <c r="F358" s="48" t="str">
        <f t="shared" si="5"/>
        <v>Primeval : Rating 4.8,  Released in 2007</v>
      </c>
    </row>
    <row r="359" spans="1:6" x14ac:dyDescent="0.35">
      <c r="A359" s="45" t="s">
        <v>969</v>
      </c>
      <c r="B359" s="45" t="s">
        <v>146</v>
      </c>
      <c r="C359" s="45">
        <v>4.5</v>
      </c>
      <c r="D359" s="45">
        <v>24501</v>
      </c>
      <c r="E359" s="45">
        <v>2007</v>
      </c>
      <c r="F359" s="48" t="str">
        <f t="shared" si="5"/>
        <v>Postal : Rating 4.5,  Released in 2007</v>
      </c>
    </row>
    <row r="360" spans="1:6" x14ac:dyDescent="0.35">
      <c r="A360" s="45" t="s">
        <v>684</v>
      </c>
      <c r="B360" s="45" t="s">
        <v>116</v>
      </c>
      <c r="C360" s="45">
        <v>4.2</v>
      </c>
      <c r="D360" s="45">
        <v>81273</v>
      </c>
      <c r="E360" s="45">
        <v>2007</v>
      </c>
      <c r="F360" s="48" t="str">
        <f t="shared" si="5"/>
        <v>Norbit : Rating 4.2,  Released in 2007</v>
      </c>
    </row>
    <row r="361" spans="1:6" x14ac:dyDescent="0.35">
      <c r="A361" s="45" t="s">
        <v>2185</v>
      </c>
      <c r="B361" s="45" t="s">
        <v>50</v>
      </c>
      <c r="C361" s="45">
        <v>5.2</v>
      </c>
      <c r="D361" s="45">
        <v>37266</v>
      </c>
      <c r="E361" s="45">
        <v>2007</v>
      </c>
      <c r="F361" s="48" t="str">
        <f t="shared" si="5"/>
        <v>Mr. Woodcock : Rating 5.2,  Released in 2007</v>
      </c>
    </row>
    <row r="362" spans="1:6" x14ac:dyDescent="0.35">
      <c r="A362" s="45" t="s">
        <v>1828</v>
      </c>
      <c r="B362" s="45" t="s">
        <v>584</v>
      </c>
      <c r="C362" s="45">
        <v>5</v>
      </c>
      <c r="D362" s="45">
        <v>11370</v>
      </c>
      <c r="E362" s="45">
        <v>2007</v>
      </c>
      <c r="F362" s="48" t="str">
        <f t="shared" si="5"/>
        <v>Mother of Tears : Rating 5,  Released in 2007</v>
      </c>
    </row>
    <row r="363" spans="1:6" x14ac:dyDescent="0.35">
      <c r="A363" s="45" t="s">
        <v>253</v>
      </c>
      <c r="B363" s="45" t="s">
        <v>254</v>
      </c>
      <c r="C363" s="45">
        <v>2.9</v>
      </c>
      <c r="D363" s="45">
        <v>31725</v>
      </c>
      <c r="E363" s="45">
        <v>2007</v>
      </c>
      <c r="F363" s="48" t="str">
        <f t="shared" si="5"/>
        <v>Keeping Up with the Kardashians : Rating 2.9,  Released in 2007</v>
      </c>
    </row>
    <row r="364" spans="1:6" x14ac:dyDescent="0.35">
      <c r="A364" s="45" t="s">
        <v>485</v>
      </c>
      <c r="B364" s="45" t="s">
        <v>166</v>
      </c>
      <c r="C364" s="45">
        <v>3.8</v>
      </c>
      <c r="D364" s="45">
        <v>51642</v>
      </c>
      <c r="E364" s="45">
        <v>2007</v>
      </c>
      <c r="F364" s="48" t="str">
        <f t="shared" si="5"/>
        <v>In the Name of the King: A Dungeon Siege Tale : Rating 3.8,  Released in 2007</v>
      </c>
    </row>
    <row r="365" spans="1:6" x14ac:dyDescent="0.35">
      <c r="A365" s="45" t="s">
        <v>410</v>
      </c>
      <c r="B365" s="45" t="s">
        <v>175</v>
      </c>
      <c r="C365" s="45">
        <v>3.6</v>
      </c>
      <c r="D365" s="45">
        <v>31257</v>
      </c>
      <c r="E365" s="45">
        <v>2007</v>
      </c>
      <c r="F365" s="48" t="str">
        <f t="shared" si="5"/>
        <v>I Know Who Killed Me : Rating 3.6,  Released in 2007</v>
      </c>
    </row>
    <row r="366" spans="1:6" x14ac:dyDescent="0.35">
      <c r="A366" s="45" t="s">
        <v>281</v>
      </c>
      <c r="B366" s="45" t="s">
        <v>93</v>
      </c>
      <c r="C366" s="45">
        <v>3</v>
      </c>
      <c r="D366" s="45">
        <v>10030</v>
      </c>
      <c r="E366" s="45">
        <v>2007</v>
      </c>
      <c r="F366" s="48" t="str">
        <f t="shared" si="5"/>
        <v>Highlander: The Source : Rating 3,  Released in 2007</v>
      </c>
    </row>
    <row r="367" spans="1:6" x14ac:dyDescent="0.35">
      <c r="A367" s="45" t="s">
        <v>2141</v>
      </c>
      <c r="B367" s="45" t="s">
        <v>232</v>
      </c>
      <c r="C367" s="45">
        <v>5.2</v>
      </c>
      <c r="D367" s="45">
        <v>67633</v>
      </c>
      <c r="E367" s="45">
        <v>2007</v>
      </c>
      <c r="F367" s="48" t="str">
        <f t="shared" si="5"/>
        <v>High School Musical 2 : Rating 5.2,  Released in 2007</v>
      </c>
    </row>
    <row r="368" spans="1:6" x14ac:dyDescent="0.35">
      <c r="A368" s="45" t="s">
        <v>151</v>
      </c>
      <c r="B368" s="45" t="s">
        <v>152</v>
      </c>
      <c r="C368" s="45">
        <v>2.4</v>
      </c>
      <c r="D368" s="45">
        <v>110384</v>
      </c>
      <c r="E368" s="45">
        <v>2007</v>
      </c>
      <c r="F368" s="48" t="str">
        <f t="shared" si="5"/>
        <v>Epic Movie : Rating 2.4,  Released in 2007</v>
      </c>
    </row>
    <row r="369" spans="1:6" x14ac:dyDescent="0.35">
      <c r="A369" s="45" t="s">
        <v>375</v>
      </c>
      <c r="B369" s="45" t="s">
        <v>376</v>
      </c>
      <c r="C369" s="45">
        <v>3.5</v>
      </c>
      <c r="D369" s="45">
        <v>25539</v>
      </c>
      <c r="E369" s="45">
        <v>2007</v>
      </c>
      <c r="F369" s="48" t="str">
        <f t="shared" si="5"/>
        <v>Dragon Wars: D-War : Rating 3.5,  Released in 2007</v>
      </c>
    </row>
    <row r="370" spans="1:6" x14ac:dyDescent="0.35">
      <c r="A370" s="45" t="s">
        <v>471</v>
      </c>
      <c r="B370" s="45" t="s">
        <v>178</v>
      </c>
      <c r="C370" s="45">
        <v>3.7</v>
      </c>
      <c r="D370" s="45">
        <v>11575</v>
      </c>
      <c r="E370" s="45">
        <v>2007</v>
      </c>
      <c r="F370" s="48" t="str">
        <f t="shared" si="5"/>
        <v>Delta Farce : Rating 3.7,  Released in 2007</v>
      </c>
    </row>
    <row r="371" spans="1:6" x14ac:dyDescent="0.35">
      <c r="A371" s="45" t="s">
        <v>301</v>
      </c>
      <c r="B371" s="45" t="s">
        <v>44</v>
      </c>
      <c r="C371" s="45">
        <v>3.2</v>
      </c>
      <c r="D371" s="45">
        <v>18148</v>
      </c>
      <c r="E371" s="45">
        <v>2007</v>
      </c>
      <c r="F371" s="48" t="str">
        <f t="shared" si="5"/>
        <v>Daddy Day Camp : Rating 3.2,  Released in 2007</v>
      </c>
    </row>
    <row r="372" spans="1:6" x14ac:dyDescent="0.35">
      <c r="A372" s="45" t="s">
        <v>1131</v>
      </c>
      <c r="B372" s="45" t="s">
        <v>146</v>
      </c>
      <c r="C372" s="45">
        <v>4.5999999999999996</v>
      </c>
      <c r="D372" s="45">
        <v>12278</v>
      </c>
      <c r="E372" s="45">
        <v>2007</v>
      </c>
      <c r="F372" s="48" t="str">
        <f t="shared" si="5"/>
        <v>Code Name: The Cleaner : Rating 4.6,  Released in 2007</v>
      </c>
    </row>
    <row r="373" spans="1:6" x14ac:dyDescent="0.35">
      <c r="A373" s="45" t="s">
        <v>1071</v>
      </c>
      <c r="B373" s="45" t="s">
        <v>1072</v>
      </c>
      <c r="C373" s="45">
        <v>4.5999999999999996</v>
      </c>
      <c r="D373" s="45">
        <v>23858</v>
      </c>
      <c r="E373" s="45">
        <v>2007</v>
      </c>
      <c r="F373" s="48" t="str">
        <f t="shared" si="5"/>
        <v>Captivity : Rating 4.6,  Released in 2007</v>
      </c>
    </row>
    <row r="374" spans="1:6" x14ac:dyDescent="0.35">
      <c r="A374" s="45" t="s">
        <v>2029</v>
      </c>
      <c r="B374" s="45" t="s">
        <v>149</v>
      </c>
      <c r="C374" s="45">
        <v>5.0999999999999996</v>
      </c>
      <c r="D374" s="45">
        <v>14244</v>
      </c>
      <c r="E374" s="45">
        <v>2007</v>
      </c>
      <c r="F374" s="48" t="str">
        <f t="shared" si="5"/>
        <v>Bring It On: In It to Win It : Rating 5.1,  Released in 2007</v>
      </c>
    </row>
    <row r="375" spans="1:6" x14ac:dyDescent="0.35">
      <c r="A375" s="45" t="s">
        <v>290</v>
      </c>
      <c r="B375" s="45" t="s">
        <v>291</v>
      </c>
      <c r="C375" s="45">
        <v>3.1</v>
      </c>
      <c r="D375" s="45">
        <v>25105</v>
      </c>
      <c r="E375" s="45">
        <v>2007</v>
      </c>
      <c r="F375" s="48" t="str">
        <f t="shared" si="5"/>
        <v>Bratz : Rating 3.1,  Released in 2007</v>
      </c>
    </row>
    <row r="376" spans="1:6" x14ac:dyDescent="0.35">
      <c r="A376" s="45" t="s">
        <v>221</v>
      </c>
      <c r="B376" s="45" t="s">
        <v>222</v>
      </c>
      <c r="C376" s="45">
        <v>2.7</v>
      </c>
      <c r="D376" s="45">
        <v>11689</v>
      </c>
      <c r="E376" s="45">
        <v>2007</v>
      </c>
      <c r="F376" s="48" t="str">
        <f t="shared" si="5"/>
        <v>BloodRayne: Deliverance : Rating 2.7,  Released in 2007</v>
      </c>
    </row>
    <row r="377" spans="1:6" x14ac:dyDescent="0.35">
      <c r="A377" s="45" t="s">
        <v>774</v>
      </c>
      <c r="B377" s="45" t="s">
        <v>44</v>
      </c>
      <c r="C377" s="45">
        <v>4.3</v>
      </c>
      <c r="D377" s="45">
        <v>22904</v>
      </c>
      <c r="E377" s="45">
        <v>2007</v>
      </c>
      <c r="F377" s="48" t="str">
        <f t="shared" si="5"/>
        <v>Are We Done Yet? : Rating 4.3,  Released in 2007</v>
      </c>
    </row>
    <row r="378" spans="1:6" x14ac:dyDescent="0.35">
      <c r="A378" s="45" t="s">
        <v>2123</v>
      </c>
      <c r="B378" s="45" t="s">
        <v>217</v>
      </c>
      <c r="C378" s="45">
        <v>5.2</v>
      </c>
      <c r="D378" s="45">
        <v>97181</v>
      </c>
      <c r="E378" s="45">
        <v>2007</v>
      </c>
      <c r="F378" s="48" t="str">
        <f t="shared" si="5"/>
        <v>Alvin and the Chipmunks : Rating 5.2,  Released in 2007</v>
      </c>
    </row>
    <row r="379" spans="1:6" x14ac:dyDescent="0.35">
      <c r="A379" s="45" t="s">
        <v>1024</v>
      </c>
      <c r="B379" s="45" t="s">
        <v>155</v>
      </c>
      <c r="C379" s="45">
        <v>4.5999999999999996</v>
      </c>
      <c r="D379" s="45">
        <v>137996</v>
      </c>
      <c r="E379" s="45">
        <v>2007</v>
      </c>
      <c r="F379" s="48" t="str">
        <f t="shared" si="5"/>
        <v>Aliens vs. Predator: Requiem : Rating 4.6,  Released in 2007</v>
      </c>
    </row>
    <row r="380" spans="1:6" x14ac:dyDescent="0.35">
      <c r="A380" s="45" t="s">
        <v>658</v>
      </c>
      <c r="B380" s="45" t="s">
        <v>137</v>
      </c>
      <c r="C380" s="45">
        <v>4.0999999999999996</v>
      </c>
      <c r="D380" s="45">
        <v>19131</v>
      </c>
      <c r="E380" s="45">
        <v>2008</v>
      </c>
      <c r="F380" s="48" t="str">
        <f t="shared" si="5"/>
        <v>Zombie Strippers! : Rating 4.1,  Released in 2008</v>
      </c>
    </row>
    <row r="381" spans="1:6" x14ac:dyDescent="0.35">
      <c r="A381" s="45" t="s">
        <v>1754</v>
      </c>
      <c r="B381" s="45" t="s">
        <v>646</v>
      </c>
      <c r="C381" s="45">
        <v>5</v>
      </c>
      <c r="D381" s="45">
        <v>23466</v>
      </c>
      <c r="E381" s="45">
        <v>2008</v>
      </c>
      <c r="F381" s="48" t="str">
        <f t="shared" si="5"/>
        <v>The Women : Rating 5,  Released in 2008</v>
      </c>
    </row>
    <row r="382" spans="1:6" x14ac:dyDescent="0.35">
      <c r="A382" s="45" t="s">
        <v>1172</v>
      </c>
      <c r="B382" s="45" t="s">
        <v>338</v>
      </c>
      <c r="C382" s="45">
        <v>4.7</v>
      </c>
      <c r="D382" s="45">
        <v>63227</v>
      </c>
      <c r="E382" s="45">
        <v>2008</v>
      </c>
      <c r="F382" s="48" t="str">
        <f t="shared" si="5"/>
        <v>The Spirit : Rating 4.7,  Released in 2008</v>
      </c>
    </row>
    <row r="383" spans="1:6" x14ac:dyDescent="0.35">
      <c r="A383" s="45" t="s">
        <v>1605</v>
      </c>
      <c r="B383" s="45" t="s">
        <v>232</v>
      </c>
      <c r="C383" s="45">
        <v>4.9000000000000004</v>
      </c>
      <c r="D383" s="45">
        <v>21128</v>
      </c>
      <c r="E383" s="45">
        <v>2008</v>
      </c>
      <c r="F383" s="48" t="str">
        <f t="shared" si="5"/>
        <v>The Secret Life of the American Teenager : Rating 4.9,  Released in 2008</v>
      </c>
    </row>
    <row r="384" spans="1:6" x14ac:dyDescent="0.35">
      <c r="A384" s="45" t="s">
        <v>505</v>
      </c>
      <c r="B384" s="45" t="s">
        <v>166</v>
      </c>
      <c r="C384" s="45">
        <v>3.8</v>
      </c>
      <c r="D384" s="45">
        <v>14876</v>
      </c>
      <c r="E384" s="45">
        <v>2008</v>
      </c>
      <c r="F384" s="48" t="str">
        <f t="shared" si="5"/>
        <v>The Scorpion King 2: Rise of a Warrior : Rating 3.8,  Released in 2008</v>
      </c>
    </row>
    <row r="385" spans="1:6" x14ac:dyDescent="0.35">
      <c r="A385" s="45" t="s">
        <v>2107</v>
      </c>
      <c r="B385" s="45" t="s">
        <v>166</v>
      </c>
      <c r="C385" s="45">
        <v>5.2</v>
      </c>
      <c r="D385" s="45">
        <v>173199</v>
      </c>
      <c r="E385" s="45">
        <v>2008</v>
      </c>
      <c r="F385" s="48" t="str">
        <f t="shared" si="5"/>
        <v>The Mummy: Tomb of the Dragon Emperor : Rating 5.2,  Released in 2008</v>
      </c>
    </row>
    <row r="386" spans="1:6" x14ac:dyDescent="0.35">
      <c r="A386" s="45" t="s">
        <v>483</v>
      </c>
      <c r="B386" s="45" t="s">
        <v>50</v>
      </c>
      <c r="C386" s="45">
        <v>3.8</v>
      </c>
      <c r="D386" s="45">
        <v>55504</v>
      </c>
      <c r="E386" s="45">
        <v>2008</v>
      </c>
      <c r="F386" s="48" t="str">
        <f t="shared" ref="F386:F449" si="6">_xlfn.CONCAT(TRIM(A386)," ", ": Rating"," ",C386,",","  ","Released in", " ",E386)</f>
        <v>The Love Guru : Rating 3.8,  Released in 2008</v>
      </c>
    </row>
    <row r="387" spans="1:6" x14ac:dyDescent="0.35">
      <c r="A387" s="45" t="s">
        <v>1615</v>
      </c>
      <c r="B387" s="45" t="s">
        <v>606</v>
      </c>
      <c r="C387" s="45">
        <v>4.9000000000000004</v>
      </c>
      <c r="D387" s="45">
        <v>17670</v>
      </c>
      <c r="E387" s="45">
        <v>2008</v>
      </c>
      <c r="F387" s="48" t="str">
        <f t="shared" si="6"/>
        <v>The Informers : Rating 4.9,  Released in 2008</v>
      </c>
    </row>
    <row r="388" spans="1:6" x14ac:dyDescent="0.35">
      <c r="A388" s="45" t="s">
        <v>115</v>
      </c>
      <c r="B388" s="45" t="s">
        <v>116</v>
      </c>
      <c r="C388" s="45">
        <v>2</v>
      </c>
      <c r="D388" s="45">
        <v>39296</v>
      </c>
      <c r="E388" s="45">
        <v>2008</v>
      </c>
      <c r="F388" s="48" t="str">
        <f t="shared" si="6"/>
        <v>The Hottie &amp; the Nottie : Rating 2,  Released in 2008</v>
      </c>
    </row>
    <row r="389" spans="1:6" x14ac:dyDescent="0.35">
      <c r="A389" s="45" t="s">
        <v>586</v>
      </c>
      <c r="B389" s="45" t="s">
        <v>584</v>
      </c>
      <c r="C389" s="45">
        <v>3.9</v>
      </c>
      <c r="D389" s="45">
        <v>10232</v>
      </c>
      <c r="E389" s="45">
        <v>2008</v>
      </c>
      <c r="F389" s="48" t="str">
        <f t="shared" si="6"/>
        <v>The Haunting of Molly Hartley : Rating 3.9,  Released in 2008</v>
      </c>
    </row>
    <row r="390" spans="1:6" x14ac:dyDescent="0.35">
      <c r="A390" s="45" t="s">
        <v>1675</v>
      </c>
      <c r="B390" s="45" t="s">
        <v>560</v>
      </c>
      <c r="C390" s="45">
        <v>5</v>
      </c>
      <c r="D390" s="45">
        <v>220066</v>
      </c>
      <c r="E390" s="45">
        <v>2008</v>
      </c>
      <c r="F390" s="48" t="str">
        <f t="shared" si="6"/>
        <v>The Happening : Rating 5,  Released in 2008</v>
      </c>
    </row>
    <row r="391" spans="1:6" x14ac:dyDescent="0.35">
      <c r="A391" s="45" t="s">
        <v>1164</v>
      </c>
      <c r="B391" s="45" t="s">
        <v>62</v>
      </c>
      <c r="C391" s="45">
        <v>4.7</v>
      </c>
      <c r="D391" s="45">
        <v>77530</v>
      </c>
      <c r="E391" s="45">
        <v>2008</v>
      </c>
      <c r="F391" s="48" t="str">
        <f t="shared" si="6"/>
        <v>Superhero Movie : Rating 4.7,  Released in 2008</v>
      </c>
    </row>
    <row r="392" spans="1:6" x14ac:dyDescent="0.35">
      <c r="A392" s="45" t="s">
        <v>770</v>
      </c>
      <c r="B392" s="45" t="s">
        <v>163</v>
      </c>
      <c r="C392" s="45">
        <v>4.3</v>
      </c>
      <c r="D392" s="45">
        <v>24871</v>
      </c>
      <c r="E392" s="45">
        <v>2008</v>
      </c>
      <c r="F392" s="48" t="str">
        <f t="shared" si="6"/>
        <v>Starship Troopers 3: Marauder : Rating 4.3,  Released in 2008</v>
      </c>
    </row>
    <row r="393" spans="1:6" x14ac:dyDescent="0.35">
      <c r="A393" s="45" t="s">
        <v>1001</v>
      </c>
      <c r="B393" s="45" t="s">
        <v>65</v>
      </c>
      <c r="C393" s="45">
        <v>4.5</v>
      </c>
      <c r="D393" s="45">
        <v>12749</v>
      </c>
      <c r="E393" s="45">
        <v>2008</v>
      </c>
      <c r="F393" s="48" t="str">
        <f t="shared" si="6"/>
        <v>Space Chimps : Rating 4.5,  Released in 2008</v>
      </c>
    </row>
    <row r="394" spans="1:6" x14ac:dyDescent="0.35">
      <c r="A394" s="45" t="s">
        <v>2179</v>
      </c>
      <c r="B394" s="45" t="s">
        <v>175</v>
      </c>
      <c r="C394" s="45">
        <v>5.2</v>
      </c>
      <c r="D394" s="45">
        <v>38126</v>
      </c>
      <c r="E394" s="45">
        <v>2008</v>
      </c>
      <c r="F394" s="48" t="str">
        <f t="shared" si="6"/>
        <v>Shutter : Rating 5.2,  Released in 2008</v>
      </c>
    </row>
    <row r="395" spans="1:6" x14ac:dyDescent="0.35">
      <c r="A395" s="45" t="s">
        <v>1580</v>
      </c>
      <c r="B395" s="45" t="s">
        <v>11</v>
      </c>
      <c r="C395" s="45">
        <v>4.9000000000000004</v>
      </c>
      <c r="D395" s="45">
        <v>29491</v>
      </c>
      <c r="E395" s="45">
        <v>2008</v>
      </c>
      <c r="F395" s="48" t="str">
        <f t="shared" si="6"/>
        <v>Recep Ivedik : Rating 4.9,  Released in 2008</v>
      </c>
    </row>
    <row r="396" spans="1:6" x14ac:dyDescent="0.35">
      <c r="A396" s="45" t="s">
        <v>537</v>
      </c>
      <c r="B396" s="45" t="s">
        <v>76</v>
      </c>
      <c r="C396" s="45">
        <v>3.9</v>
      </c>
      <c r="D396" s="45">
        <v>38624</v>
      </c>
      <c r="E396" s="45">
        <v>2008</v>
      </c>
      <c r="F396" s="48" t="str">
        <f t="shared" si="6"/>
        <v>Prom Night : Rating 3.9,  Released in 2008</v>
      </c>
    </row>
    <row r="397" spans="1:6" x14ac:dyDescent="0.35">
      <c r="A397" s="45" t="s">
        <v>2067</v>
      </c>
      <c r="B397" s="45" t="s">
        <v>128</v>
      </c>
      <c r="C397" s="45">
        <v>5.0999999999999996</v>
      </c>
      <c r="D397" s="45">
        <v>10969</v>
      </c>
      <c r="E397" s="45">
        <v>2008</v>
      </c>
      <c r="F397" s="48" t="str">
        <f t="shared" si="6"/>
        <v>Picture This : Rating 5.1,  Released in 2008</v>
      </c>
    </row>
    <row r="398" spans="1:6" x14ac:dyDescent="0.35">
      <c r="A398" s="45" t="s">
        <v>599</v>
      </c>
      <c r="B398" s="45" t="s">
        <v>448</v>
      </c>
      <c r="C398" s="45">
        <v>4</v>
      </c>
      <c r="D398" s="45">
        <v>34414</v>
      </c>
      <c r="E398" s="45">
        <v>2008</v>
      </c>
      <c r="F398" s="48" t="str">
        <f t="shared" si="6"/>
        <v>One Missed Call : Rating 4,  Released in 2008</v>
      </c>
    </row>
    <row r="399" spans="1:6" x14ac:dyDescent="0.35">
      <c r="A399" s="45" t="s">
        <v>226</v>
      </c>
      <c r="B399" s="45" t="s">
        <v>227</v>
      </c>
      <c r="C399" s="45">
        <v>2.8</v>
      </c>
      <c r="D399" s="45">
        <v>112412</v>
      </c>
      <c r="E399" s="45">
        <v>2008</v>
      </c>
      <c r="F399" s="48" t="str">
        <f t="shared" si="6"/>
        <v>Meet the Spartans : Rating 2.8,  Released in 2008</v>
      </c>
    </row>
    <row r="400" spans="1:6" x14ac:dyDescent="0.35">
      <c r="A400" s="45" t="s">
        <v>1895</v>
      </c>
      <c r="B400" s="45" t="s">
        <v>217</v>
      </c>
      <c r="C400" s="45">
        <v>5.0999999999999996</v>
      </c>
      <c r="D400" s="45">
        <v>44307</v>
      </c>
      <c r="E400" s="45">
        <v>2008</v>
      </c>
      <c r="F400" s="48" t="str">
        <f t="shared" si="6"/>
        <v>Meet Dave : Rating 5.1,  Released in 2008</v>
      </c>
    </row>
    <row r="401" spans="1:6" x14ac:dyDescent="0.35">
      <c r="A401" s="45" t="s">
        <v>1017</v>
      </c>
      <c r="B401" s="45" t="s">
        <v>349</v>
      </c>
      <c r="C401" s="45">
        <v>4.5</v>
      </c>
      <c r="D401" s="45">
        <v>10852</v>
      </c>
      <c r="E401" s="45">
        <v>2008</v>
      </c>
      <c r="F401" s="48" t="str">
        <f t="shared" si="6"/>
        <v>Lost Boys: The Tribe : Rating 4.5,  Released in 2008</v>
      </c>
    </row>
    <row r="402" spans="1:6" x14ac:dyDescent="0.35">
      <c r="A402" s="45" t="s">
        <v>1842</v>
      </c>
      <c r="B402" s="45" t="s">
        <v>1020</v>
      </c>
      <c r="C402" s="45">
        <v>5</v>
      </c>
      <c r="D402" s="45">
        <v>10539</v>
      </c>
      <c r="E402" s="45">
        <v>2008</v>
      </c>
      <c r="F402" s="48" t="str">
        <f t="shared" si="6"/>
        <v>Kandisha : Rating 5,  Released in 2008</v>
      </c>
    </row>
    <row r="403" spans="1:6" x14ac:dyDescent="0.35">
      <c r="A403" s="45" t="s">
        <v>1693</v>
      </c>
      <c r="B403" s="45" t="s">
        <v>232</v>
      </c>
      <c r="C403" s="45">
        <v>5</v>
      </c>
      <c r="D403" s="45">
        <v>68834</v>
      </c>
      <c r="E403" s="45">
        <v>2008</v>
      </c>
      <c r="F403" s="48" t="str">
        <f t="shared" si="6"/>
        <v>High School Musical 3: Senior Year : Rating 5,  Released in 2008</v>
      </c>
    </row>
    <row r="404" spans="1:6" x14ac:dyDescent="0.35">
      <c r="A404" s="45" t="s">
        <v>1780</v>
      </c>
      <c r="B404" s="45" t="s">
        <v>568</v>
      </c>
      <c r="C404" s="45">
        <v>5</v>
      </c>
      <c r="D404" s="45">
        <v>16533</v>
      </c>
      <c r="E404" s="45">
        <v>2008</v>
      </c>
      <c r="F404" s="48" t="str">
        <f t="shared" si="6"/>
        <v>Hell Ride : Rating 5,  Released in 2008</v>
      </c>
    </row>
    <row r="405" spans="1:6" x14ac:dyDescent="0.35">
      <c r="A405" s="45" t="s">
        <v>219</v>
      </c>
      <c r="B405" s="45" t="s">
        <v>68</v>
      </c>
      <c r="C405" s="45">
        <v>2.7</v>
      </c>
      <c r="D405" s="45">
        <v>12207</v>
      </c>
      <c r="E405" s="45">
        <v>2008</v>
      </c>
      <c r="F405" s="48" t="str">
        <f t="shared" si="6"/>
        <v>Hannah Montana and Miley Cyrus: Best of Both Worlds Concert : Rating 2.7,  Released in 2008</v>
      </c>
    </row>
    <row r="406" spans="1:6" x14ac:dyDescent="0.35">
      <c r="A406" s="45" t="s">
        <v>1137</v>
      </c>
      <c r="B406" s="45" t="s">
        <v>1039</v>
      </c>
      <c r="C406" s="45">
        <v>4.5999999999999996</v>
      </c>
      <c r="D406" s="45">
        <v>11867</v>
      </c>
      <c r="E406" s="45">
        <v>2008</v>
      </c>
      <c r="F406" s="48" t="str">
        <f t="shared" si="6"/>
        <v>First Sunday : Rating 4.6,  Released in 2008</v>
      </c>
    </row>
    <row r="407" spans="1:6" x14ac:dyDescent="0.35">
      <c r="A407" s="45" t="s">
        <v>305</v>
      </c>
      <c r="B407" s="45" t="s">
        <v>163</v>
      </c>
      <c r="C407" s="45">
        <v>3.2</v>
      </c>
      <c r="D407" s="45">
        <v>15151</v>
      </c>
      <c r="E407" s="45">
        <v>2008</v>
      </c>
      <c r="F407" s="48" t="str">
        <f t="shared" si="6"/>
        <v>Far Cry : Rating 3.2,  Released in 2008</v>
      </c>
    </row>
    <row r="408" spans="1:6" x14ac:dyDescent="0.35">
      <c r="A408" s="45" t="s">
        <v>469</v>
      </c>
      <c r="B408" s="45" t="s">
        <v>11</v>
      </c>
      <c r="C408" s="45">
        <v>3.7</v>
      </c>
      <c r="D408" s="45">
        <v>11668</v>
      </c>
      <c r="E408" s="45">
        <v>2008</v>
      </c>
      <c r="F408" s="48" t="str">
        <f t="shared" si="6"/>
        <v>Extreme Movie : Rating 3.7,  Released in 2008</v>
      </c>
    </row>
    <row r="409" spans="1:6" x14ac:dyDescent="0.35">
      <c r="A409" s="45" t="s">
        <v>466</v>
      </c>
      <c r="B409" s="45" t="s">
        <v>467</v>
      </c>
      <c r="C409" s="45">
        <v>3.7</v>
      </c>
      <c r="D409" s="45">
        <v>12218</v>
      </c>
      <c r="E409" s="45">
        <v>2008</v>
      </c>
      <c r="F409" s="48" t="str">
        <f t="shared" si="6"/>
        <v>Expelled: No Intelligence Allowed : Rating 3.7,  Released in 2008</v>
      </c>
    </row>
    <row r="410" spans="1:6" x14ac:dyDescent="0.35">
      <c r="A410" s="45" t="s">
        <v>103</v>
      </c>
      <c r="B410" s="45" t="s">
        <v>104</v>
      </c>
      <c r="C410" s="45">
        <v>1.9</v>
      </c>
      <c r="D410" s="45">
        <v>95369</v>
      </c>
      <c r="E410" s="45">
        <v>2008</v>
      </c>
      <c r="F410" s="48" t="str">
        <f t="shared" si="6"/>
        <v>Disaster Movie : Rating 1.9,  Released in 2008</v>
      </c>
    </row>
    <row r="411" spans="1:6" x14ac:dyDescent="0.35">
      <c r="A411" s="45" t="s">
        <v>978</v>
      </c>
      <c r="B411" s="45" t="s">
        <v>155</v>
      </c>
      <c r="C411" s="45">
        <v>4.5</v>
      </c>
      <c r="D411" s="45">
        <v>22037</v>
      </c>
      <c r="E411" s="45">
        <v>2008</v>
      </c>
      <c r="F411" s="48" t="str">
        <f t="shared" si="6"/>
        <v>Day of the Dead : Rating 4.5,  Released in 2008</v>
      </c>
    </row>
    <row r="412" spans="1:6" x14ac:dyDescent="0.35">
      <c r="A412" s="45" t="s">
        <v>797</v>
      </c>
      <c r="B412" s="45" t="s">
        <v>549</v>
      </c>
      <c r="C412" s="45">
        <v>4.3</v>
      </c>
      <c r="D412" s="45">
        <v>16854</v>
      </c>
      <c r="E412" s="45">
        <v>2008</v>
      </c>
      <c r="F412" s="48" t="str">
        <f t="shared" si="6"/>
        <v>College Road Trip : Rating 4.3,  Released in 2008</v>
      </c>
    </row>
    <row r="413" spans="1:6" x14ac:dyDescent="0.35">
      <c r="A413" s="45" t="s">
        <v>1123</v>
      </c>
      <c r="B413" s="45" t="s">
        <v>11</v>
      </c>
      <c r="C413" s="45">
        <v>4.5999999999999996</v>
      </c>
      <c r="D413" s="45">
        <v>12735</v>
      </c>
      <c r="E413" s="45">
        <v>2008</v>
      </c>
      <c r="F413" s="48" t="str">
        <f t="shared" si="6"/>
        <v>College : Rating 4.6,  Released in 2008</v>
      </c>
    </row>
    <row r="414" spans="1:6" x14ac:dyDescent="0.35">
      <c r="A414" s="45" t="s">
        <v>2177</v>
      </c>
      <c r="B414" s="45" t="s">
        <v>291</v>
      </c>
      <c r="C414" s="45">
        <v>5.2</v>
      </c>
      <c r="D414" s="45">
        <v>38239</v>
      </c>
      <c r="E414" s="45">
        <v>2008</v>
      </c>
      <c r="F414" s="48" t="str">
        <f t="shared" si="6"/>
        <v>Camp Rock : Rating 5.2,  Released in 2008</v>
      </c>
    </row>
    <row r="415" spans="1:6" x14ac:dyDescent="0.35">
      <c r="A415" s="45" t="s">
        <v>548</v>
      </c>
      <c r="B415" s="45" t="s">
        <v>549</v>
      </c>
      <c r="C415" s="45">
        <v>3.9</v>
      </c>
      <c r="D415" s="45">
        <v>26296</v>
      </c>
      <c r="E415" s="45">
        <v>2008</v>
      </c>
      <c r="F415" s="48" t="str">
        <f t="shared" si="6"/>
        <v>Beverly Hills Chihuahua : Rating 3.9,  Released in 2008</v>
      </c>
    </row>
    <row r="416" spans="1:6" x14ac:dyDescent="0.35">
      <c r="A416" s="45" t="s">
        <v>2191</v>
      </c>
      <c r="B416" s="45" t="s">
        <v>217</v>
      </c>
      <c r="C416" s="45">
        <v>5.2</v>
      </c>
      <c r="D416" s="45">
        <v>33131</v>
      </c>
      <c r="E416" s="45">
        <v>2008</v>
      </c>
      <c r="F416" s="48" t="str">
        <f t="shared" si="6"/>
        <v>Asterix at the Olympic Games : Rating 5.2,  Released in 2008</v>
      </c>
    </row>
    <row r="417" spans="1:6" x14ac:dyDescent="0.35">
      <c r="A417" s="45" t="s">
        <v>630</v>
      </c>
      <c r="B417" s="45" t="s">
        <v>227</v>
      </c>
      <c r="C417" s="45">
        <v>4</v>
      </c>
      <c r="D417" s="45">
        <v>10161</v>
      </c>
      <c r="E417" s="45">
        <v>2008</v>
      </c>
      <c r="F417" s="48" t="str">
        <f t="shared" si="6"/>
        <v>An American Carol : Rating 4,  Released in 2008</v>
      </c>
    </row>
    <row r="418" spans="1:6" x14ac:dyDescent="0.35">
      <c r="A418" s="45" t="s">
        <v>1644</v>
      </c>
      <c r="B418" s="45" t="s">
        <v>1072</v>
      </c>
      <c r="C418" s="45">
        <v>4.9000000000000004</v>
      </c>
      <c r="D418" s="45">
        <v>12525</v>
      </c>
      <c r="E418" s="45">
        <v>2008</v>
      </c>
      <c r="F418" s="48" t="str">
        <f t="shared" si="6"/>
        <v>Amusement : Rating 4.9,  Released in 2008</v>
      </c>
    </row>
    <row r="419" spans="1:6" x14ac:dyDescent="0.35">
      <c r="A419" s="45" t="s">
        <v>1852</v>
      </c>
      <c r="B419" s="45" t="s">
        <v>93</v>
      </c>
      <c r="C419" s="45">
        <v>5.0999999999999996</v>
      </c>
      <c r="D419" s="45">
        <v>136533</v>
      </c>
      <c r="E419" s="45">
        <v>2008</v>
      </c>
      <c r="F419" s="48" t="str">
        <f t="shared" si="6"/>
        <v>10,000 BC : Rating 5.1,  Released in 2008</v>
      </c>
    </row>
    <row r="420" spans="1:6" x14ac:dyDescent="0.35">
      <c r="A420" s="45" t="s">
        <v>1532</v>
      </c>
      <c r="B420" s="45" t="s">
        <v>11</v>
      </c>
      <c r="C420" s="45">
        <v>4.9000000000000004</v>
      </c>
      <c r="D420" s="45">
        <v>105010</v>
      </c>
      <c r="E420" s="45">
        <v>2009</v>
      </c>
      <c r="F420" s="48" t="str">
        <f t="shared" si="6"/>
        <v>Year One : Rating 4.9,  Released in 2009</v>
      </c>
    </row>
    <row r="421" spans="1:6" x14ac:dyDescent="0.35">
      <c r="A421" s="45" t="s">
        <v>1065</v>
      </c>
      <c r="B421" s="45" t="s">
        <v>597</v>
      </c>
      <c r="C421" s="45">
        <v>4.5999999999999996</v>
      </c>
      <c r="D421" s="45">
        <v>29806</v>
      </c>
      <c r="E421" s="45">
        <v>2009</v>
      </c>
      <c r="F421" s="48" t="str">
        <f t="shared" si="6"/>
        <v>Wrong Turn 3: Left for Dead : Rating 4.6,  Released in 2009</v>
      </c>
    </row>
    <row r="422" spans="1:6" x14ac:dyDescent="0.35">
      <c r="A422" s="45" t="s">
        <v>2015</v>
      </c>
      <c r="B422" s="45" t="s">
        <v>116</v>
      </c>
      <c r="C422" s="45">
        <v>5.0999999999999996</v>
      </c>
      <c r="D422" s="45">
        <v>15272</v>
      </c>
      <c r="E422" s="45">
        <v>2009</v>
      </c>
      <c r="F422" s="48" t="str">
        <f t="shared" si="6"/>
        <v>Van Wilder: Freshman Year : Rating 5.1,  Released in 2009</v>
      </c>
    </row>
    <row r="423" spans="1:6" x14ac:dyDescent="0.35">
      <c r="A423" s="45" t="s">
        <v>1966</v>
      </c>
      <c r="B423" s="45" t="s">
        <v>1967</v>
      </c>
      <c r="C423" s="45">
        <v>5.0999999999999996</v>
      </c>
      <c r="D423" s="45">
        <v>21067</v>
      </c>
      <c r="E423" s="45">
        <v>2009</v>
      </c>
      <c r="F423" s="48" t="str">
        <f t="shared" si="6"/>
        <v>Vampire Killers : Rating 5.1,  Released in 2009</v>
      </c>
    </row>
    <row r="424" spans="1:6" x14ac:dyDescent="0.35">
      <c r="A424" s="45" t="s">
        <v>1180</v>
      </c>
      <c r="B424" s="45" t="s">
        <v>175</v>
      </c>
      <c r="C424" s="45">
        <v>4.7</v>
      </c>
      <c r="D424" s="45">
        <v>53769</v>
      </c>
      <c r="E424" s="45">
        <v>2009</v>
      </c>
      <c r="F424" s="48" t="str">
        <f t="shared" si="6"/>
        <v>The Unborn : Rating 4.7,  Released in 2009</v>
      </c>
    </row>
    <row r="425" spans="1:6" x14ac:dyDescent="0.35">
      <c r="A425" s="45" t="s">
        <v>1321</v>
      </c>
      <c r="B425" s="45" t="s">
        <v>1322</v>
      </c>
      <c r="C425" s="45">
        <v>4.8</v>
      </c>
      <c r="D425" s="45">
        <v>304888</v>
      </c>
      <c r="E425" s="45">
        <v>2009</v>
      </c>
      <c r="F425" s="48" t="str">
        <f t="shared" si="6"/>
        <v>The Twilight Saga: New Moon : Rating 4.8,  Released in 2009</v>
      </c>
    </row>
    <row r="426" spans="1:6" x14ac:dyDescent="0.35">
      <c r="A426" s="45" t="s">
        <v>832</v>
      </c>
      <c r="B426" s="45" t="s">
        <v>76</v>
      </c>
      <c r="C426" s="45">
        <v>4.4000000000000004</v>
      </c>
      <c r="D426" s="45">
        <v>90037</v>
      </c>
      <c r="E426" s="45">
        <v>2009</v>
      </c>
      <c r="F426" s="48" t="str">
        <f t="shared" si="6"/>
        <v>The Human Centipede (First Sequence) : Rating 4.4,  Released in 2009</v>
      </c>
    </row>
    <row r="427" spans="1:6" x14ac:dyDescent="0.35">
      <c r="A427" s="45" t="s">
        <v>1089</v>
      </c>
      <c r="B427" s="45" t="s">
        <v>175</v>
      </c>
      <c r="C427" s="45">
        <v>4.5999999999999996</v>
      </c>
      <c r="D427" s="45">
        <v>19971</v>
      </c>
      <c r="E427" s="45">
        <v>2009</v>
      </c>
      <c r="F427" s="48" t="str">
        <f t="shared" si="6"/>
        <v>The Grudge 3 : Rating 4.6,  Released in 2009</v>
      </c>
    </row>
    <row r="428" spans="1:6" x14ac:dyDescent="0.35">
      <c r="A428" s="45" t="s">
        <v>1860</v>
      </c>
      <c r="B428" s="45" t="s">
        <v>82</v>
      </c>
      <c r="C428" s="45">
        <v>5.0999999999999996</v>
      </c>
      <c r="D428" s="45">
        <v>118563</v>
      </c>
      <c r="E428" s="45">
        <v>2009</v>
      </c>
      <c r="F428" s="48" t="str">
        <f t="shared" si="6"/>
        <v>The Final Destination : Rating 5.1,  Released in 2009</v>
      </c>
    </row>
    <row r="429" spans="1:6" x14ac:dyDescent="0.35">
      <c r="A429" s="45" t="s">
        <v>1402</v>
      </c>
      <c r="B429" s="45" t="s">
        <v>1403</v>
      </c>
      <c r="C429" s="45">
        <v>4.8</v>
      </c>
      <c r="D429" s="45">
        <v>22810</v>
      </c>
      <c r="E429" s="45">
        <v>2009</v>
      </c>
      <c r="F429" s="48" t="str">
        <f t="shared" si="6"/>
        <v>Survival of the Dead : Rating 4.8,  Released in 2009</v>
      </c>
    </row>
    <row r="430" spans="1:6" x14ac:dyDescent="0.35">
      <c r="A430" s="45" t="s">
        <v>459</v>
      </c>
      <c r="B430" s="45" t="s">
        <v>338</v>
      </c>
      <c r="C430" s="45">
        <v>3.7</v>
      </c>
      <c r="D430" s="45">
        <v>25594</v>
      </c>
      <c r="E430" s="45">
        <v>2009</v>
      </c>
      <c r="F430" s="48" t="str">
        <f t="shared" si="6"/>
        <v>Street Fighter: The Legend of Chun-Li : Rating 3.7,  Released in 2009</v>
      </c>
    </row>
    <row r="431" spans="1:6" x14ac:dyDescent="0.35">
      <c r="A431" s="45" t="s">
        <v>424</v>
      </c>
      <c r="B431" s="45" t="s">
        <v>270</v>
      </c>
      <c r="C431" s="45">
        <v>3.6</v>
      </c>
      <c r="D431" s="45">
        <v>15154</v>
      </c>
      <c r="E431" s="45">
        <v>2009</v>
      </c>
      <c r="F431" s="48" t="str">
        <f t="shared" si="6"/>
        <v>Stan Helsing : Rating 3.6,  Released in 2009</v>
      </c>
    </row>
    <row r="432" spans="1:6" x14ac:dyDescent="0.35">
      <c r="A432" s="45" t="s">
        <v>1924</v>
      </c>
      <c r="B432" s="45" t="s">
        <v>448</v>
      </c>
      <c r="C432" s="45">
        <v>5.0999999999999996</v>
      </c>
      <c r="D432" s="45">
        <v>32865</v>
      </c>
      <c r="E432" s="45">
        <v>2009</v>
      </c>
      <c r="F432" s="48" t="str">
        <f t="shared" si="6"/>
        <v>Sorority Row : Rating 5.1,  Released in 2009</v>
      </c>
    </row>
    <row r="433" spans="1:6" x14ac:dyDescent="0.35">
      <c r="A433" s="45" t="s">
        <v>426</v>
      </c>
      <c r="B433" s="45" t="s">
        <v>427</v>
      </c>
      <c r="C433" s="45">
        <v>3.6</v>
      </c>
      <c r="D433" s="45">
        <v>14619</v>
      </c>
      <c r="E433" s="45">
        <v>2009</v>
      </c>
      <c r="F433" s="48" t="str">
        <f t="shared" si="6"/>
        <v>S. Darko : Rating 3.6,  Released in 2009</v>
      </c>
    </row>
    <row r="434" spans="1:6" x14ac:dyDescent="0.35">
      <c r="A434" s="45" t="s">
        <v>1474</v>
      </c>
      <c r="B434" s="45" t="s">
        <v>11</v>
      </c>
      <c r="C434" s="45">
        <v>4.8</v>
      </c>
      <c r="D434" s="45">
        <v>12496</v>
      </c>
      <c r="E434" s="45">
        <v>2009</v>
      </c>
      <c r="F434" s="48" t="str">
        <f t="shared" si="6"/>
        <v>Road Trip: Beer Pong : Rating 4.8,  Released in 2009</v>
      </c>
    </row>
    <row r="435" spans="1:6" x14ac:dyDescent="0.35">
      <c r="A435" s="45" t="s">
        <v>973</v>
      </c>
      <c r="B435" s="45" t="s">
        <v>11</v>
      </c>
      <c r="C435" s="45">
        <v>4.5</v>
      </c>
      <c r="D435" s="45">
        <v>23286</v>
      </c>
      <c r="E435" s="45">
        <v>2009</v>
      </c>
      <c r="F435" s="48" t="str">
        <f t="shared" si="6"/>
        <v>Recep Ivedik 2 : Rating 4.5,  Released in 2009</v>
      </c>
    </row>
    <row r="436" spans="1:6" x14ac:dyDescent="0.35">
      <c r="A436" s="45" t="s">
        <v>1720</v>
      </c>
      <c r="B436" s="45" t="s">
        <v>682</v>
      </c>
      <c r="C436" s="45">
        <v>5</v>
      </c>
      <c r="D436" s="45">
        <v>34756</v>
      </c>
      <c r="E436" s="45">
        <v>2009</v>
      </c>
      <c r="F436" s="48" t="str">
        <f t="shared" si="6"/>
        <v>Obsessed : Rating 5,  Released in 2009</v>
      </c>
    </row>
    <row r="437" spans="1:6" x14ac:dyDescent="0.35">
      <c r="A437" s="45" t="s">
        <v>1758</v>
      </c>
      <c r="B437" s="45" t="s">
        <v>116</v>
      </c>
      <c r="C437" s="45">
        <v>5</v>
      </c>
      <c r="D437" s="45">
        <v>22425</v>
      </c>
      <c r="E437" s="45">
        <v>2009</v>
      </c>
      <c r="F437" s="48" t="str">
        <f t="shared" si="6"/>
        <v>Miss March : Rating 5,  Released in 2009</v>
      </c>
    </row>
    <row r="438" spans="1:6" x14ac:dyDescent="0.35">
      <c r="A438" s="45" t="s">
        <v>177</v>
      </c>
      <c r="B438" s="45" t="s">
        <v>178</v>
      </c>
      <c r="C438" s="45">
        <v>2.5</v>
      </c>
      <c r="D438" s="45">
        <v>11371</v>
      </c>
      <c r="E438" s="45">
        <v>2009</v>
      </c>
      <c r="F438" s="48" t="str">
        <f t="shared" si="6"/>
        <v>Mega Shark vs. Giant Octopus : Rating 2.5,  Released in 2009</v>
      </c>
    </row>
    <row r="439" spans="1:6" x14ac:dyDescent="0.35">
      <c r="A439" s="45" t="s">
        <v>1121</v>
      </c>
      <c r="B439" s="45" t="s">
        <v>1039</v>
      </c>
      <c r="C439" s="45">
        <v>4.5999999999999996</v>
      </c>
      <c r="D439" s="45">
        <v>13130</v>
      </c>
      <c r="E439" s="45">
        <v>2009</v>
      </c>
      <c r="F439" s="48" t="str">
        <f t="shared" si="6"/>
        <v>Madea Goes to Jail : Rating 4.6,  Released in 2009</v>
      </c>
    </row>
    <row r="440" spans="1:6" x14ac:dyDescent="0.35">
      <c r="A440" s="45" t="s">
        <v>1476</v>
      </c>
      <c r="B440" s="45" t="s">
        <v>116</v>
      </c>
      <c r="C440" s="45">
        <v>4.8</v>
      </c>
      <c r="D440" s="45">
        <v>12235</v>
      </c>
      <c r="E440" s="45">
        <v>2009</v>
      </c>
      <c r="F440" s="48" t="str">
        <f t="shared" si="6"/>
        <v>Labor Pains : Rating 4.8,  Released in 2009</v>
      </c>
    </row>
    <row r="441" spans="1:6" x14ac:dyDescent="0.35">
      <c r="A441" s="45" t="s">
        <v>70</v>
      </c>
      <c r="B441" s="45" t="s">
        <v>71</v>
      </c>
      <c r="C441" s="45">
        <v>1.6</v>
      </c>
      <c r="D441" s="45">
        <v>17559</v>
      </c>
      <c r="E441" s="45">
        <v>2009</v>
      </c>
      <c r="F441" s="48" t="str">
        <f t="shared" si="6"/>
        <v>Jonas Brothers: The 3D Concert Experience : Rating 1.6,  Released in 2009</v>
      </c>
    </row>
    <row r="442" spans="1:6" x14ac:dyDescent="0.35">
      <c r="A442" s="45" t="s">
        <v>553</v>
      </c>
      <c r="B442" s="45" t="s">
        <v>554</v>
      </c>
      <c r="C442" s="45">
        <v>3.9</v>
      </c>
      <c r="D442" s="45">
        <v>24718</v>
      </c>
      <c r="E442" s="45">
        <v>2009</v>
      </c>
      <c r="F442" s="48" t="str">
        <f t="shared" si="6"/>
        <v>Jersey Shore : Rating 3.9,  Released in 2009</v>
      </c>
    </row>
    <row r="443" spans="1:6" x14ac:dyDescent="0.35">
      <c r="A443" s="45" t="s">
        <v>1315</v>
      </c>
      <c r="B443" s="45" t="s">
        <v>646</v>
      </c>
      <c r="C443" s="45">
        <v>4.7</v>
      </c>
      <c r="D443" s="45">
        <v>10802</v>
      </c>
      <c r="E443" s="45">
        <v>2009</v>
      </c>
      <c r="F443" s="48" t="str">
        <f t="shared" si="6"/>
        <v>I Can Do Bad All by Myself : Rating 4.7,  Released in 2009</v>
      </c>
    </row>
    <row r="444" spans="1:6" x14ac:dyDescent="0.35">
      <c r="A444" s="45" t="s">
        <v>1197</v>
      </c>
      <c r="B444" s="45" t="s">
        <v>232</v>
      </c>
      <c r="C444" s="45">
        <v>4.7</v>
      </c>
      <c r="D444" s="45">
        <v>46518</v>
      </c>
      <c r="E444" s="45">
        <v>2009</v>
      </c>
      <c r="F444" s="48" t="str">
        <f t="shared" si="6"/>
        <v>Hannah Montana: The Movie : Rating 4.7,  Released in 2009</v>
      </c>
    </row>
    <row r="445" spans="1:6" x14ac:dyDescent="0.35">
      <c r="A445" s="45" t="s">
        <v>1335</v>
      </c>
      <c r="B445" s="45" t="s">
        <v>76</v>
      </c>
      <c r="C445" s="45">
        <v>4.8</v>
      </c>
      <c r="D445" s="45">
        <v>61288</v>
      </c>
      <c r="E445" s="45">
        <v>2009</v>
      </c>
      <c r="F445" s="48" t="str">
        <f t="shared" si="6"/>
        <v>Halloween II : Rating 4.8,  Released in 2009</v>
      </c>
    </row>
    <row r="446" spans="1:6" x14ac:dyDescent="0.35">
      <c r="A446" s="45" t="s">
        <v>1276</v>
      </c>
      <c r="B446" s="45" t="s">
        <v>1277</v>
      </c>
      <c r="C446" s="45">
        <v>4.7</v>
      </c>
      <c r="D446" s="45">
        <v>14719</v>
      </c>
      <c r="E446" s="45">
        <v>2009</v>
      </c>
      <c r="F446" s="48" t="str">
        <f t="shared" si="6"/>
        <v>Green Street Hooligans 2 : Rating 4.7,  Released in 2009</v>
      </c>
    </row>
    <row r="447" spans="1:6" x14ac:dyDescent="0.35">
      <c r="A447" s="45" t="s">
        <v>307</v>
      </c>
      <c r="B447" s="45" t="s">
        <v>308</v>
      </c>
      <c r="C447" s="45">
        <v>3.2</v>
      </c>
      <c r="D447" s="45">
        <v>13221</v>
      </c>
      <c r="E447" s="45">
        <v>2009</v>
      </c>
      <c r="F447" s="48" t="str">
        <f t="shared" si="6"/>
        <v>Goal! III : Rating 3.2,  Released in 2009</v>
      </c>
    </row>
    <row r="448" spans="1:6" x14ac:dyDescent="0.35">
      <c r="A448" s="45" t="s">
        <v>1887</v>
      </c>
      <c r="B448" s="45" t="s">
        <v>47</v>
      </c>
      <c r="C448" s="45">
        <v>5.0999999999999996</v>
      </c>
      <c r="D448" s="45">
        <v>50879</v>
      </c>
      <c r="E448" s="45">
        <v>2009</v>
      </c>
      <c r="F448" s="48" t="str">
        <f t="shared" si="6"/>
        <v>G-Force : Rating 5.1,  Released in 2009</v>
      </c>
    </row>
    <row r="449" spans="1:6" x14ac:dyDescent="0.35">
      <c r="A449" s="45" t="s">
        <v>1774</v>
      </c>
      <c r="B449" s="45" t="s">
        <v>1775</v>
      </c>
      <c r="C449" s="45">
        <v>5</v>
      </c>
      <c r="D449" s="45">
        <v>17048</v>
      </c>
      <c r="E449" s="45">
        <v>2009</v>
      </c>
      <c r="F449" s="48" t="str">
        <f t="shared" si="6"/>
        <v>Fame : Rating 5,  Released in 2009</v>
      </c>
    </row>
    <row r="450" spans="1:6" x14ac:dyDescent="0.35">
      <c r="A450" s="45" t="s">
        <v>49</v>
      </c>
      <c r="B450" s="45" t="s">
        <v>50</v>
      </c>
      <c r="C450" s="45">
        <v>1.3</v>
      </c>
      <c r="D450" s="45">
        <v>10020</v>
      </c>
      <c r="E450" s="45">
        <v>2009</v>
      </c>
      <c r="F450" s="48" t="str">
        <f t="shared" ref="F450:F513" si="7">_xlfn.CONCAT(TRIM(A450)," ", ": Rating"," ",C450,",","  ","Released in", " ",E450)</f>
        <v>Dream.net : Rating 1.3,  Released in 2009</v>
      </c>
    </row>
    <row r="451" spans="1:6" x14ac:dyDescent="0.35">
      <c r="A451" s="45" t="s">
        <v>165</v>
      </c>
      <c r="B451" s="45" t="s">
        <v>166</v>
      </c>
      <c r="C451" s="45">
        <v>2.5</v>
      </c>
      <c r="D451" s="45">
        <v>80320</v>
      </c>
      <c r="E451" s="45">
        <v>2009</v>
      </c>
      <c r="F451" s="48" t="str">
        <f t="shared" si="7"/>
        <v>Dragonball Evolution : Rating 2.5,  Released in 2009</v>
      </c>
    </row>
    <row r="452" spans="1:6" x14ac:dyDescent="0.35">
      <c r="A452" s="45" t="s">
        <v>1568</v>
      </c>
      <c r="B452" s="45" t="s">
        <v>128</v>
      </c>
      <c r="C452" s="45">
        <v>4.9000000000000004</v>
      </c>
      <c r="D452" s="45">
        <v>43209</v>
      </c>
      <c r="E452" s="45">
        <v>2009</v>
      </c>
      <c r="F452" s="48" t="str">
        <f t="shared" si="7"/>
        <v>Did You Hear About the Morgans? : Rating 4.9,  Released in 2009</v>
      </c>
    </row>
    <row r="453" spans="1:6" x14ac:dyDescent="0.35">
      <c r="A453" s="45" t="s">
        <v>431</v>
      </c>
      <c r="B453" s="45" t="s">
        <v>432</v>
      </c>
      <c r="C453" s="45">
        <v>3.6</v>
      </c>
      <c r="D453" s="45">
        <v>12869</v>
      </c>
      <c r="E453" s="45">
        <v>2009</v>
      </c>
      <c r="F453" s="48" t="str">
        <f t="shared" si="7"/>
        <v>Dance Flick : Rating 3.6,  Released in 2009</v>
      </c>
    </row>
    <row r="454" spans="1:6" x14ac:dyDescent="0.35">
      <c r="A454" s="45" t="s">
        <v>801</v>
      </c>
      <c r="B454" s="45" t="s">
        <v>76</v>
      </c>
      <c r="C454" s="45">
        <v>4.3</v>
      </c>
      <c r="D454" s="45">
        <v>15469</v>
      </c>
      <c r="E454" s="45">
        <v>2009</v>
      </c>
      <c r="F454" s="48" t="str">
        <f t="shared" si="7"/>
        <v>Cabin Fever 2: Spring Fever : Rating 4.3,  Released in 2009</v>
      </c>
    </row>
    <row r="455" spans="1:6" x14ac:dyDescent="0.35">
      <c r="A455" s="45" t="s">
        <v>991</v>
      </c>
      <c r="B455" s="45" t="s">
        <v>146</v>
      </c>
      <c r="C455" s="45">
        <v>4.5</v>
      </c>
      <c r="D455" s="45">
        <v>14242</v>
      </c>
      <c r="E455" s="45">
        <v>2009</v>
      </c>
      <c r="F455" s="48" t="str">
        <f t="shared" si="7"/>
        <v>Bitch Slap : Rating 4.5,  Released in 2009</v>
      </c>
    </row>
    <row r="456" spans="1:6" x14ac:dyDescent="0.35">
      <c r="A456" s="45" t="s">
        <v>1188</v>
      </c>
      <c r="B456" s="45" t="s">
        <v>11</v>
      </c>
      <c r="C456" s="45">
        <v>4.7</v>
      </c>
      <c r="D456" s="45">
        <v>50106</v>
      </c>
      <c r="E456" s="45">
        <v>2009</v>
      </c>
      <c r="F456" s="48" t="str">
        <f t="shared" si="7"/>
        <v>American Pie Presents: The Book of Love : Rating 4.7,  Released in 2009</v>
      </c>
    </row>
    <row r="457" spans="1:6" x14ac:dyDescent="0.35">
      <c r="A457" s="45" t="s">
        <v>1034</v>
      </c>
      <c r="B457" s="45" t="s">
        <v>217</v>
      </c>
      <c r="C457" s="45">
        <v>4.5999999999999996</v>
      </c>
      <c r="D457" s="45">
        <v>56007</v>
      </c>
      <c r="E457" s="45">
        <v>2009</v>
      </c>
      <c r="F457" s="48" t="str">
        <f t="shared" si="7"/>
        <v>Alvin and the Chipmunks: The Squeakquel : Rating 4.6,  Released in 2009</v>
      </c>
    </row>
    <row r="458" spans="1:6" x14ac:dyDescent="0.35">
      <c r="A458" s="45" t="s">
        <v>1350</v>
      </c>
      <c r="B458" s="45" t="s">
        <v>455</v>
      </c>
      <c r="C458" s="45">
        <v>4.8</v>
      </c>
      <c r="D458" s="45">
        <v>44863</v>
      </c>
      <c r="E458" s="45">
        <v>2009</v>
      </c>
      <c r="F458" s="48" t="str">
        <f t="shared" si="7"/>
        <v>All About Steve : Rating 4.8,  Released in 2009</v>
      </c>
    </row>
    <row r="459" spans="1:6" x14ac:dyDescent="0.35">
      <c r="A459" s="45" t="s">
        <v>1077</v>
      </c>
      <c r="B459" s="45" t="s">
        <v>65</v>
      </c>
      <c r="C459" s="45">
        <v>4.5999999999999996</v>
      </c>
      <c r="D459" s="45">
        <v>23739</v>
      </c>
      <c r="E459" s="45">
        <v>2010</v>
      </c>
      <c r="F459" s="48" t="str">
        <f t="shared" si="7"/>
        <v>Yogi Bear : Rating 4.6,  Released in 2010</v>
      </c>
    </row>
    <row r="460" spans="1:6" x14ac:dyDescent="0.35">
      <c r="A460" s="45" t="s">
        <v>1319</v>
      </c>
      <c r="B460" s="45" t="s">
        <v>128</v>
      </c>
      <c r="C460" s="45">
        <v>4.7</v>
      </c>
      <c r="D460" s="45">
        <v>10423</v>
      </c>
      <c r="E460" s="45">
        <v>2010</v>
      </c>
      <c r="F460" s="48" t="str">
        <f t="shared" si="7"/>
        <v>Why Did I Get Married Too? : Rating 4.7,  Released in 2010</v>
      </c>
    </row>
    <row r="461" spans="1:6" x14ac:dyDescent="0.35">
      <c r="A461" s="45" t="s">
        <v>1586</v>
      </c>
      <c r="B461" s="45" t="s">
        <v>175</v>
      </c>
      <c r="C461" s="45">
        <v>4.9000000000000004</v>
      </c>
      <c r="D461" s="45">
        <v>27687</v>
      </c>
      <c r="E461" s="45">
        <v>2010</v>
      </c>
      <c r="F461" s="48" t="str">
        <f t="shared" si="7"/>
        <v>Vanishing on 7th Street : Rating 4.9,  Released in 2010</v>
      </c>
    </row>
    <row r="462" spans="1:6" x14ac:dyDescent="0.35">
      <c r="A462" s="45" t="s">
        <v>342</v>
      </c>
      <c r="B462" s="45" t="s">
        <v>211</v>
      </c>
      <c r="C462" s="45">
        <v>3.4</v>
      </c>
      <c r="D462" s="45">
        <v>52393</v>
      </c>
      <c r="E462" s="45">
        <v>2010</v>
      </c>
      <c r="F462" s="48" t="str">
        <f t="shared" si="7"/>
        <v>Vampires Suck : Rating 3.4,  Released in 2010</v>
      </c>
    </row>
    <row r="463" spans="1:6" x14ac:dyDescent="0.35">
      <c r="A463" s="45" t="s">
        <v>1701</v>
      </c>
      <c r="B463" s="45" t="s">
        <v>140</v>
      </c>
      <c r="C463" s="45">
        <v>5</v>
      </c>
      <c r="D463" s="45">
        <v>50577</v>
      </c>
      <c r="E463" s="45">
        <v>2010</v>
      </c>
      <c r="F463" s="48" t="str">
        <f t="shared" si="7"/>
        <v>Tooth Fairy : Rating 5,  Released in 2010</v>
      </c>
    </row>
    <row r="464" spans="1:6" x14ac:dyDescent="0.35">
      <c r="A464" s="45" t="s">
        <v>92</v>
      </c>
      <c r="B464" s="45" t="s">
        <v>93</v>
      </c>
      <c r="C464" s="45">
        <v>1.7</v>
      </c>
      <c r="D464" s="45">
        <v>13142</v>
      </c>
      <c r="E464" s="45">
        <v>2010</v>
      </c>
      <c r="F464" s="48" t="str">
        <f t="shared" si="7"/>
        <v>Titanic II : Rating 1.7,  Released in 2010</v>
      </c>
    </row>
    <row r="465" spans="1:6" x14ac:dyDescent="0.35">
      <c r="A465" s="45" t="s">
        <v>1848</v>
      </c>
      <c r="B465" s="45" t="s">
        <v>93</v>
      </c>
      <c r="C465" s="45">
        <v>5.0999999999999996</v>
      </c>
      <c r="D465" s="45">
        <v>265386</v>
      </c>
      <c r="E465" s="45">
        <v>2010</v>
      </c>
      <c r="F465" s="48" t="str">
        <f t="shared" si="7"/>
        <v>The Twilight Saga: Eclipse : Rating 5.1,  Released in 2010</v>
      </c>
    </row>
    <row r="466" spans="1:6" x14ac:dyDescent="0.35">
      <c r="A466" s="45" t="s">
        <v>1808</v>
      </c>
      <c r="B466" s="45" t="s">
        <v>128</v>
      </c>
      <c r="C466" s="45">
        <v>5</v>
      </c>
      <c r="D466" s="45">
        <v>12596</v>
      </c>
      <c r="E466" s="45">
        <v>2010</v>
      </c>
      <c r="F466" s="48" t="str">
        <f t="shared" si="7"/>
        <v>The Romantics : Rating 5,  Released in 2010</v>
      </c>
    </row>
    <row r="467" spans="1:6" x14ac:dyDescent="0.35">
      <c r="A467" s="45" t="s">
        <v>590</v>
      </c>
      <c r="B467" s="45" t="s">
        <v>477</v>
      </c>
      <c r="C467" s="45">
        <v>4</v>
      </c>
      <c r="D467" s="45">
        <v>176827</v>
      </c>
      <c r="E467" s="45">
        <v>2010</v>
      </c>
      <c r="F467" s="48" t="str">
        <f t="shared" si="7"/>
        <v>The Last Airbender : Rating 4,  Released in 2010</v>
      </c>
    </row>
    <row r="468" spans="1:6" x14ac:dyDescent="0.35">
      <c r="A468" s="45" t="s">
        <v>1380</v>
      </c>
      <c r="B468" s="45" t="s">
        <v>56</v>
      </c>
      <c r="C468" s="45">
        <v>4.8</v>
      </c>
      <c r="D468" s="45">
        <v>28817</v>
      </c>
      <c r="E468" s="45">
        <v>2010</v>
      </c>
      <c r="F468" s="48" t="str">
        <f t="shared" si="7"/>
        <v>Tekken : Rating 4.8,  Released in 2010</v>
      </c>
    </row>
    <row r="469" spans="1:6" x14ac:dyDescent="0.35">
      <c r="A469" s="45" t="s">
        <v>213</v>
      </c>
      <c r="B469" s="45" t="s">
        <v>214</v>
      </c>
      <c r="C469" s="45">
        <v>2.7</v>
      </c>
      <c r="D469" s="45">
        <v>14689</v>
      </c>
      <c r="E469" s="45">
        <v>2010</v>
      </c>
      <c r="F469" s="48" t="str">
        <f t="shared" si="7"/>
        <v>Tees Maar Khan : Rating 2.7,  Released in 2010</v>
      </c>
    </row>
    <row r="470" spans="1:6" x14ac:dyDescent="0.35">
      <c r="A470" s="45" t="s">
        <v>1793</v>
      </c>
      <c r="B470" s="45" t="s">
        <v>146</v>
      </c>
      <c r="C470" s="45">
        <v>5</v>
      </c>
      <c r="D470" s="45">
        <v>14433</v>
      </c>
      <c r="E470" s="45">
        <v>2010</v>
      </c>
      <c r="F470" s="48" t="str">
        <f t="shared" si="7"/>
        <v>Smokin' Aces 2: Assassins' Ball : Rating 5,  Released in 2010</v>
      </c>
    </row>
    <row r="471" spans="1:6" x14ac:dyDescent="0.35">
      <c r="A471" s="45" t="s">
        <v>923</v>
      </c>
      <c r="B471" s="45" t="s">
        <v>143</v>
      </c>
      <c r="C471" s="45">
        <v>4.5</v>
      </c>
      <c r="D471" s="45">
        <v>92778</v>
      </c>
      <c r="E471" s="45">
        <v>2010</v>
      </c>
      <c r="F471" s="48" t="str">
        <f t="shared" si="7"/>
        <v>Skyline : Rating 4.5,  Released in 2010</v>
      </c>
    </row>
    <row r="472" spans="1:6" x14ac:dyDescent="0.35">
      <c r="A472" s="45" t="s">
        <v>314</v>
      </c>
      <c r="B472" s="45" t="s">
        <v>178</v>
      </c>
      <c r="C472" s="45">
        <v>3.2</v>
      </c>
      <c r="D472" s="45">
        <v>12070</v>
      </c>
      <c r="E472" s="45">
        <v>2010</v>
      </c>
      <c r="F472" s="48" t="str">
        <f t="shared" si="7"/>
        <v>Sharktopus : Rating 3.2,  Released in 2010</v>
      </c>
    </row>
    <row r="473" spans="1:6" x14ac:dyDescent="0.35">
      <c r="A473" s="45" t="s">
        <v>1791</v>
      </c>
      <c r="B473" s="45" t="s">
        <v>44</v>
      </c>
      <c r="C473" s="45">
        <v>5</v>
      </c>
      <c r="D473" s="45">
        <v>14771</v>
      </c>
      <c r="E473" s="45">
        <v>2010</v>
      </c>
      <c r="F473" s="48" t="str">
        <f t="shared" si="7"/>
        <v>Shake It Up : Rating 5,  Released in 2010</v>
      </c>
    </row>
    <row r="474" spans="1:6" x14ac:dyDescent="0.35">
      <c r="A474" s="45" t="s">
        <v>928</v>
      </c>
      <c r="B474" s="45" t="s">
        <v>128</v>
      </c>
      <c r="C474" s="45">
        <v>4.5</v>
      </c>
      <c r="D474" s="45">
        <v>85258</v>
      </c>
      <c r="E474" s="45">
        <v>2010</v>
      </c>
      <c r="F474" s="48" t="str">
        <f t="shared" si="7"/>
        <v>Sex and the City 2 : Rating 4.5,  Released in 2010</v>
      </c>
    </row>
    <row r="475" spans="1:6" x14ac:dyDescent="0.35">
      <c r="A475" s="45" t="s">
        <v>779</v>
      </c>
      <c r="B475" s="45" t="s">
        <v>11</v>
      </c>
      <c r="C475" s="45">
        <v>4.3</v>
      </c>
      <c r="D475" s="45">
        <v>21719</v>
      </c>
      <c r="E475" s="45">
        <v>2010</v>
      </c>
      <c r="F475" s="48" t="str">
        <f t="shared" si="7"/>
        <v>Recep Ivedik 3 : Rating 4.3,  Released in 2010</v>
      </c>
    </row>
    <row r="476" spans="1:6" x14ac:dyDescent="0.35">
      <c r="A476" s="45" t="s">
        <v>1666</v>
      </c>
      <c r="B476" s="45" t="s">
        <v>843</v>
      </c>
      <c r="C476" s="45">
        <v>4.9000000000000004</v>
      </c>
      <c r="D476" s="45">
        <v>10955</v>
      </c>
      <c r="E476" s="45">
        <v>2010</v>
      </c>
      <c r="F476" s="48" t="str">
        <f t="shared" si="7"/>
        <v>Operation: Endgame : Rating 4.9,  Released in 2010</v>
      </c>
    </row>
    <row r="477" spans="1:6" x14ac:dyDescent="0.35">
      <c r="A477" s="45" t="s">
        <v>1800</v>
      </c>
      <c r="B477" s="45" t="s">
        <v>65</v>
      </c>
      <c r="C477" s="45">
        <v>5</v>
      </c>
      <c r="D477" s="45">
        <v>13651</v>
      </c>
      <c r="E477" s="45">
        <v>2010</v>
      </c>
      <c r="F477" s="48" t="str">
        <f t="shared" si="7"/>
        <v>Open Season 3 : Rating 5,  Released in 2010</v>
      </c>
    </row>
    <row r="478" spans="1:6" x14ac:dyDescent="0.35">
      <c r="A478" s="45" t="s">
        <v>1625</v>
      </c>
      <c r="B478" s="45" t="s">
        <v>441</v>
      </c>
      <c r="C478" s="45">
        <v>4.9000000000000004</v>
      </c>
      <c r="D478" s="45">
        <v>14900</v>
      </c>
      <c r="E478" s="45">
        <v>2010</v>
      </c>
      <c r="F478" s="48" t="str">
        <f t="shared" si="7"/>
        <v>Ong Bak 3 : Rating 4.9,  Released in 2010</v>
      </c>
    </row>
    <row r="479" spans="1:6" x14ac:dyDescent="0.35">
      <c r="A479" s="45" t="s">
        <v>1407</v>
      </c>
      <c r="B479" s="45" t="s">
        <v>175</v>
      </c>
      <c r="C479" s="45">
        <v>4.8</v>
      </c>
      <c r="D479" s="45">
        <v>21937</v>
      </c>
      <c r="E479" s="45">
        <v>2010</v>
      </c>
      <c r="F479" s="48" t="str">
        <f t="shared" si="7"/>
        <v>My Soul to Take : Rating 4.8,  Released in 2010</v>
      </c>
    </row>
    <row r="480" spans="1:6" x14ac:dyDescent="0.35">
      <c r="A480" s="45" t="s">
        <v>245</v>
      </c>
      <c r="B480" s="45" t="s">
        <v>246</v>
      </c>
      <c r="C480" s="45">
        <v>2.9</v>
      </c>
      <c r="D480" s="45">
        <v>43598</v>
      </c>
      <c r="E480" s="45">
        <v>2010</v>
      </c>
      <c r="F480" s="48" t="str">
        <f t="shared" si="7"/>
        <v>My Little Princess : Rating 2.9,  Released in 2010</v>
      </c>
    </row>
    <row r="481" spans="1:6" x14ac:dyDescent="0.35">
      <c r="A481" s="45" t="s">
        <v>1463</v>
      </c>
      <c r="B481" s="45" t="s">
        <v>448</v>
      </c>
      <c r="C481" s="45">
        <v>4.8</v>
      </c>
      <c r="D481" s="45">
        <v>13742</v>
      </c>
      <c r="E481" s="45">
        <v>2010</v>
      </c>
      <c r="F481" s="48" t="str">
        <f t="shared" si="7"/>
        <v>Mirrors 2 : Rating 4.8,  Released in 2010</v>
      </c>
    </row>
    <row r="482" spans="1:6" x14ac:dyDescent="0.35">
      <c r="A482" s="45" t="s">
        <v>786</v>
      </c>
      <c r="B482" s="45" t="s">
        <v>44</v>
      </c>
      <c r="C482" s="45">
        <v>4.3</v>
      </c>
      <c r="D482" s="45">
        <v>17863</v>
      </c>
      <c r="E482" s="45">
        <v>2010</v>
      </c>
      <c r="F482" s="48" t="str">
        <f t="shared" si="7"/>
        <v>Marmaduke : Rating 4.3,  Released in 2010</v>
      </c>
    </row>
    <row r="483" spans="1:6" x14ac:dyDescent="0.35">
      <c r="A483" s="45" t="s">
        <v>2055</v>
      </c>
      <c r="B483" s="45" t="s">
        <v>11</v>
      </c>
      <c r="C483" s="45">
        <v>5.0999999999999996</v>
      </c>
      <c r="D483" s="45">
        <v>11665</v>
      </c>
      <c r="E483" s="45">
        <v>2010</v>
      </c>
      <c r="F483" s="48" t="str">
        <f t="shared" si="7"/>
        <v>Lottery Ticket : Rating 5.1,  Released in 2010</v>
      </c>
    </row>
    <row r="484" spans="1:6" x14ac:dyDescent="0.35">
      <c r="A484" s="45" t="s">
        <v>1174</v>
      </c>
      <c r="B484" s="45" t="s">
        <v>376</v>
      </c>
      <c r="C484" s="45">
        <v>4.7</v>
      </c>
      <c r="D484" s="45">
        <v>62557</v>
      </c>
      <c r="E484" s="45">
        <v>2010</v>
      </c>
      <c r="F484" s="48" t="str">
        <f t="shared" si="7"/>
        <v>Jonah Hex : Rating 4.7,  Released in 2010</v>
      </c>
    </row>
    <row r="485" spans="1:6" x14ac:dyDescent="0.35">
      <c r="A485" s="45" t="s">
        <v>1534</v>
      </c>
      <c r="B485" s="45" t="s">
        <v>217</v>
      </c>
      <c r="C485" s="45">
        <v>4.9000000000000004</v>
      </c>
      <c r="D485" s="45">
        <v>74697</v>
      </c>
      <c r="E485" s="45">
        <v>2010</v>
      </c>
      <c r="F485" s="48" t="str">
        <f t="shared" si="7"/>
        <v>Gulliver's Travels : Rating 4.9,  Released in 2010</v>
      </c>
    </row>
    <row r="486" spans="1:6" x14ac:dyDescent="0.35">
      <c r="A486" s="45" t="s">
        <v>562</v>
      </c>
      <c r="B486" s="45" t="s">
        <v>44</v>
      </c>
      <c r="C486" s="45">
        <v>3.9</v>
      </c>
      <c r="D486" s="45">
        <v>18521</v>
      </c>
      <c r="E486" s="45">
        <v>2010</v>
      </c>
      <c r="F486" s="48" t="str">
        <f t="shared" si="7"/>
        <v>Furry Vengeance : Rating 3.9,  Released in 2010</v>
      </c>
    </row>
    <row r="487" spans="1:6" x14ac:dyDescent="0.35">
      <c r="A487" s="45" t="s">
        <v>2007</v>
      </c>
      <c r="B487" s="45" t="s">
        <v>146</v>
      </c>
      <c r="C487" s="45">
        <v>5.0999999999999996</v>
      </c>
      <c r="D487" s="45">
        <v>15773</v>
      </c>
      <c r="E487" s="45">
        <v>2010</v>
      </c>
      <c r="F487" s="48" t="str">
        <f t="shared" si="7"/>
        <v>Dylan Dog: Dead of Night : Rating 5.1,  Released in 2010</v>
      </c>
    </row>
    <row r="488" spans="1:6" x14ac:dyDescent="0.35">
      <c r="A488" s="45" t="s">
        <v>891</v>
      </c>
      <c r="B488" s="45" t="s">
        <v>524</v>
      </c>
      <c r="C488" s="45">
        <v>4.4000000000000004</v>
      </c>
      <c r="D488" s="45">
        <v>16501</v>
      </c>
      <c r="E488" s="45">
        <v>2010</v>
      </c>
      <c r="F488" s="48" t="str">
        <f t="shared" si="7"/>
        <v>Cats &amp; Dogs: The Revenge of Kitty Galore : Rating 4.4,  Released in 2010</v>
      </c>
    </row>
    <row r="489" spans="1:6" x14ac:dyDescent="0.35">
      <c r="A489" s="45" t="s">
        <v>81</v>
      </c>
      <c r="B489" s="45" t="s">
        <v>82</v>
      </c>
      <c r="C489" s="45">
        <v>1.7</v>
      </c>
      <c r="D489" s="45">
        <v>25843</v>
      </c>
      <c r="E489" s="45">
        <v>2010</v>
      </c>
      <c r="F489" s="48" t="str">
        <f t="shared" si="7"/>
        <v>Birdemic: Shock and Terror : Rating 1.7,  Released in 2010</v>
      </c>
    </row>
    <row r="490" spans="1:6" x14ac:dyDescent="0.35">
      <c r="A490" s="45" t="s">
        <v>1981</v>
      </c>
      <c r="B490" s="45" t="s">
        <v>565</v>
      </c>
      <c r="C490" s="45">
        <v>5.0999999999999996</v>
      </c>
      <c r="D490" s="45">
        <v>18991</v>
      </c>
      <c r="E490" s="45">
        <v>2010</v>
      </c>
      <c r="F490" s="48" t="str">
        <f t="shared" si="7"/>
        <v>And Soon the Darkness : Rating 5.1,  Released in 2010</v>
      </c>
    </row>
    <row r="491" spans="1:6" x14ac:dyDescent="0.35">
      <c r="A491" s="45" t="s">
        <v>1511</v>
      </c>
      <c r="B491" s="45" t="s">
        <v>804</v>
      </c>
      <c r="C491" s="45">
        <v>4.8</v>
      </c>
      <c r="D491" s="45">
        <v>10710</v>
      </c>
      <c r="E491" s="45">
        <v>2010</v>
      </c>
      <c r="F491" s="48" t="str">
        <f t="shared" si="7"/>
        <v>Altitude : Rating 4.8,  Released in 2010</v>
      </c>
    </row>
    <row r="492" spans="1:6" x14ac:dyDescent="0.35">
      <c r="A492" s="45" t="s">
        <v>2013</v>
      </c>
      <c r="B492" s="45" t="s">
        <v>65</v>
      </c>
      <c r="C492" s="45">
        <v>5.0999999999999996</v>
      </c>
      <c r="D492" s="45">
        <v>15440</v>
      </c>
      <c r="E492" s="45">
        <v>2010</v>
      </c>
      <c r="F492" s="48" t="str">
        <f t="shared" si="7"/>
        <v>Alpha and Omega : Rating 5.1,  Released in 2010</v>
      </c>
    </row>
    <row r="493" spans="1:6" x14ac:dyDescent="0.35">
      <c r="A493" s="45" t="s">
        <v>1536</v>
      </c>
      <c r="B493" s="45" t="s">
        <v>175</v>
      </c>
      <c r="C493" s="45">
        <v>4.9000000000000004</v>
      </c>
      <c r="D493" s="45">
        <v>74084</v>
      </c>
      <c r="E493" s="45">
        <v>2010</v>
      </c>
      <c r="F493" s="48" t="str">
        <f t="shared" si="7"/>
        <v>A Serbian Film : Rating 4.9,  Released in 2010</v>
      </c>
    </row>
    <row r="494" spans="1:6" x14ac:dyDescent="0.35">
      <c r="A494" s="45" t="s">
        <v>2117</v>
      </c>
      <c r="B494" s="45" t="s">
        <v>669</v>
      </c>
      <c r="C494" s="45">
        <v>5.2</v>
      </c>
      <c r="D494" s="45">
        <v>109586</v>
      </c>
      <c r="E494" s="45">
        <v>2010</v>
      </c>
      <c r="F494" s="48" t="str">
        <f t="shared" si="7"/>
        <v>A Nightmare on Elm Street : Rating 5.2,  Released in 2010</v>
      </c>
    </row>
    <row r="495" spans="1:6" x14ac:dyDescent="0.35">
      <c r="A495" s="45" t="s">
        <v>808</v>
      </c>
      <c r="B495" s="45" t="s">
        <v>82</v>
      </c>
      <c r="C495" s="45">
        <v>4.3</v>
      </c>
      <c r="D495" s="45">
        <v>14517</v>
      </c>
      <c r="E495" s="45">
        <v>2010</v>
      </c>
      <c r="F495" s="48" t="str">
        <f t="shared" si="7"/>
        <v>30 Days of Night: Dark Days : Rating 4.3,  Released in 2010</v>
      </c>
    </row>
    <row r="496" spans="1:6" x14ac:dyDescent="0.35">
      <c r="A496" s="45" t="s">
        <v>2149</v>
      </c>
      <c r="B496" s="45" t="s">
        <v>140</v>
      </c>
      <c r="C496" s="45">
        <v>5.2</v>
      </c>
      <c r="D496" s="45">
        <v>66227</v>
      </c>
      <c r="E496" s="45">
        <v>2011</v>
      </c>
      <c r="F496" s="48" t="str">
        <f t="shared" si="7"/>
        <v>Zookeeper : Rating 5.2,  Released in 2011</v>
      </c>
    </row>
    <row r="497" spans="1:6" x14ac:dyDescent="0.35">
      <c r="A497" s="45" t="s">
        <v>963</v>
      </c>
      <c r="B497" s="45" t="s">
        <v>649</v>
      </c>
      <c r="C497" s="45">
        <v>4.5</v>
      </c>
      <c r="D497" s="45">
        <v>28833</v>
      </c>
      <c r="E497" s="45">
        <v>2011</v>
      </c>
      <c r="F497" s="48" t="str">
        <f t="shared" si="7"/>
        <v>Wrong Turn 4: Bloody Beginnings : Rating 4.5,  Released in 2011</v>
      </c>
    </row>
    <row r="498" spans="1:6" x14ac:dyDescent="0.35">
      <c r="A498" s="45" t="s">
        <v>1480</v>
      </c>
      <c r="B498" s="45" t="s">
        <v>270</v>
      </c>
      <c r="C498" s="45">
        <v>4.8</v>
      </c>
      <c r="D498" s="45">
        <v>12111</v>
      </c>
      <c r="E498" s="45">
        <v>2011</v>
      </c>
      <c r="F498" s="48" t="str">
        <f t="shared" si="7"/>
        <v>Twixt : Rating 4.8,  Released in 2011</v>
      </c>
    </row>
    <row r="499" spans="1:6" x14ac:dyDescent="0.35">
      <c r="A499" s="45" t="s">
        <v>1728</v>
      </c>
      <c r="B499" s="45" t="s">
        <v>1160</v>
      </c>
      <c r="C499" s="45">
        <v>5</v>
      </c>
      <c r="D499" s="45">
        <v>32368</v>
      </c>
      <c r="E499" s="45">
        <v>2011</v>
      </c>
      <c r="F499" s="48" t="str">
        <f t="shared" si="7"/>
        <v>The Way to Paradise : Rating 5,  Released in 2011</v>
      </c>
    </row>
    <row r="500" spans="1:6" x14ac:dyDescent="0.35">
      <c r="A500" s="45" t="s">
        <v>1522</v>
      </c>
      <c r="B500" s="45" t="s">
        <v>1322</v>
      </c>
      <c r="C500" s="45">
        <v>4.9000000000000004</v>
      </c>
      <c r="D500" s="45">
        <v>258475</v>
      </c>
      <c r="E500" s="45">
        <v>2011</v>
      </c>
      <c r="F500" s="48" t="str">
        <f t="shared" si="7"/>
        <v>The Twilight Saga: Breaking Dawn - Part 1 : Rating 4.9,  Released in 2011</v>
      </c>
    </row>
    <row r="501" spans="1:6" x14ac:dyDescent="0.35">
      <c r="A501" s="45" t="s">
        <v>412</v>
      </c>
      <c r="B501" s="45" t="s">
        <v>178</v>
      </c>
      <c r="C501" s="45">
        <v>3.6</v>
      </c>
      <c r="D501" s="45">
        <v>29008</v>
      </c>
      <c r="E501" s="45">
        <v>2011</v>
      </c>
      <c r="F501" s="48" t="str">
        <f t="shared" si="7"/>
        <v>The Survival of Humanity : Rating 3.6,  Released in 2011</v>
      </c>
    </row>
    <row r="502" spans="1:6" x14ac:dyDescent="0.35">
      <c r="A502" s="45" t="s">
        <v>1985</v>
      </c>
      <c r="B502" s="45" t="s">
        <v>56</v>
      </c>
      <c r="C502" s="45">
        <v>5.0999999999999996</v>
      </c>
      <c r="D502" s="45">
        <v>18161</v>
      </c>
      <c r="E502" s="45">
        <v>2011</v>
      </c>
      <c r="F502" s="48" t="str">
        <f t="shared" si="7"/>
        <v>The Son of No One : Rating 5.1,  Released in 2011</v>
      </c>
    </row>
    <row r="503" spans="1:6" x14ac:dyDescent="0.35">
      <c r="A503" s="45" t="s">
        <v>1356</v>
      </c>
      <c r="B503" s="45" t="s">
        <v>584</v>
      </c>
      <c r="C503" s="45">
        <v>4.8</v>
      </c>
      <c r="D503" s="45">
        <v>41990</v>
      </c>
      <c r="E503" s="45">
        <v>2011</v>
      </c>
      <c r="F503" s="48" t="str">
        <f t="shared" si="7"/>
        <v>The Roommate : Rating 4.8,  Released in 2011</v>
      </c>
    </row>
    <row r="504" spans="1:6" x14ac:dyDescent="0.35">
      <c r="A504" s="45" t="s">
        <v>493</v>
      </c>
      <c r="B504" s="45" t="s">
        <v>76</v>
      </c>
      <c r="C504" s="45">
        <v>3.8</v>
      </c>
      <c r="D504" s="45">
        <v>44268</v>
      </c>
      <c r="E504" s="45">
        <v>2011</v>
      </c>
      <c r="F504" s="48" t="str">
        <f t="shared" si="7"/>
        <v>The Human Centipede 2 (Full Sequence) : Rating 3.8,  Released in 2011</v>
      </c>
    </row>
    <row r="505" spans="1:6" x14ac:dyDescent="0.35">
      <c r="A505" s="45" t="s">
        <v>1540</v>
      </c>
      <c r="B505" s="45" t="s">
        <v>122</v>
      </c>
      <c r="C505" s="45">
        <v>4.9000000000000004</v>
      </c>
      <c r="D505" s="45">
        <v>64438</v>
      </c>
      <c r="E505" s="45">
        <v>2011</v>
      </c>
      <c r="F505" s="48" t="str">
        <f t="shared" si="7"/>
        <v>The Darkest Hour : Rating 4.9,  Released in 2011</v>
      </c>
    </row>
    <row r="506" spans="1:6" x14ac:dyDescent="0.35">
      <c r="A506" s="45" t="s">
        <v>643</v>
      </c>
      <c r="B506" s="45" t="s">
        <v>571</v>
      </c>
      <c r="C506" s="45">
        <v>4.0999999999999996</v>
      </c>
      <c r="D506" s="45">
        <v>27444</v>
      </c>
      <c r="E506" s="45">
        <v>2011</v>
      </c>
      <c r="F506" s="48" t="str">
        <f t="shared" si="7"/>
        <v>Shark Night : Rating 4.1,  Released in 2011</v>
      </c>
    </row>
    <row r="507" spans="1:6" x14ac:dyDescent="0.35">
      <c r="A507" s="45" t="s">
        <v>877</v>
      </c>
      <c r="B507" s="45" t="s">
        <v>56</v>
      </c>
      <c r="C507" s="45">
        <v>4.4000000000000004</v>
      </c>
      <c r="D507" s="45">
        <v>21913</v>
      </c>
      <c r="E507" s="45">
        <v>2011</v>
      </c>
      <c r="F507" s="48" t="str">
        <f t="shared" si="7"/>
        <v>Setup : Rating 4.4,  Released in 2011</v>
      </c>
    </row>
    <row r="508" spans="1:6" x14ac:dyDescent="0.35">
      <c r="A508" s="45" t="s">
        <v>1609</v>
      </c>
      <c r="B508" s="45" t="s">
        <v>181</v>
      </c>
      <c r="C508" s="45">
        <v>4.9000000000000004</v>
      </c>
      <c r="D508" s="45">
        <v>20168</v>
      </c>
      <c r="E508" s="45">
        <v>2011</v>
      </c>
      <c r="F508" s="48" t="str">
        <f t="shared" si="7"/>
        <v>Ready : Rating 4.9,  Released in 2011</v>
      </c>
    </row>
    <row r="509" spans="1:6" x14ac:dyDescent="0.35">
      <c r="A509" s="45" t="s">
        <v>1560</v>
      </c>
      <c r="B509" s="45" t="s">
        <v>163</v>
      </c>
      <c r="C509" s="45">
        <v>4.9000000000000004</v>
      </c>
      <c r="D509" s="45">
        <v>47785</v>
      </c>
      <c r="E509" s="45">
        <v>2011</v>
      </c>
      <c r="F509" s="48" t="str">
        <f t="shared" si="7"/>
        <v>Ra.One : Rating 4.9,  Released in 2011</v>
      </c>
    </row>
    <row r="510" spans="1:6" x14ac:dyDescent="0.35">
      <c r="A510" s="45" t="s">
        <v>1106</v>
      </c>
      <c r="B510" s="45" t="s">
        <v>584</v>
      </c>
      <c r="C510" s="45">
        <v>4.5999999999999996</v>
      </c>
      <c r="D510" s="45">
        <v>16961</v>
      </c>
      <c r="E510" s="45">
        <v>2011</v>
      </c>
      <c r="F510" s="48" t="str">
        <f t="shared" si="7"/>
        <v>Megan Is Missing : Rating 4.6,  Released in 2011</v>
      </c>
    </row>
    <row r="511" spans="1:6" x14ac:dyDescent="0.35">
      <c r="A511" s="45" t="s">
        <v>645</v>
      </c>
      <c r="B511" s="45" t="s">
        <v>646</v>
      </c>
      <c r="C511" s="45">
        <v>4.0999999999999996</v>
      </c>
      <c r="D511" s="45">
        <v>26229</v>
      </c>
      <c r="E511" s="45">
        <v>2011</v>
      </c>
      <c r="F511" s="48" t="str">
        <f t="shared" si="7"/>
        <v>Mean Girls 2 : Rating 4.1,  Released in 2011</v>
      </c>
    </row>
    <row r="512" spans="1:6" x14ac:dyDescent="0.35">
      <c r="A512" s="45" t="s">
        <v>73</v>
      </c>
      <c r="B512" s="45" t="s">
        <v>68</v>
      </c>
      <c r="C512" s="45">
        <v>1.7</v>
      </c>
      <c r="D512" s="45">
        <v>76481</v>
      </c>
      <c r="E512" s="45">
        <v>2011</v>
      </c>
      <c r="F512" s="48" t="str">
        <f t="shared" si="7"/>
        <v>Justin Bieber: Never Say Never : Rating 1.7,  Released in 2011</v>
      </c>
    </row>
    <row r="513" spans="1:6" x14ac:dyDescent="0.35">
      <c r="A513" s="45" t="s">
        <v>320</v>
      </c>
      <c r="B513" s="45" t="s">
        <v>11</v>
      </c>
      <c r="C513" s="45">
        <v>3.3</v>
      </c>
      <c r="D513" s="45">
        <v>91775</v>
      </c>
      <c r="E513" s="45">
        <v>2011</v>
      </c>
      <c r="F513" s="48" t="str">
        <f t="shared" si="7"/>
        <v>Jack and Jill : Rating 3.3,  Released in 2011</v>
      </c>
    </row>
    <row r="514" spans="1:6" x14ac:dyDescent="0.35">
      <c r="A514" s="45" t="s">
        <v>1203</v>
      </c>
      <c r="B514" s="45" t="s">
        <v>1204</v>
      </c>
      <c r="C514" s="45">
        <v>4.7</v>
      </c>
      <c r="D514" s="45">
        <v>34737</v>
      </c>
      <c r="E514" s="45">
        <v>2011</v>
      </c>
      <c r="F514" s="48" t="str">
        <f t="shared" ref="F514:F577" si="8">_xlfn.CONCAT(TRIM(A514)," ", ": Rating"," ",C514,",","  ","Released in", " ",E514)</f>
        <v>In the Land of Blood and Honey : Rating 4.7,  Released in 2011</v>
      </c>
    </row>
    <row r="515" spans="1:6" x14ac:dyDescent="0.35">
      <c r="A515" s="45" t="s">
        <v>1762</v>
      </c>
      <c r="B515" s="45" t="s">
        <v>116</v>
      </c>
      <c r="C515" s="45">
        <v>5</v>
      </c>
      <c r="D515" s="45">
        <v>21350</v>
      </c>
      <c r="E515" s="45">
        <v>2011</v>
      </c>
      <c r="F515" s="48" t="str">
        <f t="shared" si="8"/>
        <v>I Don't Know How She Does It : Rating 5,  Released in 2011</v>
      </c>
    </row>
    <row r="516" spans="1:6" x14ac:dyDescent="0.35">
      <c r="A516" s="45" t="s">
        <v>2071</v>
      </c>
      <c r="B516" s="45" t="s">
        <v>82</v>
      </c>
      <c r="C516" s="45">
        <v>5.0999999999999996</v>
      </c>
      <c r="D516" s="45">
        <v>10850</v>
      </c>
      <c r="E516" s="45">
        <v>2011</v>
      </c>
      <c r="F516" s="48" t="str">
        <f t="shared" si="8"/>
        <v>Husk : Rating 5.1,  Released in 2011</v>
      </c>
    </row>
    <row r="517" spans="1:6" x14ac:dyDescent="0.35">
      <c r="A517" s="45" t="s">
        <v>1054</v>
      </c>
      <c r="B517" s="45" t="s">
        <v>76</v>
      </c>
      <c r="C517" s="45">
        <v>4.5999999999999996</v>
      </c>
      <c r="D517" s="45">
        <v>36499</v>
      </c>
      <c r="E517" s="45">
        <v>2011</v>
      </c>
      <c r="F517" s="48" t="str">
        <f t="shared" si="8"/>
        <v>Hostel: Part III : Rating 4.6,  Released in 2011</v>
      </c>
    </row>
    <row r="518" spans="1:6" x14ac:dyDescent="0.35">
      <c r="A518" s="45" t="s">
        <v>1283</v>
      </c>
      <c r="B518" s="45" t="s">
        <v>65</v>
      </c>
      <c r="C518" s="45">
        <v>4.7</v>
      </c>
      <c r="D518" s="45">
        <v>14191</v>
      </c>
      <c r="E518" s="45">
        <v>2011</v>
      </c>
      <c r="F518" s="48" t="str">
        <f t="shared" si="8"/>
        <v>Hoodwinked Too! Hood vs. Evil : Rating 4.7,  Released in 2011</v>
      </c>
    </row>
    <row r="519" spans="1:6" x14ac:dyDescent="0.35">
      <c r="A519" s="45" t="s">
        <v>224</v>
      </c>
      <c r="B519" s="45" t="s">
        <v>76</v>
      </c>
      <c r="C519" s="45">
        <v>2.7</v>
      </c>
      <c r="D519" s="45">
        <v>10209</v>
      </c>
      <c r="E519" s="45">
        <v>2011</v>
      </c>
      <c r="F519" s="48" t="str">
        <f t="shared" si="8"/>
        <v>Hellraiser: Revelations : Rating 2.7,  Released in 2011</v>
      </c>
    </row>
    <row r="520" spans="1:6" x14ac:dyDescent="0.35">
      <c r="A520" s="45" t="s">
        <v>753</v>
      </c>
      <c r="B520" s="45" t="s">
        <v>754</v>
      </c>
      <c r="C520" s="45">
        <v>4.3</v>
      </c>
      <c r="D520" s="45">
        <v>128358</v>
      </c>
      <c r="E520" s="45">
        <v>2011</v>
      </c>
      <c r="F520" s="48" t="str">
        <f t="shared" si="8"/>
        <v>Ghost Rider: Spirit of Vengeance : Rating 4.3,  Released in 2011</v>
      </c>
    </row>
    <row r="521" spans="1:6" x14ac:dyDescent="0.35">
      <c r="A521" s="45" t="s">
        <v>1834</v>
      </c>
      <c r="B521" s="45" t="s">
        <v>101</v>
      </c>
      <c r="C521" s="45">
        <v>5</v>
      </c>
      <c r="D521" s="45">
        <v>11176</v>
      </c>
      <c r="E521" s="45">
        <v>2011</v>
      </c>
      <c r="F521" s="48" t="str">
        <f t="shared" si="8"/>
        <v>Elephant White : Rating 5,  Released in 2011</v>
      </c>
    </row>
    <row r="522" spans="1:6" x14ac:dyDescent="0.35">
      <c r="A522" s="45" t="s">
        <v>559</v>
      </c>
      <c r="B522" s="45" t="s">
        <v>560</v>
      </c>
      <c r="C522" s="45">
        <v>3.9</v>
      </c>
      <c r="D522" s="45">
        <v>20749</v>
      </c>
      <c r="E522" s="45">
        <v>2011</v>
      </c>
      <c r="F522" s="48" t="str">
        <f t="shared" si="8"/>
        <v>Dam999 : Rating 3.9,  Released in 2011</v>
      </c>
    </row>
    <row r="523" spans="1:6" x14ac:dyDescent="0.35">
      <c r="A523" s="45" t="s">
        <v>2119</v>
      </c>
      <c r="B523" s="45" t="s">
        <v>166</v>
      </c>
      <c r="C523" s="45">
        <v>5.2</v>
      </c>
      <c r="D523" s="45">
        <v>103537</v>
      </c>
      <c r="E523" s="45">
        <v>2011</v>
      </c>
      <c r="F523" s="48" t="str">
        <f t="shared" si="8"/>
        <v>Conan the Barbarian : Rating 5.2,  Released in 2011</v>
      </c>
    </row>
    <row r="524" spans="1:6" x14ac:dyDescent="0.35">
      <c r="A524" s="45" t="s">
        <v>1095</v>
      </c>
      <c r="B524" s="45" t="s">
        <v>294</v>
      </c>
      <c r="C524" s="45">
        <v>4.5999999999999996</v>
      </c>
      <c r="D524" s="45">
        <v>18020</v>
      </c>
      <c r="E524" s="45">
        <v>2011</v>
      </c>
      <c r="F524" s="48" t="str">
        <f t="shared" si="8"/>
        <v>Catch .44 : Rating 4.6,  Released in 2011</v>
      </c>
    </row>
    <row r="525" spans="1:6" x14ac:dyDescent="0.35">
      <c r="A525" s="45" t="s">
        <v>332</v>
      </c>
      <c r="B525" s="45" t="s">
        <v>11</v>
      </c>
      <c r="C525" s="45">
        <v>3.3</v>
      </c>
      <c r="D525" s="45">
        <v>13023</v>
      </c>
      <c r="E525" s="45">
        <v>2011</v>
      </c>
      <c r="F525" s="48" t="str">
        <f t="shared" si="8"/>
        <v>Bucky Larson: Born to Be a Star : Rating 3.3,  Released in 2011</v>
      </c>
    </row>
    <row r="526" spans="1:6" x14ac:dyDescent="0.35">
      <c r="A526" s="45" t="s">
        <v>1219</v>
      </c>
      <c r="B526" s="45" t="s">
        <v>125</v>
      </c>
      <c r="C526" s="45">
        <v>4.7</v>
      </c>
      <c r="D526" s="45">
        <v>28381</v>
      </c>
      <c r="E526" s="45">
        <v>2011</v>
      </c>
      <c r="F526" s="48" t="str">
        <f t="shared" si="8"/>
        <v>Bodyguard : Rating 4.7,  Released in 2011</v>
      </c>
    </row>
    <row r="527" spans="1:6" x14ac:dyDescent="0.35">
      <c r="A527" s="45" t="s">
        <v>961</v>
      </c>
      <c r="B527" s="45" t="s">
        <v>146</v>
      </c>
      <c r="C527" s="45">
        <v>4.5</v>
      </c>
      <c r="D527" s="45">
        <v>29987</v>
      </c>
      <c r="E527" s="45">
        <v>2011</v>
      </c>
      <c r="F527" s="48" t="str">
        <f t="shared" si="8"/>
        <v>Big Mommas: Like Father, Like Son : Rating 4.5,  Released in 2011</v>
      </c>
    </row>
    <row r="528" spans="1:6" x14ac:dyDescent="0.35">
      <c r="A528" s="45" t="s">
        <v>1289</v>
      </c>
      <c r="B528" s="45" t="s">
        <v>294</v>
      </c>
      <c r="C528" s="45">
        <v>4.7</v>
      </c>
      <c r="D528" s="45">
        <v>12465</v>
      </c>
      <c r="E528" s="45">
        <v>2011</v>
      </c>
      <c r="F528" s="48" t="str">
        <f t="shared" si="8"/>
        <v>Arena : Rating 4.7,  Released in 2011</v>
      </c>
    </row>
    <row r="529" spans="1:6" x14ac:dyDescent="0.35">
      <c r="A529" s="45" t="s">
        <v>2157</v>
      </c>
      <c r="B529" s="45" t="s">
        <v>804</v>
      </c>
      <c r="C529" s="45">
        <v>5.2</v>
      </c>
      <c r="D529" s="45">
        <v>58607</v>
      </c>
      <c r="E529" s="45">
        <v>2011</v>
      </c>
      <c r="F529" s="48" t="str">
        <f t="shared" si="8"/>
        <v>Apollo 18 : Rating 5.2,  Released in 2011</v>
      </c>
    </row>
    <row r="530" spans="1:6" x14ac:dyDescent="0.35">
      <c r="A530" s="45" t="s">
        <v>1818</v>
      </c>
      <c r="B530" s="45" t="s">
        <v>82</v>
      </c>
      <c r="C530" s="45">
        <v>5</v>
      </c>
      <c r="D530" s="45">
        <v>11884</v>
      </c>
      <c r="E530" s="45">
        <v>2011</v>
      </c>
      <c r="F530" s="48" t="str">
        <f t="shared" si="8"/>
        <v>Apartment 143 : Rating 5,  Released in 2011</v>
      </c>
    </row>
    <row r="531" spans="1:6" x14ac:dyDescent="0.35">
      <c r="A531" s="45" t="s">
        <v>850</v>
      </c>
      <c r="B531" s="45" t="s">
        <v>217</v>
      </c>
      <c r="C531" s="45">
        <v>4.4000000000000004</v>
      </c>
      <c r="D531" s="45">
        <v>40753</v>
      </c>
      <c r="E531" s="45">
        <v>2011</v>
      </c>
      <c r="F531" s="48" t="str">
        <f t="shared" si="8"/>
        <v>Alvin and the Chipmunks: Chipwrecked : Rating 4.4,  Released in 2011</v>
      </c>
    </row>
    <row r="532" spans="1:6" x14ac:dyDescent="0.35">
      <c r="A532" s="45" t="s">
        <v>1868</v>
      </c>
      <c r="B532" s="45" t="s">
        <v>1869</v>
      </c>
      <c r="C532" s="45">
        <v>5.0999999999999996</v>
      </c>
      <c r="D532" s="45">
        <v>84009</v>
      </c>
      <c r="E532" s="45">
        <v>2011</v>
      </c>
      <c r="F532" s="48" t="str">
        <f t="shared" si="8"/>
        <v>Abduction : Rating 5.1,  Released in 2011</v>
      </c>
    </row>
    <row r="533" spans="1:6" x14ac:dyDescent="0.35">
      <c r="A533" s="45" t="s">
        <v>248</v>
      </c>
      <c r="B533" s="45" t="s">
        <v>249</v>
      </c>
      <c r="C533" s="45">
        <v>2.9</v>
      </c>
      <c r="D533" s="45">
        <v>34925</v>
      </c>
      <c r="E533" s="45">
        <v>2011</v>
      </c>
      <c r="F533" s="48" t="str">
        <f t="shared" si="8"/>
        <v>67th Street, New York, NY : Rating 2.9,  Released in 2011</v>
      </c>
    </row>
    <row r="534" spans="1:6" x14ac:dyDescent="0.35">
      <c r="A534" s="46">
        <v>40858</v>
      </c>
      <c r="B534" s="45" t="s">
        <v>175</v>
      </c>
      <c r="C534" s="45">
        <v>3.9</v>
      </c>
      <c r="D534" s="45">
        <v>12653</v>
      </c>
      <c r="E534" s="45">
        <v>2011</v>
      </c>
      <c r="F534" s="48" t="str">
        <f t="shared" si="8"/>
        <v>40858 : Rating 3.9,  Released in 2011</v>
      </c>
    </row>
    <row r="535" spans="1:6" x14ac:dyDescent="0.35">
      <c r="A535" s="45" t="s">
        <v>648</v>
      </c>
      <c r="B535" s="45" t="s">
        <v>649</v>
      </c>
      <c r="C535" s="45">
        <v>4.0999999999999996</v>
      </c>
      <c r="D535" s="45">
        <v>23717</v>
      </c>
      <c r="E535" s="45">
        <v>2012</v>
      </c>
      <c r="F535" s="48" t="str">
        <f t="shared" si="8"/>
        <v>Wrong Turn 5: Bloodlines : Rating 4.1,  Released in 2012</v>
      </c>
    </row>
    <row r="536" spans="1:6" x14ac:dyDescent="0.35">
      <c r="A536" s="45" t="s">
        <v>1960</v>
      </c>
      <c r="B536" s="45" t="s">
        <v>1778</v>
      </c>
      <c r="C536" s="45">
        <v>5.0999999999999996</v>
      </c>
      <c r="D536" s="45">
        <v>21613</v>
      </c>
      <c r="E536" s="45">
        <v>2012</v>
      </c>
      <c r="F536" s="48" t="str">
        <f t="shared" si="8"/>
        <v>Universal Soldier: Day of Reckoning : Rating 5.1,  Released in 2012</v>
      </c>
    </row>
    <row r="537" spans="1:6" x14ac:dyDescent="0.35">
      <c r="A537" s="45" t="s">
        <v>1920</v>
      </c>
      <c r="B537" s="45" t="s">
        <v>44</v>
      </c>
      <c r="C537" s="45">
        <v>5.0999999999999996</v>
      </c>
      <c r="D537" s="45">
        <v>33518</v>
      </c>
      <c r="E537" s="45">
        <v>2012</v>
      </c>
      <c r="F537" s="48" t="str">
        <f t="shared" si="8"/>
        <v>The Three Stooges : Rating 5.1,  Released in 2012</v>
      </c>
    </row>
    <row r="538" spans="1:6" x14ac:dyDescent="0.35">
      <c r="A538" s="45" t="s">
        <v>89</v>
      </c>
      <c r="B538" s="45" t="s">
        <v>90</v>
      </c>
      <c r="C538" s="45">
        <v>1.7</v>
      </c>
      <c r="D538" s="45">
        <v>15518</v>
      </c>
      <c r="E538" s="45">
        <v>2012</v>
      </c>
      <c r="F538" s="48" t="str">
        <f t="shared" si="8"/>
        <v>The Oogieloves in the Big Balloon Adventure : Rating 1.7,  Released in 2012</v>
      </c>
    </row>
    <row r="539" spans="1:6" x14ac:dyDescent="0.35">
      <c r="A539" s="45" t="s">
        <v>2193</v>
      </c>
      <c r="B539" s="45" t="s">
        <v>82</v>
      </c>
      <c r="C539" s="45">
        <v>5.2</v>
      </c>
      <c r="D539" s="45">
        <v>33002</v>
      </c>
      <c r="E539" s="45">
        <v>2012</v>
      </c>
      <c r="F539" s="48" t="str">
        <f t="shared" si="8"/>
        <v>The Lords of Salem : Rating 5.2,  Released in 2012</v>
      </c>
    </row>
    <row r="540" spans="1:6" x14ac:dyDescent="0.35">
      <c r="A540" s="45" t="s">
        <v>699</v>
      </c>
      <c r="B540" s="45" t="s">
        <v>76</v>
      </c>
      <c r="C540" s="45">
        <v>4.2</v>
      </c>
      <c r="D540" s="45">
        <v>37863</v>
      </c>
      <c r="E540" s="45">
        <v>2012</v>
      </c>
      <c r="F540" s="48" t="str">
        <f t="shared" si="8"/>
        <v>The Devil Inside : Rating 4.2,  Released in 2012</v>
      </c>
    </row>
    <row r="541" spans="1:6" x14ac:dyDescent="0.35">
      <c r="A541" s="45" t="s">
        <v>1570</v>
      </c>
      <c r="B541" s="45" t="s">
        <v>294</v>
      </c>
      <c r="C541" s="45">
        <v>4.9000000000000004</v>
      </c>
      <c r="D541" s="45">
        <v>40151</v>
      </c>
      <c r="E541" s="45">
        <v>2012</v>
      </c>
      <c r="F541" s="48" t="str">
        <f t="shared" si="8"/>
        <v>The Cold Light of Day : Rating 4.9,  Released in 2012</v>
      </c>
    </row>
    <row r="542" spans="1:6" x14ac:dyDescent="0.35">
      <c r="A542" s="45" t="s">
        <v>656</v>
      </c>
      <c r="B542" s="45" t="s">
        <v>82</v>
      </c>
      <c r="C542" s="45">
        <v>4.0999999999999996</v>
      </c>
      <c r="D542" s="45">
        <v>20797</v>
      </c>
      <c r="E542" s="45">
        <v>2012</v>
      </c>
      <c r="F542" s="48" t="str">
        <f t="shared" si="8"/>
        <v>The Apparition : Rating 4.1,  Released in 2012</v>
      </c>
    </row>
    <row r="543" spans="1:6" x14ac:dyDescent="0.35">
      <c r="A543" s="45" t="s">
        <v>1249</v>
      </c>
      <c r="B543" s="45" t="s">
        <v>211</v>
      </c>
      <c r="C543" s="45">
        <v>4.7</v>
      </c>
      <c r="D543" s="45">
        <v>20720</v>
      </c>
      <c r="E543" s="45">
        <v>2012</v>
      </c>
      <c r="F543" s="48" t="str">
        <f t="shared" si="8"/>
        <v>The ABCs of Death : Rating 4.7,  Released in 2012</v>
      </c>
    </row>
    <row r="544" spans="1:6" x14ac:dyDescent="0.35">
      <c r="A544" s="45" t="s">
        <v>742</v>
      </c>
      <c r="B544" s="45" t="s">
        <v>181</v>
      </c>
      <c r="C544" s="45">
        <v>4.2</v>
      </c>
      <c r="D544" s="45">
        <v>10869</v>
      </c>
      <c r="E544" s="45">
        <v>2012</v>
      </c>
      <c r="F544" s="48" t="str">
        <f t="shared" si="8"/>
        <v>Son of Sardaar : Rating 4.2,  Released in 2012</v>
      </c>
    </row>
    <row r="545" spans="1:6" x14ac:dyDescent="0.35">
      <c r="A545" s="45" t="s">
        <v>1760</v>
      </c>
      <c r="B545" s="45" t="s">
        <v>146</v>
      </c>
      <c r="C545" s="45">
        <v>5</v>
      </c>
      <c r="D545" s="45">
        <v>21455</v>
      </c>
      <c r="E545" s="45">
        <v>2012</v>
      </c>
      <c r="F545" s="48" t="str">
        <f t="shared" si="8"/>
        <v>So Undercover : Rating 5,  Released in 2012</v>
      </c>
    </row>
    <row r="546" spans="1:6" x14ac:dyDescent="0.35">
      <c r="A546" s="45" t="s">
        <v>1538</v>
      </c>
      <c r="B546" s="45" t="s">
        <v>175</v>
      </c>
      <c r="C546" s="45">
        <v>4.9000000000000004</v>
      </c>
      <c r="D546" s="45">
        <v>67763</v>
      </c>
      <c r="E546" s="45">
        <v>2012</v>
      </c>
      <c r="F546" s="48" t="str">
        <f t="shared" si="8"/>
        <v>Silent Hill: Revelation : Rating 4.9,  Released in 2012</v>
      </c>
    </row>
    <row r="547" spans="1:6" x14ac:dyDescent="0.35">
      <c r="A547" s="45" t="s">
        <v>487</v>
      </c>
      <c r="B547" s="45" t="s">
        <v>137</v>
      </c>
      <c r="C547" s="45">
        <v>3.8</v>
      </c>
      <c r="D547" s="45">
        <v>46165</v>
      </c>
      <c r="E547" s="45">
        <v>2012</v>
      </c>
      <c r="F547" s="48" t="str">
        <f t="shared" si="8"/>
        <v>Piranha 3DD : Rating 3.8,  Released in 2012</v>
      </c>
    </row>
    <row r="548" spans="1:6" x14ac:dyDescent="0.35">
      <c r="A548" s="45" t="s">
        <v>1030</v>
      </c>
      <c r="B548" s="45" t="s">
        <v>448</v>
      </c>
      <c r="C548" s="45">
        <v>4.5999999999999996</v>
      </c>
      <c r="D548" s="45">
        <v>71282</v>
      </c>
      <c r="E548" s="45">
        <v>2012</v>
      </c>
      <c r="F548" s="48" t="str">
        <f t="shared" si="8"/>
        <v>Paranormal Activity 4 : Rating 4.6,  Released in 2012</v>
      </c>
    </row>
    <row r="549" spans="1:6" x14ac:dyDescent="0.35">
      <c r="A549" s="45" t="s">
        <v>1824</v>
      </c>
      <c r="B549" s="45" t="s">
        <v>1039</v>
      </c>
      <c r="C549" s="45">
        <v>5</v>
      </c>
      <c r="D549" s="45">
        <v>11511</v>
      </c>
      <c r="E549" s="45">
        <v>2012</v>
      </c>
      <c r="F549" s="48" t="str">
        <f t="shared" si="8"/>
        <v>Madea's Witness Protection : Rating 5,  Released in 2012</v>
      </c>
    </row>
    <row r="550" spans="1:6" x14ac:dyDescent="0.35">
      <c r="A550" s="45" t="s">
        <v>838</v>
      </c>
      <c r="B550" s="45" t="s">
        <v>128</v>
      </c>
      <c r="C550" s="45">
        <v>4.4000000000000004</v>
      </c>
      <c r="D550" s="45">
        <v>58611</v>
      </c>
      <c r="E550" s="45">
        <v>2012</v>
      </c>
      <c r="F550" s="48" t="str">
        <f t="shared" si="8"/>
        <v>LOL : Rating 4.4,  Released in 2012</v>
      </c>
    </row>
    <row r="551" spans="1:6" x14ac:dyDescent="0.35">
      <c r="A551" s="45" t="s">
        <v>1478</v>
      </c>
      <c r="B551" s="45" t="s">
        <v>128</v>
      </c>
      <c r="C551" s="45">
        <v>4.8</v>
      </c>
      <c r="D551" s="45">
        <v>12205</v>
      </c>
      <c r="E551" s="45">
        <v>2012</v>
      </c>
      <c r="F551" s="48" t="str">
        <f t="shared" si="8"/>
        <v>Lay the Favorite : Rating 4.8,  Released in 2012</v>
      </c>
    </row>
    <row r="552" spans="1:6" x14ac:dyDescent="0.35">
      <c r="A552" s="45" t="s">
        <v>390</v>
      </c>
      <c r="B552" s="45" t="s">
        <v>193</v>
      </c>
      <c r="C552" s="45">
        <v>3.5</v>
      </c>
      <c r="D552" s="45">
        <v>12946</v>
      </c>
      <c r="E552" s="45">
        <v>2012</v>
      </c>
      <c r="F552" s="48" t="str">
        <f t="shared" si="8"/>
        <v>Home Alone: The Holiday Heist : Rating 3.5,  Released in 2012</v>
      </c>
    </row>
    <row r="553" spans="1:6" x14ac:dyDescent="0.35">
      <c r="A553" s="45" t="s">
        <v>1930</v>
      </c>
      <c r="B553" s="45" t="s">
        <v>448</v>
      </c>
      <c r="C553" s="45">
        <v>5.0999999999999996</v>
      </c>
      <c r="D553" s="45">
        <v>28225</v>
      </c>
      <c r="E553" s="45">
        <v>2012</v>
      </c>
      <c r="F553" s="48" t="str">
        <f t="shared" si="8"/>
        <v>Grave Encounters 2 : Rating 5.1,  Released in 2012</v>
      </c>
    </row>
    <row r="554" spans="1:6" x14ac:dyDescent="0.35">
      <c r="A554" s="45" t="s">
        <v>1313</v>
      </c>
      <c r="B554" s="45" t="s">
        <v>56</v>
      </c>
      <c r="C554" s="45">
        <v>4.7</v>
      </c>
      <c r="D554" s="45">
        <v>10813</v>
      </c>
      <c r="E554" s="45">
        <v>2012</v>
      </c>
      <c r="F554" s="48" t="str">
        <f t="shared" si="8"/>
        <v>Freelancers : Rating 4.7,  Released in 2012</v>
      </c>
    </row>
    <row r="555" spans="1:6" x14ac:dyDescent="0.35">
      <c r="A555" s="45" t="s">
        <v>46</v>
      </c>
      <c r="B555" s="45" t="s">
        <v>47</v>
      </c>
      <c r="C555" s="45">
        <v>1.3</v>
      </c>
      <c r="D555" s="45">
        <v>12128</v>
      </c>
      <c r="E555" s="45">
        <v>2012</v>
      </c>
      <c r="F555" s="48" t="str">
        <f t="shared" si="8"/>
        <v>Foodfight! : Rating 1.3,  Released in 2012</v>
      </c>
    </row>
    <row r="556" spans="1:6" x14ac:dyDescent="0.35">
      <c r="A556" s="45" t="s">
        <v>1413</v>
      </c>
      <c r="B556" s="45" t="s">
        <v>146</v>
      </c>
      <c r="C556" s="45">
        <v>4.8</v>
      </c>
      <c r="D556" s="45">
        <v>20256</v>
      </c>
      <c r="E556" s="45">
        <v>2012</v>
      </c>
      <c r="F556" s="48" t="str">
        <f t="shared" si="8"/>
        <v>Fearless 2 : Rating 4.8,  Released in 2012</v>
      </c>
    </row>
    <row r="557" spans="1:6" x14ac:dyDescent="0.35">
      <c r="A557" s="45" t="s">
        <v>1889</v>
      </c>
      <c r="B557" s="45" t="s">
        <v>926</v>
      </c>
      <c r="C557" s="45">
        <v>5.0999999999999996</v>
      </c>
      <c r="D557" s="45">
        <v>50711</v>
      </c>
      <c r="E557" s="45">
        <v>2012</v>
      </c>
      <c r="F557" s="48" t="str">
        <f t="shared" si="8"/>
        <v>Cosmopolis : Rating 5.1,  Released in 2012</v>
      </c>
    </row>
    <row r="558" spans="1:6" x14ac:dyDescent="0.35">
      <c r="A558" s="45" t="s">
        <v>1691</v>
      </c>
      <c r="B558" s="45" t="s">
        <v>175</v>
      </c>
      <c r="C558" s="45">
        <v>5</v>
      </c>
      <c r="D558" s="45">
        <v>69104</v>
      </c>
      <c r="E558" s="45">
        <v>2012</v>
      </c>
      <c r="F558" s="48" t="str">
        <f t="shared" si="8"/>
        <v>Chernobyl Diaries : Rating 5,  Released in 2012</v>
      </c>
    </row>
    <row r="559" spans="1:6" x14ac:dyDescent="0.35">
      <c r="A559" s="45" t="s">
        <v>1230</v>
      </c>
      <c r="B559" s="45" t="s">
        <v>175</v>
      </c>
      <c r="C559" s="45">
        <v>4.7</v>
      </c>
      <c r="D559" s="45">
        <v>25702</v>
      </c>
      <c r="E559" s="45">
        <v>2012</v>
      </c>
      <c r="F559" s="48" t="str">
        <f t="shared" si="8"/>
        <v>ATM : Rating 4.7,  Released in 2012</v>
      </c>
    </row>
    <row r="560" spans="1:6" x14ac:dyDescent="0.35">
      <c r="A560" s="45" t="s">
        <v>2189</v>
      </c>
      <c r="B560" s="45" t="s">
        <v>462</v>
      </c>
      <c r="C560" s="45">
        <v>5.2</v>
      </c>
      <c r="D560" s="45">
        <v>35728</v>
      </c>
      <c r="E560" s="45">
        <v>2012</v>
      </c>
      <c r="F560" s="48" t="str">
        <f t="shared" si="8"/>
        <v>Alex Cross : Rating 5.2,  Released in 2012</v>
      </c>
    </row>
    <row r="561" spans="1:6" x14ac:dyDescent="0.35">
      <c r="A561" s="45" t="s">
        <v>1472</v>
      </c>
      <c r="B561" s="45" t="s">
        <v>122</v>
      </c>
      <c r="C561" s="45">
        <v>4.8</v>
      </c>
      <c r="D561" s="45">
        <v>12573</v>
      </c>
      <c r="E561" s="45">
        <v>2012</v>
      </c>
      <c r="F561" s="48" t="str">
        <f t="shared" si="8"/>
        <v>Aftershock : Rating 4.8,  Released in 2012</v>
      </c>
    </row>
    <row r="562" spans="1:6" x14ac:dyDescent="0.35">
      <c r="A562" s="45" t="s">
        <v>1507</v>
      </c>
      <c r="B562" s="45" t="s">
        <v>14</v>
      </c>
      <c r="C562" s="45">
        <v>4.8</v>
      </c>
      <c r="D562" s="45">
        <v>11045</v>
      </c>
      <c r="E562" s="45">
        <v>2012</v>
      </c>
      <c r="F562" s="48" t="str">
        <f t="shared" si="8"/>
        <v>About Cherry : Rating 4.8,  Released in 2012</v>
      </c>
    </row>
    <row r="563" spans="1:6" x14ac:dyDescent="0.35">
      <c r="A563" s="45" t="s">
        <v>1505</v>
      </c>
      <c r="B563" s="45" t="s">
        <v>467</v>
      </c>
      <c r="C563" s="45">
        <v>4.8</v>
      </c>
      <c r="D563" s="45">
        <v>11052</v>
      </c>
      <c r="E563" s="45">
        <v>2012</v>
      </c>
      <c r="F563" s="48" t="str">
        <f t="shared" si="8"/>
        <v>2016: Obama's America : Rating 4.8,  Released in 2012</v>
      </c>
    </row>
    <row r="564" spans="1:6" x14ac:dyDescent="0.35">
      <c r="A564" s="45" t="s">
        <v>1714</v>
      </c>
      <c r="B564" s="45" t="s">
        <v>571</v>
      </c>
      <c r="C564" s="45">
        <v>5</v>
      </c>
      <c r="D564" s="45">
        <v>38974</v>
      </c>
      <c r="E564" s="45">
        <v>2012</v>
      </c>
      <c r="F564" s="48" t="str">
        <f t="shared" si="8"/>
        <v>[REC] 3: Genesis : Rating 5,  Released in 2012</v>
      </c>
    </row>
    <row r="565" spans="1:6" x14ac:dyDescent="0.35">
      <c r="A565" s="45" t="s">
        <v>2037</v>
      </c>
      <c r="B565" s="45" t="s">
        <v>175</v>
      </c>
      <c r="C565" s="45">
        <v>5.0999999999999996</v>
      </c>
      <c r="D565" s="45">
        <v>13292</v>
      </c>
      <c r="E565" s="45">
        <v>2013</v>
      </c>
      <c r="F565" s="48" t="str">
        <f t="shared" si="8"/>
        <v>Willow Creek : Rating 5.1,  Released in 2013</v>
      </c>
    </row>
    <row r="566" spans="1:6" x14ac:dyDescent="0.35">
      <c r="A566" s="45" t="s">
        <v>1631</v>
      </c>
      <c r="B566" s="45" t="s">
        <v>178</v>
      </c>
      <c r="C566" s="45">
        <v>4.9000000000000004</v>
      </c>
      <c r="D566" s="45">
        <v>14215</v>
      </c>
      <c r="E566" s="45">
        <v>2013</v>
      </c>
      <c r="F566" s="48" t="str">
        <f t="shared" si="8"/>
        <v>Welcome to the Jungle : Rating 4.9,  Released in 2013</v>
      </c>
    </row>
    <row r="567" spans="1:6" x14ac:dyDescent="0.35">
      <c r="A567" s="45" t="s">
        <v>1623</v>
      </c>
      <c r="B567" s="45" t="s">
        <v>101</v>
      </c>
      <c r="C567" s="45">
        <v>4.9000000000000004</v>
      </c>
      <c r="D567" s="45">
        <v>16091</v>
      </c>
      <c r="E567" s="45">
        <v>2013</v>
      </c>
      <c r="F567" s="48" t="str">
        <f t="shared" si="8"/>
        <v>Vehicle 19 : Rating 4.9,  Released in 2013</v>
      </c>
    </row>
    <row r="568" spans="1:6" x14ac:dyDescent="0.35">
      <c r="A568" s="45" t="s">
        <v>298</v>
      </c>
      <c r="B568" s="45" t="s">
        <v>299</v>
      </c>
      <c r="C568" s="45">
        <v>3.2</v>
      </c>
      <c r="D568" s="45">
        <v>22908</v>
      </c>
      <c r="E568" s="45">
        <v>2013</v>
      </c>
      <c r="F568" s="48" t="str">
        <f t="shared" si="8"/>
        <v>The Starving Games : Rating 3.2,  Released in 2013</v>
      </c>
    </row>
    <row r="569" spans="1:6" x14ac:dyDescent="0.35">
      <c r="A569" s="45" t="s">
        <v>608</v>
      </c>
      <c r="B569" s="45" t="s">
        <v>82</v>
      </c>
      <c r="C569" s="45">
        <v>4</v>
      </c>
      <c r="D569" s="45">
        <v>17167</v>
      </c>
      <c r="E569" s="45">
        <v>2013</v>
      </c>
      <c r="F569" s="48" t="str">
        <f t="shared" si="8"/>
        <v>The Last Exorcism Part II : Rating 4,  Released in 2013</v>
      </c>
    </row>
    <row r="570" spans="1:6" x14ac:dyDescent="0.35">
      <c r="A570" s="45" t="s">
        <v>1836</v>
      </c>
      <c r="B570" s="45" t="s">
        <v>169</v>
      </c>
      <c r="C570" s="45">
        <v>5</v>
      </c>
      <c r="D570" s="45">
        <v>11113</v>
      </c>
      <c r="E570" s="45">
        <v>2013</v>
      </c>
      <c r="F570" s="48" t="str">
        <f t="shared" si="8"/>
        <v>The Human Race : Rating 5,  Released in 2013</v>
      </c>
    </row>
    <row r="571" spans="1:6" x14ac:dyDescent="0.35">
      <c r="A571" s="45" t="s">
        <v>516</v>
      </c>
      <c r="B571" s="45" t="s">
        <v>31</v>
      </c>
      <c r="C571" s="45">
        <v>3.8</v>
      </c>
      <c r="D571" s="45">
        <v>12096</v>
      </c>
      <c r="E571" s="45">
        <v>2013</v>
      </c>
      <c r="F571" s="48" t="str">
        <f t="shared" si="8"/>
        <v>The Canyons : Rating 3.8,  Released in 2013</v>
      </c>
    </row>
    <row r="572" spans="1:6" x14ac:dyDescent="0.35">
      <c r="A572" s="45" t="s">
        <v>1337</v>
      </c>
      <c r="B572" s="45" t="s">
        <v>82</v>
      </c>
      <c r="C572" s="45">
        <v>4.8</v>
      </c>
      <c r="D572" s="45">
        <v>57264</v>
      </c>
      <c r="E572" s="45">
        <v>2013</v>
      </c>
      <c r="F572" s="48" t="str">
        <f t="shared" si="8"/>
        <v>Texas Chainsaw : Rating 4.8,  Released in 2013</v>
      </c>
    </row>
    <row r="573" spans="1:6" x14ac:dyDescent="0.35">
      <c r="A573" s="45" t="s">
        <v>1646</v>
      </c>
      <c r="B573" s="45" t="s">
        <v>14</v>
      </c>
      <c r="C573" s="45">
        <v>4.9000000000000004</v>
      </c>
      <c r="D573" s="45">
        <v>12517</v>
      </c>
      <c r="E573" s="45">
        <v>2013</v>
      </c>
      <c r="F573" s="48" t="str">
        <f t="shared" si="8"/>
        <v>Temptation: Confessions of a Marriage Counselor : Rating 4.9,  Released in 2013</v>
      </c>
    </row>
    <row r="574" spans="1:6" x14ac:dyDescent="0.35">
      <c r="A574" s="45" t="s">
        <v>1467</v>
      </c>
      <c r="B574" s="45" t="s">
        <v>47</v>
      </c>
      <c r="C574" s="45">
        <v>4.8</v>
      </c>
      <c r="D574" s="45">
        <v>13140</v>
      </c>
      <c r="E574" s="45">
        <v>2013</v>
      </c>
      <c r="F574" s="48" t="str">
        <f t="shared" si="8"/>
        <v>Tarzan : Rating 4.8,  Released in 2013</v>
      </c>
    </row>
    <row r="575" spans="1:6" x14ac:dyDescent="0.35">
      <c r="A575" s="45" t="s">
        <v>322</v>
      </c>
      <c r="B575" s="45" t="s">
        <v>178</v>
      </c>
      <c r="C575" s="45">
        <v>3.3</v>
      </c>
      <c r="D575" s="45">
        <v>53822</v>
      </c>
      <c r="E575" s="45">
        <v>2013</v>
      </c>
      <c r="F575" s="48" t="str">
        <f t="shared" si="8"/>
        <v>Sharknado : Rating 3.3,  Released in 2013</v>
      </c>
    </row>
    <row r="576" spans="1:6" x14ac:dyDescent="0.35">
      <c r="A576" s="45" t="s">
        <v>367</v>
      </c>
      <c r="B576" s="45" t="s">
        <v>211</v>
      </c>
      <c r="C576" s="45">
        <v>3.5</v>
      </c>
      <c r="D576" s="45">
        <v>78692</v>
      </c>
      <c r="E576" s="45">
        <v>2013</v>
      </c>
      <c r="F576" s="48" t="str">
        <f t="shared" si="8"/>
        <v>Scary Movie V : Rating 3.5,  Released in 2013</v>
      </c>
    </row>
    <row r="577" spans="1:6" x14ac:dyDescent="0.35">
      <c r="A577" s="45" t="s">
        <v>1396</v>
      </c>
      <c r="B577" s="45" t="s">
        <v>508</v>
      </c>
      <c r="C577" s="45">
        <v>4.8</v>
      </c>
      <c r="D577" s="45">
        <v>23460</v>
      </c>
      <c r="E577" s="45">
        <v>2013</v>
      </c>
      <c r="F577" s="48" t="str">
        <f t="shared" si="8"/>
        <v>Remember the Monsters? : Rating 4.8,  Released in 2013</v>
      </c>
    </row>
    <row r="578" spans="1:6" x14ac:dyDescent="0.35">
      <c r="A578" s="45" t="s">
        <v>768</v>
      </c>
      <c r="B578" s="45" t="s">
        <v>68</v>
      </c>
      <c r="C578" s="45">
        <v>4.3</v>
      </c>
      <c r="D578" s="45">
        <v>25148</v>
      </c>
      <c r="E578" s="45">
        <v>2013</v>
      </c>
      <c r="F578" s="48" t="str">
        <f t="shared" ref="F578:F641" si="9">_xlfn.CONCAT(TRIM(A578)," ", ": Rating"," ",C578,",","  ","Released in", " ",E578)</f>
        <v>One Direction: This Is Us : Rating 4.3,  Released in 2013</v>
      </c>
    </row>
    <row r="579" spans="1:6" x14ac:dyDescent="0.35">
      <c r="A579" s="45" t="s">
        <v>1013</v>
      </c>
      <c r="B579" s="45" t="s">
        <v>82</v>
      </c>
      <c r="C579" s="45">
        <v>4.5</v>
      </c>
      <c r="D579" s="45">
        <v>11661</v>
      </c>
      <c r="E579" s="45">
        <v>2013</v>
      </c>
      <c r="F579" s="48" t="str">
        <f t="shared" si="9"/>
        <v>Nurse : Rating 4.5,  Released in 2013</v>
      </c>
    </row>
    <row r="580" spans="1:6" x14ac:dyDescent="0.35">
      <c r="A580" s="45" t="s">
        <v>828</v>
      </c>
      <c r="B580" s="45" t="s">
        <v>11</v>
      </c>
      <c r="C580" s="45">
        <v>4.4000000000000004</v>
      </c>
      <c r="D580" s="45">
        <v>114465</v>
      </c>
      <c r="E580" s="45">
        <v>2013</v>
      </c>
      <c r="F580" s="48" t="str">
        <f t="shared" si="9"/>
        <v>Movie 43 : Rating 4.4,  Released in 2013</v>
      </c>
    </row>
    <row r="581" spans="1:6" x14ac:dyDescent="0.35">
      <c r="A581" s="45" t="s">
        <v>1844</v>
      </c>
      <c r="B581" s="45" t="s">
        <v>31</v>
      </c>
      <c r="C581" s="45">
        <v>5</v>
      </c>
      <c r="D581" s="45">
        <v>10469</v>
      </c>
      <c r="E581" s="45">
        <v>2013</v>
      </c>
      <c r="F581" s="48" t="str">
        <f t="shared" si="9"/>
        <v>Magic Magic : Rating 5,  Released in 2013</v>
      </c>
    </row>
    <row r="582" spans="1:6" x14ac:dyDescent="0.35">
      <c r="A582" s="45" t="s">
        <v>67</v>
      </c>
      <c r="B582" s="45" t="s">
        <v>68</v>
      </c>
      <c r="C582" s="45">
        <v>1.6</v>
      </c>
      <c r="D582" s="45">
        <v>17938</v>
      </c>
      <c r="E582" s="45">
        <v>2013</v>
      </c>
      <c r="F582" s="48" t="str">
        <f t="shared" si="9"/>
        <v>Justin Bieber's Believe : Rating 1.6,  Released in 2013</v>
      </c>
    </row>
    <row r="583" spans="1:6" x14ac:dyDescent="0.35">
      <c r="A583" s="45" t="s">
        <v>1673</v>
      </c>
      <c r="B583" s="45" t="s">
        <v>211</v>
      </c>
      <c r="C583" s="45">
        <v>4.9000000000000004</v>
      </c>
      <c r="D583" s="45">
        <v>10203</v>
      </c>
      <c r="E583" s="45">
        <v>2013</v>
      </c>
      <c r="F583" s="48" t="str">
        <f t="shared" si="9"/>
        <v>Hell Baby : Rating 4.9,  Released in 2013</v>
      </c>
    </row>
    <row r="584" spans="1:6" x14ac:dyDescent="0.35">
      <c r="A584" s="45" t="s">
        <v>867</v>
      </c>
      <c r="B584" s="45" t="s">
        <v>294</v>
      </c>
      <c r="C584" s="45">
        <v>4.4000000000000004</v>
      </c>
      <c r="D584" s="45">
        <v>25450</v>
      </c>
      <c r="E584" s="45">
        <v>2013</v>
      </c>
      <c r="F584" s="48" t="str">
        <f t="shared" si="9"/>
        <v>Getaway : Rating 4.4,  Released in 2013</v>
      </c>
    </row>
    <row r="585" spans="1:6" x14ac:dyDescent="0.35">
      <c r="A585" s="45" t="s">
        <v>2092</v>
      </c>
      <c r="B585" s="45" t="s">
        <v>2093</v>
      </c>
      <c r="C585" s="45">
        <v>5.0999999999999996</v>
      </c>
      <c r="D585" s="45">
        <v>10183</v>
      </c>
      <c r="E585" s="45">
        <v>2013</v>
      </c>
      <c r="F585" s="48" t="str">
        <f t="shared" si="9"/>
        <v>Escape from Tomorrow : Rating 5.1,  Released in 2013</v>
      </c>
    </row>
    <row r="586" spans="1:6" x14ac:dyDescent="0.35">
      <c r="A586" s="45" t="s">
        <v>296</v>
      </c>
      <c r="B586" s="45" t="s">
        <v>116</v>
      </c>
      <c r="C586" s="45">
        <v>3.2</v>
      </c>
      <c r="D586" s="45">
        <v>44004</v>
      </c>
      <c r="E586" s="45">
        <v>2013</v>
      </c>
      <c r="F586" s="48" t="str">
        <f t="shared" si="9"/>
        <v>Celal and Ceren : Rating 3.2,  Released in 2013</v>
      </c>
    </row>
    <row r="587" spans="1:6" x14ac:dyDescent="0.35">
      <c r="A587" s="45" t="s">
        <v>2047</v>
      </c>
      <c r="B587" s="45" t="s">
        <v>146</v>
      </c>
      <c r="C587" s="45">
        <v>5.0999999999999996</v>
      </c>
      <c r="D587" s="45">
        <v>12223</v>
      </c>
      <c r="E587" s="45">
        <v>2013</v>
      </c>
      <c r="F587" s="48" t="str">
        <f t="shared" si="9"/>
        <v>Boss : Rating 5.1,  Released in 2013</v>
      </c>
    </row>
    <row r="588" spans="1:6" x14ac:dyDescent="0.35">
      <c r="A588" s="45" t="s">
        <v>1324</v>
      </c>
      <c r="B588" s="45" t="s">
        <v>163</v>
      </c>
      <c r="C588" s="45">
        <v>4.8</v>
      </c>
      <c r="D588" s="45">
        <v>211275</v>
      </c>
      <c r="E588" s="45">
        <v>2013</v>
      </c>
      <c r="F588" s="48" t="str">
        <f t="shared" si="9"/>
        <v>After Earth : Rating 4.8,  Released in 2013</v>
      </c>
    </row>
    <row r="589" spans="1:6" x14ac:dyDescent="0.35">
      <c r="A589" s="45" t="s">
        <v>1697</v>
      </c>
      <c r="B589" s="45" t="s">
        <v>270</v>
      </c>
      <c r="C589" s="45">
        <v>5</v>
      </c>
      <c r="D589" s="45">
        <v>50899</v>
      </c>
      <c r="E589" s="45">
        <v>2013</v>
      </c>
      <c r="F589" s="48" t="str">
        <f t="shared" si="9"/>
        <v>A Haunted House : Rating 5,  Released in 2013</v>
      </c>
    </row>
    <row r="590" spans="1:6" x14ac:dyDescent="0.35">
      <c r="A590" s="45" t="s">
        <v>2101</v>
      </c>
      <c r="B590" s="45" t="s">
        <v>294</v>
      </c>
      <c r="C590" s="45">
        <v>5.2</v>
      </c>
      <c r="D590" s="45">
        <v>217048</v>
      </c>
      <c r="E590" s="45">
        <v>2013</v>
      </c>
      <c r="F590" s="48" t="str">
        <f t="shared" si="9"/>
        <v>A Good Day to Die Hard : Rating 5.2,  Released in 2013</v>
      </c>
    </row>
    <row r="591" spans="1:6" x14ac:dyDescent="0.35">
      <c r="A591" s="45" t="s">
        <v>1411</v>
      </c>
      <c r="B591" s="45" t="s">
        <v>211</v>
      </c>
      <c r="C591" s="45">
        <v>4.8</v>
      </c>
      <c r="D591" s="45">
        <v>21038</v>
      </c>
      <c r="E591" s="45">
        <v>2014</v>
      </c>
      <c r="F591" s="48" t="str">
        <f t="shared" si="9"/>
        <v>Zombeavers : Rating 4.8,  Released in 2014</v>
      </c>
    </row>
    <row r="592" spans="1:6" x14ac:dyDescent="0.35">
      <c r="A592" s="45" t="s">
        <v>660</v>
      </c>
      <c r="B592" s="45" t="s">
        <v>649</v>
      </c>
      <c r="C592" s="45">
        <v>4.0999999999999996</v>
      </c>
      <c r="D592" s="45">
        <v>18126</v>
      </c>
      <c r="E592" s="45">
        <v>2014</v>
      </c>
      <c r="F592" s="48" t="str">
        <f t="shared" si="9"/>
        <v>Wrong Turn 6: Last Resort : Rating 4.1,  Released in 2014</v>
      </c>
    </row>
    <row r="593" spans="1:6" x14ac:dyDescent="0.35">
      <c r="A593" s="45" t="s">
        <v>715</v>
      </c>
      <c r="B593" s="45" t="s">
        <v>82</v>
      </c>
      <c r="C593" s="45">
        <v>4.2</v>
      </c>
      <c r="D593" s="45">
        <v>20153</v>
      </c>
      <c r="E593" s="45">
        <v>2014</v>
      </c>
      <c r="F593" s="48" t="str">
        <f t="shared" si="9"/>
        <v>V/H/S Viral : Rating 4.2,  Released in 2014</v>
      </c>
    </row>
    <row r="594" spans="1:6" x14ac:dyDescent="0.35">
      <c r="A594" s="45" t="s">
        <v>1378</v>
      </c>
      <c r="B594" s="45" t="s">
        <v>584</v>
      </c>
      <c r="C594" s="45">
        <v>4.8</v>
      </c>
      <c r="D594" s="45">
        <v>29879</v>
      </c>
      <c r="E594" s="45">
        <v>2014</v>
      </c>
      <c r="F594" s="48" t="str">
        <f t="shared" si="9"/>
        <v>The Woman in Black 2: Angel of Death : Rating 4.8,  Released in 2014</v>
      </c>
    </row>
    <row r="595" spans="1:6" x14ac:dyDescent="0.35">
      <c r="A595" s="45" t="s">
        <v>1964</v>
      </c>
      <c r="B595" s="45" t="s">
        <v>175</v>
      </c>
      <c r="C595" s="45">
        <v>5.0999999999999996</v>
      </c>
      <c r="D595" s="45">
        <v>21420</v>
      </c>
      <c r="E595" s="45">
        <v>2014</v>
      </c>
      <c r="F595" s="48" t="str">
        <f t="shared" si="9"/>
        <v>The Quiet Ones : Rating 5.1,  Released in 2014</v>
      </c>
    </row>
    <row r="596" spans="1:6" x14ac:dyDescent="0.35">
      <c r="A596" s="45" t="s">
        <v>1067</v>
      </c>
      <c r="B596" s="45" t="s">
        <v>175</v>
      </c>
      <c r="C596" s="45">
        <v>4.5999999999999996</v>
      </c>
      <c r="D596" s="45">
        <v>27732</v>
      </c>
      <c r="E596" s="45">
        <v>2014</v>
      </c>
      <c r="F596" s="48" t="str">
        <f t="shared" si="9"/>
        <v>The Pyramid : Rating 4.6,  Released in 2014</v>
      </c>
    </row>
    <row r="597" spans="1:6" x14ac:dyDescent="0.35">
      <c r="A597" s="45" t="s">
        <v>1091</v>
      </c>
      <c r="B597" s="45" t="s">
        <v>294</v>
      </c>
      <c r="C597" s="45">
        <v>4.5999999999999996</v>
      </c>
      <c r="D597" s="45">
        <v>19331</v>
      </c>
      <c r="E597" s="45">
        <v>2014</v>
      </c>
      <c r="F597" s="48" t="str">
        <f t="shared" si="9"/>
        <v>The Prince : Rating 4.6,  Released in 2014</v>
      </c>
    </row>
    <row r="598" spans="1:6" x14ac:dyDescent="0.35">
      <c r="A598" s="45" t="s">
        <v>756</v>
      </c>
      <c r="B598" s="45" t="s">
        <v>166</v>
      </c>
      <c r="C598" s="45">
        <v>4.3</v>
      </c>
      <c r="D598" s="45">
        <v>56624</v>
      </c>
      <c r="E598" s="45">
        <v>2014</v>
      </c>
      <c r="F598" s="48" t="str">
        <f t="shared" si="9"/>
        <v>The Legend of Hercules : Rating 4.3,  Released in 2014</v>
      </c>
    </row>
    <row r="599" spans="1:6" x14ac:dyDescent="0.35">
      <c r="A599" s="45" t="s">
        <v>382</v>
      </c>
      <c r="B599" s="45" t="s">
        <v>152</v>
      </c>
      <c r="C599" s="45">
        <v>3.5</v>
      </c>
      <c r="D599" s="45">
        <v>17241</v>
      </c>
      <c r="E599" s="45">
        <v>2014</v>
      </c>
      <c r="F599" s="48" t="str">
        <f t="shared" si="9"/>
        <v>The Hungover Games : Rating 3.5,  Released in 2014</v>
      </c>
    </row>
    <row r="600" spans="1:6" x14ac:dyDescent="0.35">
      <c r="A600" s="45" t="s">
        <v>1550</v>
      </c>
      <c r="B600" s="45" t="s">
        <v>116</v>
      </c>
      <c r="C600" s="45">
        <v>4.9000000000000004</v>
      </c>
      <c r="D600" s="45">
        <v>55540</v>
      </c>
      <c r="E600" s="45">
        <v>2014</v>
      </c>
      <c r="F600" s="48" t="str">
        <f t="shared" si="9"/>
        <v>Tammy : Rating 4.9,  Released in 2014</v>
      </c>
    </row>
    <row r="601" spans="1:6" x14ac:dyDescent="0.35">
      <c r="A601" s="45" t="s">
        <v>603</v>
      </c>
      <c r="B601" s="45" t="s">
        <v>178</v>
      </c>
      <c r="C601" s="45">
        <v>4</v>
      </c>
      <c r="D601" s="45">
        <v>20873</v>
      </c>
      <c r="E601" s="45">
        <v>2014</v>
      </c>
      <c r="F601" s="48" t="str">
        <f t="shared" si="9"/>
        <v>Sharknado 2: The Second One : Rating 4,  Released in 2014</v>
      </c>
    </row>
    <row r="602" spans="1:6" x14ac:dyDescent="0.35">
      <c r="A602" s="45" t="s">
        <v>1858</v>
      </c>
      <c r="B602" s="45" t="s">
        <v>116</v>
      </c>
      <c r="C602" s="45">
        <v>5.0999999999999996</v>
      </c>
      <c r="D602" s="45">
        <v>119263</v>
      </c>
      <c r="E602" s="45">
        <v>2014</v>
      </c>
      <c r="F602" s="48" t="str">
        <f t="shared" si="9"/>
        <v>Sex Tape : Rating 5.1,  Released in 2014</v>
      </c>
    </row>
    <row r="603" spans="1:6" x14ac:dyDescent="0.35">
      <c r="A603" s="45" t="s">
        <v>499</v>
      </c>
      <c r="B603" s="45" t="s">
        <v>11</v>
      </c>
      <c r="C603" s="45">
        <v>3.8</v>
      </c>
      <c r="D603" s="45">
        <v>18874</v>
      </c>
      <c r="E603" s="45">
        <v>2014</v>
      </c>
      <c r="F603" s="48" t="str">
        <f t="shared" si="9"/>
        <v>Recep Ivedik 4 : Rating 3.8,  Released in 2014</v>
      </c>
    </row>
    <row r="604" spans="1:6" x14ac:dyDescent="0.35">
      <c r="A604" s="45" t="s">
        <v>1750</v>
      </c>
      <c r="B604" s="45" t="s">
        <v>294</v>
      </c>
      <c r="C604" s="45">
        <v>5</v>
      </c>
      <c r="D604" s="45">
        <v>25793</v>
      </c>
      <c r="E604" s="45">
        <v>2014</v>
      </c>
      <c r="F604" s="48" t="str">
        <f t="shared" si="9"/>
        <v>Rage : Rating 5,  Released in 2014</v>
      </c>
    </row>
    <row r="605" spans="1:6" x14ac:dyDescent="0.35">
      <c r="A605" s="45" t="s">
        <v>1707</v>
      </c>
      <c r="B605" s="45" t="s">
        <v>448</v>
      </c>
      <c r="C605" s="45">
        <v>5</v>
      </c>
      <c r="D605" s="45">
        <v>46139</v>
      </c>
      <c r="E605" s="45">
        <v>2014</v>
      </c>
      <c r="F605" s="48" t="str">
        <f t="shared" si="9"/>
        <v>Paranormal Activity: The Marked Ones : Rating 5,  Released in 2014</v>
      </c>
    </row>
    <row r="606" spans="1:6" x14ac:dyDescent="0.35">
      <c r="A606" s="45" t="s">
        <v>1117</v>
      </c>
      <c r="B606" s="45" t="s">
        <v>134</v>
      </c>
      <c r="C606" s="45">
        <v>4.5999999999999996</v>
      </c>
      <c r="D606" s="45">
        <v>14471</v>
      </c>
      <c r="E606" s="45">
        <v>2014</v>
      </c>
      <c r="F606" s="48" t="str">
        <f t="shared" si="9"/>
        <v>Outcast : Rating 4.6,  Released in 2014</v>
      </c>
    </row>
    <row r="607" spans="1:6" x14ac:dyDescent="0.35">
      <c r="A607" s="45" t="s">
        <v>941</v>
      </c>
      <c r="B607" s="45" t="s">
        <v>175</v>
      </c>
      <c r="C607" s="45">
        <v>4.5</v>
      </c>
      <c r="D607" s="45">
        <v>59038</v>
      </c>
      <c r="E607" s="45">
        <v>2014</v>
      </c>
      <c r="F607" s="48" t="str">
        <f t="shared" si="9"/>
        <v>Ouija : Rating 4.5,  Released in 2014</v>
      </c>
    </row>
    <row r="608" spans="1:6" x14ac:dyDescent="0.35">
      <c r="A608" s="45" t="s">
        <v>2017</v>
      </c>
      <c r="B608" s="45" t="s">
        <v>577</v>
      </c>
      <c r="C608" s="45">
        <v>5.0999999999999996</v>
      </c>
      <c r="D608" s="45">
        <v>15261</v>
      </c>
      <c r="E608" s="45">
        <v>2014</v>
      </c>
      <c r="F608" s="48" t="str">
        <f t="shared" si="9"/>
        <v>Open Windows : Rating 5.1,  Released in 2014</v>
      </c>
    </row>
    <row r="609" spans="1:6" x14ac:dyDescent="0.35">
      <c r="A609" s="45" t="s">
        <v>816</v>
      </c>
      <c r="B609" s="45" t="s">
        <v>243</v>
      </c>
      <c r="C609" s="45">
        <v>4.3</v>
      </c>
      <c r="D609" s="45">
        <v>11309</v>
      </c>
      <c r="E609" s="45">
        <v>2014</v>
      </c>
      <c r="F609" s="48" t="str">
        <f t="shared" si="9"/>
        <v>Monsters: Dark Continent : Rating 4.3,  Released in 2014</v>
      </c>
    </row>
    <row r="610" spans="1:6" x14ac:dyDescent="0.35">
      <c r="A610" s="45" t="s">
        <v>705</v>
      </c>
      <c r="B610" s="45" t="s">
        <v>706</v>
      </c>
      <c r="C610" s="45">
        <v>4.2</v>
      </c>
      <c r="D610" s="45">
        <v>28726</v>
      </c>
      <c r="E610" s="45">
        <v>2014</v>
      </c>
      <c r="F610" s="48" t="str">
        <f t="shared" si="9"/>
        <v>Mantus : Rating 4.2,  Released in 2014</v>
      </c>
    </row>
    <row r="611" spans="1:6" x14ac:dyDescent="0.35">
      <c r="A611" s="45" t="s">
        <v>2099</v>
      </c>
      <c r="B611" s="45" t="s">
        <v>181</v>
      </c>
      <c r="C611" s="45">
        <v>5.0999999999999996</v>
      </c>
      <c r="D611" s="45">
        <v>10142</v>
      </c>
      <c r="E611" s="45">
        <v>2014</v>
      </c>
      <c r="F611" s="48" t="str">
        <f t="shared" si="9"/>
        <v>Main Tera Hero : Rating 5.1,  Released in 2014</v>
      </c>
    </row>
    <row r="612" spans="1:6" x14ac:dyDescent="0.35">
      <c r="A612" s="45" t="s">
        <v>283</v>
      </c>
      <c r="B612" s="45" t="s">
        <v>53</v>
      </c>
      <c r="C612" s="45">
        <v>3.1</v>
      </c>
      <c r="D612" s="45">
        <v>43118</v>
      </c>
      <c r="E612" s="45">
        <v>2014</v>
      </c>
      <c r="F612" s="48" t="str">
        <f t="shared" si="9"/>
        <v>Left Behind : Rating 3.1,  Released in 2014</v>
      </c>
    </row>
    <row r="613" spans="1:6" x14ac:dyDescent="0.35">
      <c r="A613" s="45" t="s">
        <v>43</v>
      </c>
      <c r="B613" s="45" t="s">
        <v>44</v>
      </c>
      <c r="C613" s="45">
        <v>1.3</v>
      </c>
      <c r="D613" s="45">
        <v>16868</v>
      </c>
      <c r="E613" s="45">
        <v>2014</v>
      </c>
      <c r="F613" s="48" t="str">
        <f t="shared" si="9"/>
        <v>Kirk Cameron's Saving Christmas : Rating 1.3,  Released in 2014</v>
      </c>
    </row>
    <row r="614" spans="1:6" x14ac:dyDescent="0.35">
      <c r="A614" s="45" t="s">
        <v>1766</v>
      </c>
      <c r="B614" s="45" t="s">
        <v>26</v>
      </c>
      <c r="C614" s="45">
        <v>5</v>
      </c>
      <c r="D614" s="45">
        <v>21086</v>
      </c>
      <c r="E614" s="45">
        <v>2014</v>
      </c>
      <c r="F614" s="48" t="str">
        <f t="shared" si="9"/>
        <v>Jai Ho : Rating 5,  Released in 2014</v>
      </c>
    </row>
    <row r="615" spans="1:6" x14ac:dyDescent="0.35">
      <c r="A615" s="45" t="s">
        <v>1022</v>
      </c>
      <c r="B615" s="45" t="s">
        <v>125</v>
      </c>
      <c r="C615" s="45">
        <v>4.5</v>
      </c>
      <c r="D615" s="45">
        <v>10015</v>
      </c>
      <c r="E615" s="45">
        <v>2014</v>
      </c>
      <c r="F615" s="48" t="str">
        <f t="shared" si="9"/>
        <v>It's Entertainment : Rating 4.5,  Released in 2014</v>
      </c>
    </row>
    <row r="616" spans="1:6" x14ac:dyDescent="0.35">
      <c r="A616" s="45" t="s">
        <v>1866</v>
      </c>
      <c r="B616" s="45" t="s">
        <v>53</v>
      </c>
      <c r="C616" s="45">
        <v>5.0999999999999996</v>
      </c>
      <c r="D616" s="45">
        <v>84431</v>
      </c>
      <c r="E616" s="45">
        <v>2014</v>
      </c>
      <c r="F616" s="48" t="str">
        <f t="shared" si="9"/>
        <v>I, Frankenstein : Rating 5.1,  Released in 2014</v>
      </c>
    </row>
    <row r="617" spans="1:6" x14ac:dyDescent="0.35">
      <c r="A617" s="45" t="s">
        <v>1712</v>
      </c>
      <c r="B617" s="45" t="s">
        <v>146</v>
      </c>
      <c r="C617" s="45">
        <v>5</v>
      </c>
      <c r="D617" s="45">
        <v>41785</v>
      </c>
      <c r="E617" s="45">
        <v>2014</v>
      </c>
      <c r="F617" s="48" t="str">
        <f t="shared" si="9"/>
        <v>Happy New Year : Rating 5,  Released in 2014</v>
      </c>
    </row>
    <row r="618" spans="1:6" x14ac:dyDescent="0.35">
      <c r="A618" s="45" t="s">
        <v>204</v>
      </c>
      <c r="B618" s="45" t="s">
        <v>205</v>
      </c>
      <c r="C618" s="45">
        <v>2.7</v>
      </c>
      <c r="D618" s="45">
        <v>60523</v>
      </c>
      <c r="E618" s="45">
        <v>2014</v>
      </c>
      <c r="F618" s="48" t="str">
        <f t="shared" si="9"/>
        <v>Gunday : Rating 2.7,  Released in 2014</v>
      </c>
    </row>
    <row r="619" spans="1:6" x14ac:dyDescent="0.35">
      <c r="A619" s="45" t="s">
        <v>1043</v>
      </c>
      <c r="B619" s="45" t="s">
        <v>208</v>
      </c>
      <c r="C619" s="45">
        <v>4.5999999999999996</v>
      </c>
      <c r="D619" s="45">
        <v>45654</v>
      </c>
      <c r="E619" s="45">
        <v>2014</v>
      </c>
      <c r="F619" s="48" t="str">
        <f t="shared" si="9"/>
        <v>God's Not Dead : Rating 4.6,  Released in 2014</v>
      </c>
    </row>
    <row r="620" spans="1:6" x14ac:dyDescent="0.35">
      <c r="A620" s="45" t="s">
        <v>1433</v>
      </c>
      <c r="B620" s="45" t="s">
        <v>1075</v>
      </c>
      <c r="C620" s="45">
        <v>4.8</v>
      </c>
      <c r="D620" s="45">
        <v>17442</v>
      </c>
      <c r="E620" s="45">
        <v>2014</v>
      </c>
      <c r="F620" s="48" t="str">
        <f t="shared" si="9"/>
        <v>Flight 7500 : Rating 4.8,  Released in 2014</v>
      </c>
    </row>
    <row r="621" spans="1:6" x14ac:dyDescent="0.35">
      <c r="A621" s="45" t="s">
        <v>1777</v>
      </c>
      <c r="B621" s="45" t="s">
        <v>1778</v>
      </c>
      <c r="C621" s="45">
        <v>5</v>
      </c>
      <c r="D621" s="45">
        <v>16941</v>
      </c>
      <c r="E621" s="45">
        <v>2014</v>
      </c>
      <c r="F621" s="48" t="str">
        <f t="shared" si="9"/>
        <v>Extraterrestrial : Rating 5,  Released in 2014</v>
      </c>
    </row>
    <row r="622" spans="1:6" x14ac:dyDescent="0.35">
      <c r="A622" s="45" t="s">
        <v>1973</v>
      </c>
      <c r="B622" s="45" t="s">
        <v>294</v>
      </c>
      <c r="C622" s="45">
        <v>5.0999999999999996</v>
      </c>
      <c r="D622" s="45">
        <v>19659</v>
      </c>
      <c r="E622" s="45">
        <v>2014</v>
      </c>
      <c r="F622" s="48" t="str">
        <f t="shared" si="9"/>
        <v>Everly : Rating 5.1,  Released in 2014</v>
      </c>
    </row>
    <row r="623" spans="1:6" x14ac:dyDescent="0.35">
      <c r="A623" s="45" t="s">
        <v>1011</v>
      </c>
      <c r="B623" s="45" t="s">
        <v>568</v>
      </c>
      <c r="C623" s="45">
        <v>4.5</v>
      </c>
      <c r="D623" s="45">
        <v>11714</v>
      </c>
      <c r="E623" s="45">
        <v>2014</v>
      </c>
      <c r="F623" s="48" t="str">
        <f t="shared" si="9"/>
        <v>Dying of the Light : Rating 4.5,  Released in 2014</v>
      </c>
    </row>
    <row r="624" spans="1:6" x14ac:dyDescent="0.35">
      <c r="A624" s="45" t="s">
        <v>717</v>
      </c>
      <c r="B624" s="45" t="s">
        <v>448</v>
      </c>
      <c r="C624" s="45">
        <v>4.2</v>
      </c>
      <c r="D624" s="45">
        <v>18008</v>
      </c>
      <c r="E624" s="45">
        <v>2014</v>
      </c>
      <c r="F624" s="48" t="str">
        <f t="shared" si="9"/>
        <v>Devil's Due : Rating 4.2,  Released in 2014</v>
      </c>
    </row>
    <row r="625" spans="1:6" x14ac:dyDescent="0.35">
      <c r="A625" s="45" t="s">
        <v>907</v>
      </c>
      <c r="B625" s="45" t="s">
        <v>116</v>
      </c>
      <c r="C625" s="45">
        <v>4.4000000000000004</v>
      </c>
      <c r="D625" s="45">
        <v>12499</v>
      </c>
      <c r="E625" s="45">
        <v>2014</v>
      </c>
      <c r="F625" s="48" t="str">
        <f t="shared" si="9"/>
        <v>Behaving Badly : Rating 4.4,  Released in 2014</v>
      </c>
    </row>
    <row r="626" spans="1:6" x14ac:dyDescent="0.35">
      <c r="A626" s="45" t="s">
        <v>1770</v>
      </c>
      <c r="B626" s="45" t="s">
        <v>56</v>
      </c>
      <c r="C626" s="45">
        <v>5</v>
      </c>
      <c r="D626" s="45">
        <v>17764</v>
      </c>
      <c r="E626" s="45">
        <v>2014</v>
      </c>
      <c r="F626" s="48" t="str">
        <f t="shared" si="9"/>
        <v>American Heist : Rating 5,  Released in 2014</v>
      </c>
    </row>
    <row r="627" spans="1:6" x14ac:dyDescent="0.35">
      <c r="A627" s="45" t="s">
        <v>1812</v>
      </c>
      <c r="B627" s="45" t="s">
        <v>682</v>
      </c>
      <c r="C627" s="45">
        <v>5</v>
      </c>
      <c r="D627" s="45">
        <v>12499</v>
      </c>
      <c r="E627" s="45">
        <v>2014</v>
      </c>
      <c r="F627" s="48" t="str">
        <f t="shared" si="9"/>
        <v>Addicted : Rating 5,  Released in 2014</v>
      </c>
    </row>
    <row r="628" spans="1:6" x14ac:dyDescent="0.35">
      <c r="A628" s="45" t="s">
        <v>1240</v>
      </c>
      <c r="B628" s="45" t="s">
        <v>270</v>
      </c>
      <c r="C628" s="45">
        <v>4.7</v>
      </c>
      <c r="D628" s="45">
        <v>23931</v>
      </c>
      <c r="E628" s="45">
        <v>2014</v>
      </c>
      <c r="F628" s="48" t="str">
        <f t="shared" si="9"/>
        <v>A Haunted House 2 : Rating 4.7,  Released in 2014</v>
      </c>
    </row>
    <row r="629" spans="1:6" x14ac:dyDescent="0.35">
      <c r="A629" s="45" t="s">
        <v>721</v>
      </c>
      <c r="B629" s="45" t="s">
        <v>143</v>
      </c>
      <c r="C629" s="45">
        <v>4.2</v>
      </c>
      <c r="D629" s="45">
        <v>17210</v>
      </c>
      <c r="E629" s="45">
        <v>2015</v>
      </c>
      <c r="F629" s="48" t="str">
        <f t="shared" si="9"/>
        <v>Vice : Rating 4.2,  Released in 2015</v>
      </c>
    </row>
    <row r="630" spans="1:6" x14ac:dyDescent="0.35">
      <c r="A630" s="45" t="s">
        <v>1256</v>
      </c>
      <c r="B630" s="45" t="s">
        <v>82</v>
      </c>
      <c r="C630" s="45">
        <v>4.7</v>
      </c>
      <c r="D630" s="45">
        <v>19462</v>
      </c>
      <c r="E630" s="45">
        <v>2015</v>
      </c>
      <c r="F630" s="48" t="str">
        <f t="shared" si="9"/>
        <v>The Vatican Tapes : Rating 4.7,  Released in 2015</v>
      </c>
    </row>
    <row r="631" spans="1:6" x14ac:dyDescent="0.35">
      <c r="A631" s="45" t="s">
        <v>2171</v>
      </c>
      <c r="B631" s="45" t="s">
        <v>294</v>
      </c>
      <c r="C631" s="45">
        <v>5.2</v>
      </c>
      <c r="D631" s="45">
        <v>45631</v>
      </c>
      <c r="E631" s="45">
        <v>2015</v>
      </c>
      <c r="F631" s="48" t="str">
        <f t="shared" si="9"/>
        <v>The Transporter Refueled : Rating 5.2,  Released in 2015</v>
      </c>
    </row>
    <row r="632" spans="1:6" x14ac:dyDescent="0.35">
      <c r="A632" s="45" t="s">
        <v>1552</v>
      </c>
      <c r="B632" s="45" t="s">
        <v>178</v>
      </c>
      <c r="C632" s="45">
        <v>4.9000000000000004</v>
      </c>
      <c r="D632" s="45">
        <v>54734</v>
      </c>
      <c r="E632" s="45">
        <v>2015</v>
      </c>
      <c r="F632" s="48" t="str">
        <f t="shared" si="9"/>
        <v>The Ridiculous 6 : Rating 4.9,  Released in 2015</v>
      </c>
    </row>
    <row r="633" spans="1:6" x14ac:dyDescent="0.35">
      <c r="A633" s="45" t="s">
        <v>2169</v>
      </c>
      <c r="B633" s="45" t="s">
        <v>804</v>
      </c>
      <c r="C633" s="45">
        <v>5.2</v>
      </c>
      <c r="D633" s="45">
        <v>46863</v>
      </c>
      <c r="E633" s="45">
        <v>2015</v>
      </c>
      <c r="F633" s="48" t="str">
        <f t="shared" si="9"/>
        <v>The Lazarus Effect : Rating 5.2,  Released in 2015</v>
      </c>
    </row>
    <row r="634" spans="1:6" x14ac:dyDescent="0.35">
      <c r="A634" s="45" t="s">
        <v>210</v>
      </c>
      <c r="B634" s="45" t="s">
        <v>211</v>
      </c>
      <c r="C634" s="45">
        <v>2.7</v>
      </c>
      <c r="D634" s="45">
        <v>20548</v>
      </c>
      <c r="E634" s="45">
        <v>2015</v>
      </c>
      <c r="F634" s="48" t="str">
        <f t="shared" si="9"/>
        <v>The Human Centipede III (Final Sequence) : Rating 2.7,  Released in 2015</v>
      </c>
    </row>
    <row r="635" spans="1:6" x14ac:dyDescent="0.35">
      <c r="A635" s="45" t="s">
        <v>711</v>
      </c>
      <c r="B635" s="45" t="s">
        <v>175</v>
      </c>
      <c r="C635" s="45">
        <v>4.2</v>
      </c>
      <c r="D635" s="45">
        <v>21872</v>
      </c>
      <c r="E635" s="45">
        <v>2015</v>
      </c>
      <c r="F635" s="48" t="str">
        <f t="shared" si="9"/>
        <v>The Gallows : Rating 4.2,  Released in 2015</v>
      </c>
    </row>
    <row r="636" spans="1:6" x14ac:dyDescent="0.35">
      <c r="A636" s="45" t="s">
        <v>2057</v>
      </c>
      <c r="B636" s="45" t="s">
        <v>646</v>
      </c>
      <c r="C636" s="45">
        <v>5.0999999999999996</v>
      </c>
      <c r="D636" s="45">
        <v>11653</v>
      </c>
      <c r="E636" s="45">
        <v>2015</v>
      </c>
      <c r="F636" s="48" t="str">
        <f t="shared" si="9"/>
        <v>The D Train : Rating 5.1,  Released in 2015</v>
      </c>
    </row>
    <row r="637" spans="1:6" x14ac:dyDescent="0.35">
      <c r="A637" s="45" t="s">
        <v>1194</v>
      </c>
      <c r="B637" s="45" t="s">
        <v>1195</v>
      </c>
      <c r="C637" s="45">
        <v>4.7</v>
      </c>
      <c r="D637" s="45">
        <v>46620</v>
      </c>
      <c r="E637" s="45">
        <v>2015</v>
      </c>
      <c r="F637" s="48" t="str">
        <f t="shared" si="9"/>
        <v>The Boy Next Door : Rating 4.7,  Released in 2015</v>
      </c>
    </row>
    <row r="638" spans="1:6" x14ac:dyDescent="0.35">
      <c r="A638" s="45" t="s">
        <v>740</v>
      </c>
      <c r="B638" s="45" t="s">
        <v>146</v>
      </c>
      <c r="C638" s="45">
        <v>4.2</v>
      </c>
      <c r="D638" s="45">
        <v>11108</v>
      </c>
      <c r="E638" s="45">
        <v>2015</v>
      </c>
      <c r="F638" s="48" t="str">
        <f t="shared" si="9"/>
        <v>Superfast! : Rating 4.2,  Released in 2015</v>
      </c>
    </row>
    <row r="639" spans="1:6" x14ac:dyDescent="0.35">
      <c r="A639" s="45" t="s">
        <v>614</v>
      </c>
      <c r="B639" s="45" t="s">
        <v>178</v>
      </c>
      <c r="C639" s="45">
        <v>4</v>
      </c>
      <c r="D639" s="45">
        <v>14108</v>
      </c>
      <c r="E639" s="45">
        <v>2015</v>
      </c>
      <c r="F639" s="48" t="str">
        <f t="shared" si="9"/>
        <v>Sharknado 3: Oh Hell No! : Rating 4,  Released in 2015</v>
      </c>
    </row>
    <row r="640" spans="1:6" x14ac:dyDescent="0.35">
      <c r="A640" s="45" t="s">
        <v>2023</v>
      </c>
      <c r="B640" s="45" t="s">
        <v>31</v>
      </c>
      <c r="C640" s="45">
        <v>5.0999999999999996</v>
      </c>
      <c r="D640" s="45">
        <v>15018</v>
      </c>
      <c r="E640" s="45">
        <v>2015</v>
      </c>
      <c r="F640" s="48" t="str">
        <f t="shared" si="9"/>
        <v>Return to Sender : Rating 5.1,  Released in 2015</v>
      </c>
    </row>
    <row r="641" spans="1:6" x14ac:dyDescent="0.35">
      <c r="A641" s="45" t="s">
        <v>1490</v>
      </c>
      <c r="B641" s="45" t="s">
        <v>584</v>
      </c>
      <c r="C641" s="45">
        <v>4.8</v>
      </c>
      <c r="D641" s="45">
        <v>11601</v>
      </c>
      <c r="E641" s="45">
        <v>2015</v>
      </c>
      <c r="F641" s="48" t="str">
        <f t="shared" si="9"/>
        <v>Ratter : Rating 4.8,  Released in 2015</v>
      </c>
    </row>
    <row r="642" spans="1:6" x14ac:dyDescent="0.35">
      <c r="A642" s="45" t="s">
        <v>824</v>
      </c>
      <c r="B642" s="45" t="s">
        <v>166</v>
      </c>
      <c r="C642" s="45">
        <v>4.3</v>
      </c>
      <c r="D642" s="45">
        <v>10617</v>
      </c>
      <c r="E642" s="45">
        <v>2015</v>
      </c>
      <c r="F642" s="48" t="str">
        <f t="shared" ref="F642:F705" si="10">_xlfn.CONCAT(TRIM(A642)," ", ": Rating"," ",C642,",","  ","Released in", " ",E642)</f>
        <v>Puli : Rating 4.3,  Released in 2015</v>
      </c>
    </row>
    <row r="643" spans="1:6" x14ac:dyDescent="0.35">
      <c r="A643" s="45" t="s">
        <v>871</v>
      </c>
      <c r="B643" s="45" t="s">
        <v>205</v>
      </c>
      <c r="C643" s="45">
        <v>4.4000000000000004</v>
      </c>
      <c r="D643" s="45">
        <v>23967</v>
      </c>
      <c r="E643" s="45">
        <v>2015</v>
      </c>
      <c r="F643" s="48" t="str">
        <f t="shared" si="10"/>
        <v>Prem Ratan Dhan Payo : Rating 4.4,  Released in 2015</v>
      </c>
    </row>
    <row r="644" spans="1:6" x14ac:dyDescent="0.35">
      <c r="A644" s="45" t="s">
        <v>1542</v>
      </c>
      <c r="B644" s="45" t="s">
        <v>82</v>
      </c>
      <c r="C644" s="45">
        <v>4.9000000000000004</v>
      </c>
      <c r="D644" s="45">
        <v>62589</v>
      </c>
      <c r="E644" s="45">
        <v>2015</v>
      </c>
      <c r="F644" s="48" t="str">
        <f t="shared" si="10"/>
        <v>Poltergeist : Rating 4.9,  Released in 2015</v>
      </c>
    </row>
    <row r="645" spans="1:6" x14ac:dyDescent="0.35">
      <c r="A645" s="45" t="s">
        <v>848</v>
      </c>
      <c r="B645" s="45" t="s">
        <v>146</v>
      </c>
      <c r="C645" s="45">
        <v>4.4000000000000004</v>
      </c>
      <c r="D645" s="45">
        <v>41993</v>
      </c>
      <c r="E645" s="45">
        <v>2015</v>
      </c>
      <c r="F645" s="48" t="str">
        <f t="shared" si="10"/>
        <v>Paul Blart: Mall Cop 2 : Rating 4.4,  Released in 2015</v>
      </c>
    </row>
    <row r="646" spans="1:6" x14ac:dyDescent="0.35">
      <c r="A646" s="45" t="s">
        <v>1061</v>
      </c>
      <c r="B646" s="45" t="s">
        <v>448</v>
      </c>
      <c r="C646" s="45">
        <v>4.5999999999999996</v>
      </c>
      <c r="D646" s="45">
        <v>31383</v>
      </c>
      <c r="E646" s="45">
        <v>2015</v>
      </c>
      <c r="F646" s="48" t="str">
        <f t="shared" si="10"/>
        <v>Paranormal Activity: The Ghost Dimension : Rating 4.6,  Released in 2015</v>
      </c>
    </row>
    <row r="647" spans="1:6" x14ac:dyDescent="0.35">
      <c r="A647" s="45" t="s">
        <v>1530</v>
      </c>
      <c r="B647" s="45" t="s">
        <v>249</v>
      </c>
      <c r="C647" s="45">
        <v>4.9000000000000004</v>
      </c>
      <c r="D647" s="45">
        <v>107514</v>
      </c>
      <c r="E647" s="45">
        <v>2015</v>
      </c>
      <c r="F647" s="48" t="str">
        <f t="shared" si="10"/>
        <v>Knock Knock : Rating 4.9,  Released in 2015</v>
      </c>
    </row>
    <row r="648" spans="1:6" x14ac:dyDescent="0.35">
      <c r="A648" s="45" t="s">
        <v>1503</v>
      </c>
      <c r="B648" s="45" t="s">
        <v>474</v>
      </c>
      <c r="C648" s="45">
        <v>4.8</v>
      </c>
      <c r="D648" s="45">
        <v>11297</v>
      </c>
      <c r="E648" s="45">
        <v>2015</v>
      </c>
      <c r="F648" s="48" t="str">
        <f t="shared" si="10"/>
        <v>Jeruzalem : Rating 4.8,  Released in 2015</v>
      </c>
    </row>
    <row r="649" spans="1:6" x14ac:dyDescent="0.35">
      <c r="A649" s="45" t="s">
        <v>2005</v>
      </c>
      <c r="B649" s="45" t="s">
        <v>82</v>
      </c>
      <c r="C649" s="45">
        <v>5.0999999999999996</v>
      </c>
      <c r="D649" s="45">
        <v>16050</v>
      </c>
      <c r="E649" s="45">
        <v>2015</v>
      </c>
      <c r="F649" s="48" t="str">
        <f t="shared" si="10"/>
        <v>I Spit on Your Grave: Vengeance Is Mine : Rating 5.1,  Released in 2015</v>
      </c>
    </row>
    <row r="650" spans="1:6" x14ac:dyDescent="0.35">
      <c r="A650" s="45" t="s">
        <v>1709</v>
      </c>
      <c r="B650" s="45" t="s">
        <v>1710</v>
      </c>
      <c r="C650" s="45">
        <v>5</v>
      </c>
      <c r="D650" s="45">
        <v>42360</v>
      </c>
      <c r="E650" s="45">
        <v>2015</v>
      </c>
      <c r="F650" s="48" t="str">
        <f t="shared" si="10"/>
        <v>Hot Tub Time Machine 2 : Rating 5,  Released in 2015</v>
      </c>
    </row>
    <row r="651" spans="1:6" x14ac:dyDescent="0.35">
      <c r="A651" s="45" t="s">
        <v>1883</v>
      </c>
      <c r="B651" s="45" t="s">
        <v>146</v>
      </c>
      <c r="C651" s="45">
        <v>5.0999999999999996</v>
      </c>
      <c r="D651" s="45">
        <v>54812</v>
      </c>
      <c r="E651" s="45">
        <v>2015</v>
      </c>
      <c r="F651" s="48" t="str">
        <f t="shared" si="10"/>
        <v>Hot Pursuit : Rating 5.1,  Released in 2015</v>
      </c>
    </row>
    <row r="652" spans="1:6" x14ac:dyDescent="0.35">
      <c r="A652" s="45" t="s">
        <v>1263</v>
      </c>
      <c r="B652" s="45" t="s">
        <v>82</v>
      </c>
      <c r="C652" s="45">
        <v>4.7</v>
      </c>
      <c r="D652" s="45">
        <v>17068</v>
      </c>
      <c r="E652" s="45">
        <v>2015</v>
      </c>
      <c r="F652" s="48" t="str">
        <f t="shared" si="10"/>
        <v>Final Girl : Rating 4.7,  Released in 2015</v>
      </c>
    </row>
    <row r="653" spans="1:6" x14ac:dyDescent="0.35">
      <c r="A653" s="45" t="s">
        <v>681</v>
      </c>
      <c r="B653" s="45" t="s">
        <v>682</v>
      </c>
      <c r="C653" s="45">
        <v>4.2</v>
      </c>
      <c r="D653" s="45">
        <v>341094</v>
      </c>
      <c r="E653" s="45">
        <v>2015</v>
      </c>
      <c r="F653" s="48" t="str">
        <f t="shared" si="10"/>
        <v>Fifty Shades of Grey : Rating 4.2,  Released in 2015</v>
      </c>
    </row>
    <row r="654" spans="1:6" x14ac:dyDescent="0.35">
      <c r="A654" s="45" t="s">
        <v>751</v>
      </c>
      <c r="B654" s="45" t="s">
        <v>163</v>
      </c>
      <c r="C654" s="45">
        <v>4.3</v>
      </c>
      <c r="D654" s="45">
        <v>179961</v>
      </c>
      <c r="E654" s="45">
        <v>2015</v>
      </c>
      <c r="F654" s="48" t="str">
        <f t="shared" si="10"/>
        <v>Fantastic Four : Rating 4.3,  Released in 2015</v>
      </c>
    </row>
    <row r="655" spans="1:6" x14ac:dyDescent="0.35">
      <c r="A655" s="45" t="s">
        <v>673</v>
      </c>
      <c r="B655" s="45" t="s">
        <v>294</v>
      </c>
      <c r="C655" s="45">
        <v>4.0999999999999996</v>
      </c>
      <c r="D655" s="45">
        <v>12126</v>
      </c>
      <c r="E655" s="45">
        <v>2015</v>
      </c>
      <c r="F655" s="48" t="str">
        <f t="shared" si="10"/>
        <v>Extraction : Rating 4.1,  Released in 2015</v>
      </c>
    </row>
    <row r="656" spans="1:6" x14ac:dyDescent="0.35">
      <c r="A656" s="45" t="s">
        <v>1908</v>
      </c>
      <c r="B656" s="45" t="s">
        <v>125</v>
      </c>
      <c r="C656" s="45">
        <v>5.0999999999999996</v>
      </c>
      <c r="D656" s="45">
        <v>39407</v>
      </c>
      <c r="E656" s="45">
        <v>2015</v>
      </c>
      <c r="F656" s="48" t="str">
        <f t="shared" si="10"/>
        <v>Dilwale : Rating 5.1,  Released in 2015</v>
      </c>
    </row>
    <row r="657" spans="1:6" x14ac:dyDescent="0.35">
      <c r="A657" s="45" t="s">
        <v>78</v>
      </c>
      <c r="B657" s="45" t="s">
        <v>79</v>
      </c>
      <c r="C657" s="45">
        <v>1.7</v>
      </c>
      <c r="D657" s="45">
        <v>27591</v>
      </c>
      <c r="E657" s="45">
        <v>2015</v>
      </c>
      <c r="F657" s="48" t="str">
        <f t="shared" si="10"/>
        <v>Code Name: K.O.Z. : Rating 1.7,  Released in 2015</v>
      </c>
    </row>
    <row r="658" spans="1:6" x14ac:dyDescent="0.35">
      <c r="A658" s="45" t="s">
        <v>1786</v>
      </c>
      <c r="B658" s="45" t="s">
        <v>93</v>
      </c>
      <c r="C658" s="45">
        <v>5</v>
      </c>
      <c r="D658" s="45">
        <v>15715</v>
      </c>
      <c r="E658" s="45">
        <v>2015</v>
      </c>
      <c r="F658" s="48" t="str">
        <f t="shared" si="10"/>
        <v>Attack on Titan Part 1 : Rating 5,  Released in 2015</v>
      </c>
    </row>
    <row r="659" spans="1:6" x14ac:dyDescent="0.35">
      <c r="A659" s="45" t="s">
        <v>803</v>
      </c>
      <c r="B659" s="45" t="s">
        <v>804</v>
      </c>
      <c r="C659" s="45">
        <v>4.3</v>
      </c>
      <c r="D659" s="45">
        <v>15376</v>
      </c>
      <c r="E659" s="45">
        <v>2015</v>
      </c>
      <c r="F659" s="48" t="str">
        <f t="shared" si="10"/>
        <v>Area 51 : Rating 4.3,  Released in 2015</v>
      </c>
    </row>
    <row r="660" spans="1:6" x14ac:dyDescent="0.35">
      <c r="A660" s="45" t="s">
        <v>52</v>
      </c>
      <c r="B660" s="45" t="s">
        <v>53</v>
      </c>
      <c r="C660" s="45">
        <v>1.4</v>
      </c>
      <c r="D660" s="45">
        <v>42954</v>
      </c>
      <c r="E660" s="45">
        <v>2015</v>
      </c>
      <c r="F660" s="48" t="str">
        <f t="shared" si="10"/>
        <v>Angels Apocalypse : Rating 1.4,  Released in 2015</v>
      </c>
    </row>
    <row r="661" spans="1:6" x14ac:dyDescent="0.35">
      <c r="A661" s="45" t="s">
        <v>1599</v>
      </c>
      <c r="B661" s="45" t="s">
        <v>217</v>
      </c>
      <c r="C661" s="45">
        <v>4.9000000000000004</v>
      </c>
      <c r="D661" s="45">
        <v>23360</v>
      </c>
      <c r="E661" s="45">
        <v>2015</v>
      </c>
      <c r="F661" s="48" t="str">
        <f t="shared" si="10"/>
        <v>Alvin and the Chipmunks: The Road Chip : Rating 4.9,  Released in 2015</v>
      </c>
    </row>
    <row r="662" spans="1:6" x14ac:dyDescent="0.35">
      <c r="A662" s="45" t="s">
        <v>2043</v>
      </c>
      <c r="B662" s="45" t="s">
        <v>951</v>
      </c>
      <c r="C662" s="45">
        <v>5.0999999999999996</v>
      </c>
      <c r="D662" s="45">
        <v>12651</v>
      </c>
      <c r="E662" s="45">
        <v>2015</v>
      </c>
      <c r="F662" s="48" t="str">
        <f t="shared" si="10"/>
        <v>Air : Rating 5.1,  Released in 2015</v>
      </c>
    </row>
    <row r="663" spans="1:6" x14ac:dyDescent="0.35">
      <c r="A663" s="45" t="s">
        <v>911</v>
      </c>
      <c r="B663" s="45" t="s">
        <v>912</v>
      </c>
      <c r="C663" s="45">
        <v>4.4000000000000004</v>
      </c>
      <c r="D663" s="45">
        <v>11349</v>
      </c>
      <c r="E663" s="45">
        <v>2015</v>
      </c>
      <c r="F663" s="48" t="str">
        <f t="shared" si="10"/>
        <v>400 Days : Rating 4.4,  Released in 2015</v>
      </c>
    </row>
    <row r="664" spans="1:6" x14ac:dyDescent="0.35">
      <c r="A664" s="45" t="s">
        <v>1166</v>
      </c>
      <c r="B664" s="45" t="s">
        <v>178</v>
      </c>
      <c r="C664" s="45">
        <v>4.7</v>
      </c>
      <c r="D664" s="45">
        <v>77401</v>
      </c>
      <c r="E664" s="45">
        <v>2016</v>
      </c>
      <c r="F664" s="48" t="str">
        <f t="shared" si="10"/>
        <v>Zoolander 2 : Rating 4.7,  Released in 2016</v>
      </c>
    </row>
    <row r="665" spans="1:6" x14ac:dyDescent="0.35">
      <c r="A665" s="45" t="s">
        <v>799</v>
      </c>
      <c r="B665" s="45" t="s">
        <v>169</v>
      </c>
      <c r="C665" s="45">
        <v>4.3</v>
      </c>
      <c r="D665" s="45">
        <v>15799</v>
      </c>
      <c r="E665" s="45">
        <v>2016</v>
      </c>
      <c r="F665" s="48" t="str">
        <f t="shared" si="10"/>
        <v>Yoga Hosers : Rating 4.3,  Released in 2016</v>
      </c>
    </row>
    <row r="666" spans="1:6" x14ac:dyDescent="0.35">
      <c r="A666" s="45" t="s">
        <v>1344</v>
      </c>
      <c r="B666" s="45" t="s">
        <v>175</v>
      </c>
      <c r="C666" s="45">
        <v>4.8</v>
      </c>
      <c r="D666" s="45">
        <v>46299</v>
      </c>
      <c r="E666" s="45">
        <v>2016</v>
      </c>
      <c r="F666" s="48" t="str">
        <f t="shared" si="10"/>
        <v>The Forest : Rating 4.8,  Released in 2016</v>
      </c>
    </row>
    <row r="667" spans="1:6" x14ac:dyDescent="0.35">
      <c r="A667" s="45" t="s">
        <v>583</v>
      </c>
      <c r="B667" s="45" t="s">
        <v>584</v>
      </c>
      <c r="C667" s="45">
        <v>3.9</v>
      </c>
      <c r="D667" s="45">
        <v>10882</v>
      </c>
      <c r="E667" s="45">
        <v>2016</v>
      </c>
      <c r="F667" s="48" t="str">
        <f t="shared" si="10"/>
        <v>The Disappointments Room : Rating 3.9,  Released in 2016</v>
      </c>
    </row>
    <row r="668" spans="1:6" x14ac:dyDescent="0.35">
      <c r="A668" s="45" t="s">
        <v>987</v>
      </c>
      <c r="B668" s="45" t="s">
        <v>82</v>
      </c>
      <c r="C668" s="45">
        <v>4.5</v>
      </c>
      <c r="D668" s="45">
        <v>17302</v>
      </c>
      <c r="E668" s="45">
        <v>2016</v>
      </c>
      <c r="F668" s="48" t="str">
        <f t="shared" si="10"/>
        <v>The Darkness : Rating 4.5,  Released in 2016</v>
      </c>
    </row>
    <row r="669" spans="1:6" x14ac:dyDescent="0.35">
      <c r="A669" s="45" t="s">
        <v>2187</v>
      </c>
      <c r="B669" s="45" t="s">
        <v>1778</v>
      </c>
      <c r="C669" s="45">
        <v>5.2</v>
      </c>
      <c r="D669" s="45">
        <v>36196</v>
      </c>
      <c r="E669" s="45">
        <v>2016</v>
      </c>
      <c r="F669" s="48" t="str">
        <f t="shared" si="10"/>
        <v>The Bad Batch : Rating 5.2,  Released in 2016</v>
      </c>
    </row>
    <row r="670" spans="1:6" x14ac:dyDescent="0.35">
      <c r="A670" s="45" t="s">
        <v>2115</v>
      </c>
      <c r="B670" s="45" t="s">
        <v>163</v>
      </c>
      <c r="C670" s="45">
        <v>5.2</v>
      </c>
      <c r="D670" s="45">
        <v>119294</v>
      </c>
      <c r="E670" s="45">
        <v>2016</v>
      </c>
      <c r="F670" s="48" t="str">
        <f t="shared" si="10"/>
        <v>The 5th Wave : Rating 5.2,  Released in 2016</v>
      </c>
    </row>
    <row r="671" spans="1:6" x14ac:dyDescent="0.35">
      <c r="A671" s="45" t="s">
        <v>30</v>
      </c>
      <c r="B671" s="45" t="s">
        <v>31</v>
      </c>
      <c r="C671" s="45">
        <v>1.2</v>
      </c>
      <c r="D671" s="45">
        <v>40233</v>
      </c>
      <c r="E671" s="45">
        <v>2016</v>
      </c>
      <c r="F671" s="48" t="str">
        <f t="shared" si="10"/>
        <v>Smolensk : Rating 1.2,  Released in 2016</v>
      </c>
    </row>
    <row r="672" spans="1:6" x14ac:dyDescent="0.35">
      <c r="A672" s="45" t="s">
        <v>1457</v>
      </c>
      <c r="B672" s="45" t="s">
        <v>565</v>
      </c>
      <c r="C672" s="45">
        <v>4.8</v>
      </c>
      <c r="D672" s="45">
        <v>15180</v>
      </c>
      <c r="E672" s="45">
        <v>2016</v>
      </c>
      <c r="F672" s="48" t="str">
        <f t="shared" si="10"/>
        <v>Shut In : Rating 4.8,  Released in 2016</v>
      </c>
    </row>
    <row r="673" spans="1:6" x14ac:dyDescent="0.35">
      <c r="A673" s="45" t="s">
        <v>1159</v>
      </c>
      <c r="B673" s="45" t="s">
        <v>1160</v>
      </c>
      <c r="C673" s="45">
        <v>4.5999999999999996</v>
      </c>
      <c r="D673" s="45">
        <v>10007</v>
      </c>
      <c r="E673" s="45">
        <v>2016</v>
      </c>
      <c r="F673" s="48" t="str">
        <f t="shared" si="10"/>
        <v>Precious Cargo : Rating 4.6,  Released in 2016</v>
      </c>
    </row>
    <row r="674" spans="1:6" x14ac:dyDescent="0.35">
      <c r="A674" s="45" t="s">
        <v>365</v>
      </c>
      <c r="B674" s="45" t="s">
        <v>65</v>
      </c>
      <c r="C674" s="45">
        <v>3.4</v>
      </c>
      <c r="D674" s="45">
        <v>10288</v>
      </c>
      <c r="E674" s="45">
        <v>2016</v>
      </c>
      <c r="F674" s="48" t="str">
        <f t="shared" si="10"/>
        <v>Norm of the North : Rating 3.4,  Released in 2016</v>
      </c>
    </row>
    <row r="675" spans="1:6" x14ac:dyDescent="0.35">
      <c r="A675" s="45" t="s">
        <v>1360</v>
      </c>
      <c r="B675" s="45" t="s">
        <v>211</v>
      </c>
      <c r="C675" s="45">
        <v>4.8</v>
      </c>
      <c r="D675" s="45">
        <v>38080</v>
      </c>
      <c r="E675" s="45">
        <v>2016</v>
      </c>
      <c r="F675" s="48" t="str">
        <f t="shared" si="10"/>
        <v>Meet the Blacks : Rating 4.8,  Released in 2016</v>
      </c>
    </row>
    <row r="676" spans="1:6" x14ac:dyDescent="0.35">
      <c r="A676" s="45" t="s">
        <v>1085</v>
      </c>
      <c r="B676" s="45" t="s">
        <v>166</v>
      </c>
      <c r="C676" s="45">
        <v>4.5999999999999996</v>
      </c>
      <c r="D676" s="45">
        <v>20856</v>
      </c>
      <c r="E676" s="45">
        <v>2016</v>
      </c>
      <c r="F676" s="48" t="str">
        <f t="shared" si="10"/>
        <v>Max Steel : Rating 4.6,  Released in 2016</v>
      </c>
    </row>
    <row r="677" spans="1:6" x14ac:dyDescent="0.35">
      <c r="A677" s="45" t="s">
        <v>1650</v>
      </c>
      <c r="B677" s="45" t="s">
        <v>56</v>
      </c>
      <c r="C677" s="45">
        <v>4.9000000000000004</v>
      </c>
      <c r="D677" s="45">
        <v>12353</v>
      </c>
      <c r="E677" s="45">
        <v>2016</v>
      </c>
      <c r="F677" s="48" t="str">
        <f t="shared" si="10"/>
        <v>Kickboxer: Vengeance : Rating 4.9,  Released in 2016</v>
      </c>
    </row>
    <row r="678" spans="1:6" x14ac:dyDescent="0.35">
      <c r="A678" s="45" t="s">
        <v>2105</v>
      </c>
      <c r="B678" s="45" t="s">
        <v>163</v>
      </c>
      <c r="C678" s="45">
        <v>5.2</v>
      </c>
      <c r="D678" s="45">
        <v>192018</v>
      </c>
      <c r="E678" s="45">
        <v>2016</v>
      </c>
      <c r="F678" s="48" t="str">
        <f t="shared" si="10"/>
        <v>Independence Day: Resurgence : Rating 5.2,  Released in 2016</v>
      </c>
    </row>
    <row r="679" spans="1:6" x14ac:dyDescent="0.35">
      <c r="A679" s="45" t="s">
        <v>1108</v>
      </c>
      <c r="B679" s="45" t="s">
        <v>565</v>
      </c>
      <c r="C679" s="45">
        <v>4.5999999999999996</v>
      </c>
      <c r="D679" s="45">
        <v>16725</v>
      </c>
      <c r="E679" s="45">
        <v>2016</v>
      </c>
      <c r="F679" s="48" t="str">
        <f t="shared" si="10"/>
        <v>I Am the Pretty Thing That Lives in the House : Rating 4.6,  Released in 2016</v>
      </c>
    </row>
    <row r="680" spans="1:6" x14ac:dyDescent="0.35">
      <c r="A680" s="45" t="s">
        <v>1664</v>
      </c>
      <c r="B680" s="45" t="s">
        <v>181</v>
      </c>
      <c r="C680" s="45">
        <v>4.9000000000000004</v>
      </c>
      <c r="D680" s="45">
        <v>11121</v>
      </c>
      <c r="E680" s="45">
        <v>2016</v>
      </c>
      <c r="F680" s="48" t="str">
        <f t="shared" si="10"/>
        <v>Housefull 3 : Rating 4.9,  Released in 2016</v>
      </c>
    </row>
    <row r="681" spans="1:6" x14ac:dyDescent="0.35">
      <c r="A681" s="45" t="s">
        <v>2053</v>
      </c>
      <c r="B681" s="45" t="s">
        <v>915</v>
      </c>
      <c r="C681" s="45">
        <v>5.0999999999999996</v>
      </c>
      <c r="D681" s="45">
        <v>12010</v>
      </c>
      <c r="E681" s="45">
        <v>2016</v>
      </c>
      <c r="F681" s="48" t="str">
        <f t="shared" si="10"/>
        <v>Holidays : Rating 5.1,  Released in 2016</v>
      </c>
    </row>
    <row r="682" spans="1:6" x14ac:dyDescent="0.35">
      <c r="A682" s="45" t="s">
        <v>810</v>
      </c>
      <c r="B682" s="45" t="s">
        <v>14</v>
      </c>
      <c r="C682" s="45">
        <v>4.3</v>
      </c>
      <c r="D682" s="45">
        <v>13758</v>
      </c>
      <c r="E682" s="45">
        <v>2016</v>
      </c>
      <c r="F682" s="48" t="str">
        <f t="shared" si="10"/>
        <v>God's Not Dead 2 : Rating 4.3,  Released in 2016</v>
      </c>
    </row>
    <row r="683" spans="1:6" x14ac:dyDescent="0.35">
      <c r="A683" s="45" t="s">
        <v>378</v>
      </c>
      <c r="B683" s="45" t="s">
        <v>11</v>
      </c>
      <c r="C683" s="45">
        <v>3.5</v>
      </c>
      <c r="D683" s="45">
        <v>23615</v>
      </c>
      <c r="E683" s="45">
        <v>2016</v>
      </c>
      <c r="F683" s="48" t="str">
        <f t="shared" si="10"/>
        <v>Fifty Shades of Black : Rating 3.5,  Released in 2016</v>
      </c>
    </row>
    <row r="684" spans="1:6" x14ac:dyDescent="0.35">
      <c r="A684" s="45" t="s">
        <v>795</v>
      </c>
      <c r="B684" s="45" t="s">
        <v>508</v>
      </c>
      <c r="C684" s="45">
        <v>4.3</v>
      </c>
      <c r="D684" s="45">
        <v>17161</v>
      </c>
      <c r="E684" s="45">
        <v>2016</v>
      </c>
      <c r="F684" s="48" t="str">
        <f t="shared" si="10"/>
        <v>Exposed : Rating 4.3,  Released in 2016</v>
      </c>
    </row>
    <row r="685" spans="1:6" x14ac:dyDescent="0.35">
      <c r="A685" s="45" t="s">
        <v>2019</v>
      </c>
      <c r="B685" s="45" t="s">
        <v>400</v>
      </c>
      <c r="C685" s="45">
        <v>5.0999999999999996</v>
      </c>
      <c r="D685" s="45">
        <v>15159</v>
      </c>
      <c r="E685" s="45">
        <v>2016</v>
      </c>
      <c r="F685" s="48" t="str">
        <f t="shared" si="10"/>
        <v>Don't Knock Twice : Rating 5.1,  Released in 2016</v>
      </c>
    </row>
    <row r="686" spans="1:6" x14ac:dyDescent="0.35">
      <c r="A686" s="45" t="s">
        <v>1087</v>
      </c>
      <c r="B686" s="45" t="s">
        <v>508</v>
      </c>
      <c r="C686" s="45">
        <v>4.5999999999999996</v>
      </c>
      <c r="D686" s="45">
        <v>20398</v>
      </c>
      <c r="E686" s="45">
        <v>2016</v>
      </c>
      <c r="F686" s="48" t="str">
        <f t="shared" si="10"/>
        <v>Dark Crimes : Rating 4.6,  Released in 2016</v>
      </c>
    </row>
    <row r="687" spans="1:6" x14ac:dyDescent="0.35">
      <c r="A687" s="45" t="s">
        <v>856</v>
      </c>
      <c r="B687" s="45" t="s">
        <v>122</v>
      </c>
      <c r="C687" s="45">
        <v>4.4000000000000004</v>
      </c>
      <c r="D687" s="45">
        <v>31224</v>
      </c>
      <c r="E687" s="45">
        <v>2016</v>
      </c>
      <c r="F687" s="48" t="str">
        <f t="shared" si="10"/>
        <v>Cell : Rating 4.4,  Released in 2016</v>
      </c>
    </row>
    <row r="688" spans="1:6" x14ac:dyDescent="0.35">
      <c r="A688" s="45" t="s">
        <v>473</v>
      </c>
      <c r="B688" s="45" t="s">
        <v>474</v>
      </c>
      <c r="C688" s="45">
        <v>3.7</v>
      </c>
      <c r="D688" s="45">
        <v>11416</v>
      </c>
      <c r="E688" s="45">
        <v>2016</v>
      </c>
      <c r="F688" s="48" t="str">
        <f t="shared" si="10"/>
        <v>Cabin Fever : Rating 3.7,  Released in 2016</v>
      </c>
    </row>
    <row r="689" spans="1:6" x14ac:dyDescent="0.35">
      <c r="A689" s="45" t="s">
        <v>1699</v>
      </c>
      <c r="B689" s="45" t="s">
        <v>175</v>
      </c>
      <c r="C689" s="45">
        <v>5</v>
      </c>
      <c r="D689" s="45">
        <v>50760</v>
      </c>
      <c r="E689" s="45">
        <v>2016</v>
      </c>
      <c r="F689" s="48" t="str">
        <f t="shared" si="10"/>
        <v>Blair Witch : Rating 5,  Released in 2016</v>
      </c>
    </row>
    <row r="690" spans="1:6" x14ac:dyDescent="0.35">
      <c r="A690" s="45" t="s">
        <v>1405</v>
      </c>
      <c r="B690" s="45" t="s">
        <v>143</v>
      </c>
      <c r="C690" s="45">
        <v>4.8</v>
      </c>
      <c r="D690" s="45">
        <v>22108</v>
      </c>
      <c r="E690" s="45">
        <v>2016</v>
      </c>
      <c r="F690" s="48" t="str">
        <f t="shared" si="10"/>
        <v>Beta Test : Rating 4.8,  Released in 2016</v>
      </c>
    </row>
    <row r="691" spans="1:6" x14ac:dyDescent="0.35">
      <c r="A691" s="45" t="s">
        <v>510</v>
      </c>
      <c r="B691" s="45" t="s">
        <v>93</v>
      </c>
      <c r="C691" s="45">
        <v>3.8</v>
      </c>
      <c r="D691" s="45">
        <v>13397</v>
      </c>
      <c r="E691" s="45">
        <v>2016</v>
      </c>
      <c r="F691" s="48" t="str">
        <f t="shared" si="10"/>
        <v>AmeriGeddon : Rating 3.8,  Released in 2016</v>
      </c>
    </row>
    <row r="692" spans="1:6" x14ac:dyDescent="0.35">
      <c r="A692" s="45">
        <v>31</v>
      </c>
      <c r="B692" s="45" t="s">
        <v>82</v>
      </c>
      <c r="C692" s="45">
        <v>5.0999999999999996</v>
      </c>
      <c r="D692" s="45">
        <v>23633</v>
      </c>
      <c r="E692" s="45">
        <v>2016</v>
      </c>
      <c r="F692" s="48" t="str">
        <f t="shared" si="10"/>
        <v>31 : Rating 5.1,  Released in 2016</v>
      </c>
    </row>
    <row r="693" spans="1:6" x14ac:dyDescent="0.35">
      <c r="A693" s="45" t="s">
        <v>1279</v>
      </c>
      <c r="B693" s="45" t="s">
        <v>508</v>
      </c>
      <c r="C693" s="45">
        <v>4.7</v>
      </c>
      <c r="D693" s="45">
        <v>14622</v>
      </c>
      <c r="E693" s="45">
        <v>2017</v>
      </c>
      <c r="F693" s="48" t="str">
        <f t="shared" si="10"/>
        <v>You Get Me : Rating 4.7,  Released in 2017</v>
      </c>
    </row>
    <row r="694" spans="1:6" x14ac:dyDescent="0.35">
      <c r="A694" s="45" t="s">
        <v>2121</v>
      </c>
      <c r="B694" s="45" t="s">
        <v>134</v>
      </c>
      <c r="C694" s="45">
        <v>5.2</v>
      </c>
      <c r="D694" s="45">
        <v>98457</v>
      </c>
      <c r="E694" s="45">
        <v>2017</v>
      </c>
      <c r="F694" s="48" t="str">
        <f t="shared" si="10"/>
        <v>xXx: Return of Xander Cage : Rating 5.2,  Released in 2017</v>
      </c>
    </row>
    <row r="695" spans="1:6" x14ac:dyDescent="0.35">
      <c r="A695" s="45" t="s">
        <v>1127</v>
      </c>
      <c r="B695" s="45" t="s">
        <v>76</v>
      </c>
      <c r="C695" s="45">
        <v>4.5999999999999996</v>
      </c>
      <c r="D695" s="45">
        <v>12545</v>
      </c>
      <c r="E695" s="45">
        <v>2017</v>
      </c>
      <c r="F695" s="48" t="str">
        <f t="shared" si="10"/>
        <v>XX : Rating 4.6,  Released in 2017</v>
      </c>
    </row>
    <row r="696" spans="1:6" x14ac:dyDescent="0.35">
      <c r="A696" s="45" t="s">
        <v>1950</v>
      </c>
      <c r="B696" s="45" t="s">
        <v>400</v>
      </c>
      <c r="C696" s="45">
        <v>5.0999999999999996</v>
      </c>
      <c r="D696" s="45">
        <v>23465</v>
      </c>
      <c r="E696" s="45">
        <v>2017</v>
      </c>
      <c r="F696" s="48" t="str">
        <f t="shared" si="10"/>
        <v>Wish Upon : Rating 5.1,  Released in 2017</v>
      </c>
    </row>
    <row r="697" spans="1:6" x14ac:dyDescent="0.35">
      <c r="A697" s="45" t="s">
        <v>1448</v>
      </c>
      <c r="B697" s="45" t="s">
        <v>1160</v>
      </c>
      <c r="C697" s="45">
        <v>4.8</v>
      </c>
      <c r="D697" s="45">
        <v>15608</v>
      </c>
      <c r="E697" s="45">
        <v>2017</v>
      </c>
      <c r="F697" s="48" t="str">
        <f t="shared" si="10"/>
        <v>Why We're Killing Gunther : Rating 4.8,  Released in 2017</v>
      </c>
    </row>
    <row r="698" spans="1:6" x14ac:dyDescent="0.35">
      <c r="A698" s="45" t="s">
        <v>1996</v>
      </c>
      <c r="B698" s="45" t="s">
        <v>31</v>
      </c>
      <c r="C698" s="45">
        <v>5.0999999999999996</v>
      </c>
      <c r="D698" s="45">
        <v>16938</v>
      </c>
      <c r="E698" s="45">
        <v>2017</v>
      </c>
      <c r="F698" s="48" t="str">
        <f t="shared" si="10"/>
        <v>Unforgettable : Rating 5.1,  Released in 2017</v>
      </c>
    </row>
    <row r="699" spans="1:6" x14ac:dyDescent="0.35">
      <c r="A699" s="45" t="s">
        <v>556</v>
      </c>
      <c r="B699" s="45" t="s">
        <v>557</v>
      </c>
      <c r="C699" s="45">
        <v>3.9</v>
      </c>
      <c r="D699" s="45">
        <v>22055</v>
      </c>
      <c r="E699" s="45">
        <v>2017</v>
      </c>
      <c r="F699" s="48" t="str">
        <f t="shared" si="10"/>
        <v>Tubelight : Rating 3.9,  Released in 2017</v>
      </c>
    </row>
    <row r="700" spans="1:6" x14ac:dyDescent="0.35">
      <c r="A700" s="45" t="s">
        <v>2109</v>
      </c>
      <c r="B700" s="45" t="s">
        <v>163</v>
      </c>
      <c r="C700" s="45">
        <v>5.2</v>
      </c>
      <c r="D700" s="45">
        <v>172818</v>
      </c>
      <c r="E700" s="45">
        <v>2017</v>
      </c>
      <c r="F700" s="48" t="str">
        <f t="shared" si="10"/>
        <v>Transformers: The Last Knight : Rating 5.2,  Released in 2017</v>
      </c>
    </row>
    <row r="701" spans="1:6" x14ac:dyDescent="0.35">
      <c r="A701" s="45" t="s">
        <v>1635</v>
      </c>
      <c r="B701" s="45" t="s">
        <v>1072</v>
      </c>
      <c r="C701" s="45">
        <v>4.9000000000000004</v>
      </c>
      <c r="D701" s="45">
        <v>13836</v>
      </c>
      <c r="E701" s="45">
        <v>2017</v>
      </c>
      <c r="F701" s="48" t="str">
        <f t="shared" si="10"/>
        <v>The Vault : Rating 4.9,  Released in 2017</v>
      </c>
    </row>
    <row r="702" spans="1:6" x14ac:dyDescent="0.35">
      <c r="A702" s="45" t="s">
        <v>2133</v>
      </c>
      <c r="B702" s="45" t="s">
        <v>508</v>
      </c>
      <c r="C702" s="45">
        <v>5.2</v>
      </c>
      <c r="D702" s="45">
        <v>73530</v>
      </c>
      <c r="E702" s="45">
        <v>2017</v>
      </c>
      <c r="F702" s="48" t="str">
        <f t="shared" si="10"/>
        <v>The Snowman : Rating 5.2,  Released in 2017</v>
      </c>
    </row>
    <row r="703" spans="1:6" x14ac:dyDescent="0.35">
      <c r="A703" s="45" t="s">
        <v>1437</v>
      </c>
      <c r="B703" s="45" t="s">
        <v>116</v>
      </c>
      <c r="C703" s="45">
        <v>4.8</v>
      </c>
      <c r="D703" s="45">
        <v>17244</v>
      </c>
      <c r="E703" s="45">
        <v>2017</v>
      </c>
      <c r="F703" s="48" t="str">
        <f t="shared" si="10"/>
        <v>The Layover : Rating 4.8,  Released in 2017</v>
      </c>
    </row>
    <row r="704" spans="1:6" x14ac:dyDescent="0.35">
      <c r="A704" s="45" t="s">
        <v>1003</v>
      </c>
      <c r="B704" s="45" t="s">
        <v>1004</v>
      </c>
      <c r="C704" s="45">
        <v>4.5</v>
      </c>
      <c r="D704" s="45">
        <v>12266</v>
      </c>
      <c r="E704" s="45">
        <v>2017</v>
      </c>
      <c r="F704" s="48" t="str">
        <f t="shared" si="10"/>
        <v>The Humanity Bureau : Rating 4.5,  Released in 2017</v>
      </c>
    </row>
    <row r="705" spans="1:6" x14ac:dyDescent="0.35">
      <c r="A705" s="45" t="s">
        <v>612</v>
      </c>
      <c r="B705" s="45" t="s">
        <v>178</v>
      </c>
      <c r="C705" s="45">
        <v>4</v>
      </c>
      <c r="D705" s="45">
        <v>14748</v>
      </c>
      <c r="E705" s="45">
        <v>2017</v>
      </c>
      <c r="F705" s="48" t="str">
        <f t="shared" si="10"/>
        <v>The Guardians : Rating 4,  Released in 2017</v>
      </c>
    </row>
    <row r="706" spans="1:6" x14ac:dyDescent="0.35">
      <c r="A706" s="45" t="s">
        <v>340</v>
      </c>
      <c r="B706" s="45" t="s">
        <v>65</v>
      </c>
      <c r="C706" s="45">
        <v>3.4</v>
      </c>
      <c r="D706" s="45">
        <v>73536</v>
      </c>
      <c r="E706" s="45">
        <v>2017</v>
      </c>
      <c r="F706" s="48" t="str">
        <f t="shared" ref="F706:F769" si="11">_xlfn.CONCAT(TRIM(A706)," ", ": Rating"," ",C706,",","  ","Released in", " ",E706)</f>
        <v>The Emoji Movie : Rating 3.4,  Released in 2017</v>
      </c>
    </row>
    <row r="707" spans="1:6" x14ac:dyDescent="0.35">
      <c r="A707" s="45" t="s">
        <v>766</v>
      </c>
      <c r="B707" s="45" t="s">
        <v>400</v>
      </c>
      <c r="C707" s="45">
        <v>4.3</v>
      </c>
      <c r="D707" s="45">
        <v>26593</v>
      </c>
      <c r="E707" s="45">
        <v>2017</v>
      </c>
      <c r="F707" s="48" t="str">
        <f t="shared" si="11"/>
        <v>The Bye Bye Man : Rating 4.3,  Released in 2017</v>
      </c>
    </row>
    <row r="708" spans="1:6" x14ac:dyDescent="0.35">
      <c r="A708" s="45" t="s">
        <v>1201</v>
      </c>
      <c r="B708" s="45" t="s">
        <v>178</v>
      </c>
      <c r="C708" s="45">
        <v>4.7</v>
      </c>
      <c r="D708" s="45">
        <v>37988</v>
      </c>
      <c r="E708" s="45">
        <v>2017</v>
      </c>
      <c r="F708" s="48" t="str">
        <f t="shared" si="11"/>
        <v>Snatched : Rating 4.7,  Released in 2017</v>
      </c>
    </row>
    <row r="709" spans="1:6" x14ac:dyDescent="0.35">
      <c r="A709" s="45" t="s">
        <v>436</v>
      </c>
      <c r="B709" s="45" t="s">
        <v>93</v>
      </c>
      <c r="C709" s="45">
        <v>3.6</v>
      </c>
      <c r="D709" s="45">
        <v>11755</v>
      </c>
      <c r="E709" s="45">
        <v>2017</v>
      </c>
      <c r="F709" s="48" t="str">
        <f t="shared" si="11"/>
        <v>Singularity : Rating 3.6,  Released in 2017</v>
      </c>
    </row>
    <row r="710" spans="1:6" x14ac:dyDescent="0.35">
      <c r="A710" s="45" t="s">
        <v>2161</v>
      </c>
      <c r="B710" s="45" t="s">
        <v>11</v>
      </c>
      <c r="C710" s="45">
        <v>5.2</v>
      </c>
      <c r="D710" s="45">
        <v>56722</v>
      </c>
      <c r="E710" s="45">
        <v>2017</v>
      </c>
      <c r="F710" s="48" t="str">
        <f t="shared" si="11"/>
        <v>Rough Night : Rating 5.2,  Released in 2017</v>
      </c>
    </row>
    <row r="711" spans="1:6" x14ac:dyDescent="0.35">
      <c r="A711" s="45" t="s">
        <v>948</v>
      </c>
      <c r="B711" s="45" t="s">
        <v>565</v>
      </c>
      <c r="C711" s="45">
        <v>4.5</v>
      </c>
      <c r="D711" s="45">
        <v>43887</v>
      </c>
      <c r="E711" s="45">
        <v>2017</v>
      </c>
      <c r="F711" s="48" t="str">
        <f t="shared" si="11"/>
        <v>Rings : Rating 4.5,  Released in 2017</v>
      </c>
    </row>
    <row r="712" spans="1:6" x14ac:dyDescent="0.35">
      <c r="A712" s="45" t="s">
        <v>7</v>
      </c>
      <c r="B712" s="45" t="s">
        <v>8</v>
      </c>
      <c r="C712" s="45">
        <v>1</v>
      </c>
      <c r="D712" s="45">
        <v>74167</v>
      </c>
      <c r="E712" s="45">
        <v>2017</v>
      </c>
      <c r="F712" s="48" t="str">
        <f t="shared" si="11"/>
        <v>Reis : Rating 1,  Released in 2017</v>
      </c>
    </row>
    <row r="713" spans="1:6" x14ac:dyDescent="0.35">
      <c r="A713" s="45" t="s">
        <v>354</v>
      </c>
      <c r="B713" s="45" t="s">
        <v>11</v>
      </c>
      <c r="C713" s="45">
        <v>3.4</v>
      </c>
      <c r="D713" s="45">
        <v>18370</v>
      </c>
      <c r="E713" s="45">
        <v>2017</v>
      </c>
      <c r="F713" s="48" t="str">
        <f t="shared" si="11"/>
        <v>Recep Ivedik 5 : Rating 3.4,  Released in 2017</v>
      </c>
    </row>
    <row r="714" spans="1:6" x14ac:dyDescent="0.35">
      <c r="A714" s="45" t="s">
        <v>1826</v>
      </c>
      <c r="B714" s="45" t="s">
        <v>709</v>
      </c>
      <c r="C714" s="45">
        <v>5</v>
      </c>
      <c r="D714" s="45">
        <v>11416</v>
      </c>
      <c r="E714" s="45">
        <v>2017</v>
      </c>
      <c r="F714" s="48" t="str">
        <f t="shared" si="11"/>
        <v>Payitaht AbdÃ¼lhamid : Rating 5,  Released in 2017</v>
      </c>
    </row>
    <row r="715" spans="1:6" x14ac:dyDescent="0.35">
      <c r="A715" s="45" t="s">
        <v>1746</v>
      </c>
      <c r="B715" s="45" t="s">
        <v>352</v>
      </c>
      <c r="C715" s="45">
        <v>5</v>
      </c>
      <c r="D715" s="45">
        <v>28881</v>
      </c>
      <c r="E715" s="45">
        <v>2017</v>
      </c>
      <c r="F715" s="48" t="str">
        <f t="shared" si="11"/>
        <v>Leatherface : Rating 5,  Released in 2017</v>
      </c>
    </row>
    <row r="716" spans="1:6" x14ac:dyDescent="0.35">
      <c r="A716" s="45" t="s">
        <v>434</v>
      </c>
      <c r="B716" s="45" t="s">
        <v>181</v>
      </c>
      <c r="C716" s="45">
        <v>3.6</v>
      </c>
      <c r="D716" s="45">
        <v>11928</v>
      </c>
      <c r="E716" s="45">
        <v>2017</v>
      </c>
      <c r="F716" s="48" t="str">
        <f t="shared" si="11"/>
        <v>Judwaa 2 : Rating 3.6,  Released in 2017</v>
      </c>
    </row>
    <row r="717" spans="1:6" x14ac:dyDescent="0.35">
      <c r="A717" s="45" t="s">
        <v>551</v>
      </c>
      <c r="B717" s="45" t="s">
        <v>76</v>
      </c>
      <c r="C717" s="45">
        <v>3.9</v>
      </c>
      <c r="D717" s="45">
        <v>25083</v>
      </c>
      <c r="E717" s="45">
        <v>2017</v>
      </c>
      <c r="F717" s="48" t="str">
        <f t="shared" si="11"/>
        <v>Jeepers Creepers III : Rating 3.9,  Released in 2017</v>
      </c>
    </row>
    <row r="718" spans="1:6" x14ac:dyDescent="0.35">
      <c r="A718" s="45" t="s">
        <v>1954</v>
      </c>
      <c r="B718" s="45" t="s">
        <v>128</v>
      </c>
      <c r="C718" s="45">
        <v>5.0999999999999996</v>
      </c>
      <c r="D718" s="45">
        <v>23205</v>
      </c>
      <c r="E718" s="45">
        <v>2017</v>
      </c>
      <c r="F718" s="48" t="str">
        <f t="shared" si="11"/>
        <v>Jab Harry Met Sejal : Rating 5.1,  Released in 2017</v>
      </c>
    </row>
    <row r="719" spans="1:6" x14ac:dyDescent="0.35">
      <c r="A719" s="45" t="s">
        <v>1584</v>
      </c>
      <c r="B719" s="45" t="s">
        <v>163</v>
      </c>
      <c r="C719" s="45">
        <v>4.9000000000000004</v>
      </c>
      <c r="D719" s="45">
        <v>29336</v>
      </c>
      <c r="E719" s="45">
        <v>2017</v>
      </c>
      <c r="F719" s="48" t="str">
        <f t="shared" si="11"/>
        <v>Inhumans : Rating 4.9,  Released in 2017</v>
      </c>
    </row>
    <row r="720" spans="1:6" x14ac:dyDescent="0.35">
      <c r="A720" s="45" t="s">
        <v>1838</v>
      </c>
      <c r="B720" s="45" t="s">
        <v>169</v>
      </c>
      <c r="C720" s="45">
        <v>5</v>
      </c>
      <c r="D720" s="45">
        <v>11097</v>
      </c>
      <c r="E720" s="45">
        <v>2017</v>
      </c>
      <c r="F720" s="48" t="str">
        <f t="shared" si="11"/>
        <v>Golmaal Again : Rating 5,  Released in 2017</v>
      </c>
    </row>
    <row r="721" spans="1:6" x14ac:dyDescent="0.35">
      <c r="A721" s="45" t="s">
        <v>2165</v>
      </c>
      <c r="B721" s="45" t="s">
        <v>565</v>
      </c>
      <c r="C721" s="45">
        <v>5.2</v>
      </c>
      <c r="D721" s="45">
        <v>51830</v>
      </c>
      <c r="E721" s="45">
        <v>2017</v>
      </c>
      <c r="F721" s="48" t="str">
        <f t="shared" si="11"/>
        <v>Flatliners : Rating 5.2,  Released in 2017</v>
      </c>
    </row>
    <row r="722" spans="1:6" x14ac:dyDescent="0.35">
      <c r="A722" s="45" t="s">
        <v>1810</v>
      </c>
      <c r="B722" s="45" t="s">
        <v>294</v>
      </c>
      <c r="C722" s="45">
        <v>5</v>
      </c>
      <c r="D722" s="45">
        <v>12582</v>
      </c>
      <c r="E722" s="45">
        <v>2017</v>
      </c>
      <c r="F722" s="48" t="str">
        <f t="shared" si="11"/>
        <v>First Kill : Rating 5,  Released in 2017</v>
      </c>
    </row>
    <row r="723" spans="1:6" x14ac:dyDescent="0.35">
      <c r="A723" s="45" t="s">
        <v>1028</v>
      </c>
      <c r="B723" s="45" t="s">
        <v>933</v>
      </c>
      <c r="C723" s="45">
        <v>4.5999999999999996</v>
      </c>
      <c r="D723" s="45">
        <v>114344</v>
      </c>
      <c r="E723" s="45">
        <v>2017</v>
      </c>
      <c r="F723" s="48" t="str">
        <f t="shared" si="11"/>
        <v>Fifty Shades Darker : Rating 4.6,  Released in 2017</v>
      </c>
    </row>
    <row r="724" spans="1:6" x14ac:dyDescent="0.35">
      <c r="A724" s="45" t="s">
        <v>727</v>
      </c>
      <c r="B724" s="45" t="s">
        <v>82</v>
      </c>
      <c r="C724" s="45">
        <v>4.2</v>
      </c>
      <c r="D724" s="45">
        <v>14288</v>
      </c>
      <c r="E724" s="45">
        <v>2017</v>
      </c>
      <c r="F724" s="48" t="str">
        <f t="shared" si="11"/>
        <v>Escape Room : Rating 4.2,  Released in 2017</v>
      </c>
    </row>
    <row r="725" spans="1:6" x14ac:dyDescent="0.35">
      <c r="A725" s="45" t="s">
        <v>814</v>
      </c>
      <c r="B725" s="45" t="s">
        <v>217</v>
      </c>
      <c r="C725" s="45">
        <v>4.3</v>
      </c>
      <c r="D725" s="45">
        <v>11363</v>
      </c>
      <c r="E725" s="45">
        <v>2017</v>
      </c>
      <c r="F725" s="48" t="str">
        <f t="shared" si="11"/>
        <v>Diary of a Wimpy Kid: The Long Haul : Rating 4.3,  Released in 2017</v>
      </c>
    </row>
    <row r="726" spans="1:6" x14ac:dyDescent="0.35">
      <c r="A726" s="45" t="s">
        <v>925</v>
      </c>
      <c r="B726" s="45" t="s">
        <v>926</v>
      </c>
      <c r="C726" s="45">
        <v>4.5</v>
      </c>
      <c r="D726" s="45">
        <v>91834</v>
      </c>
      <c r="E726" s="45">
        <v>2017</v>
      </c>
      <c r="F726" s="48" t="str">
        <f t="shared" si="11"/>
        <v>Death Note : Rating 4.5,  Released in 2017</v>
      </c>
    </row>
    <row r="727" spans="1:6" x14ac:dyDescent="0.35">
      <c r="A727" s="45" t="s">
        <v>394</v>
      </c>
      <c r="B727" s="45" t="s">
        <v>395</v>
      </c>
      <c r="C727" s="45">
        <v>3.5</v>
      </c>
      <c r="D727" s="45">
        <v>12616</v>
      </c>
      <c r="E727" s="45">
        <v>2017</v>
      </c>
      <c r="F727" s="48" t="str">
        <f t="shared" si="11"/>
        <v>Day of the Dead: Bloodline : Rating 3.5,  Released in 2017</v>
      </c>
    </row>
    <row r="728" spans="1:6" x14ac:dyDescent="0.35">
      <c r="A728" s="45" t="s">
        <v>10</v>
      </c>
      <c r="B728" s="45" t="s">
        <v>11</v>
      </c>
      <c r="C728" s="45">
        <v>1</v>
      </c>
      <c r="D728" s="45">
        <v>39466</v>
      </c>
      <c r="E728" s="45">
        <v>2017</v>
      </c>
      <c r="F728" s="48" t="str">
        <f t="shared" si="11"/>
        <v>Cumali Ceber: Allah Seni Alsin : Rating 1,  Released in 2017</v>
      </c>
    </row>
    <row r="729" spans="1:6" x14ac:dyDescent="0.35">
      <c r="A729" s="45" t="s">
        <v>371</v>
      </c>
      <c r="B729" s="45" t="s">
        <v>26</v>
      </c>
      <c r="C729" s="45">
        <v>3.5</v>
      </c>
      <c r="D729" s="45">
        <v>33641</v>
      </c>
      <c r="E729" s="45">
        <v>2017</v>
      </c>
      <c r="F729" s="48" t="str">
        <f t="shared" si="11"/>
        <v>Crimea : Rating 3.5,  Released in 2017</v>
      </c>
    </row>
    <row r="730" spans="1:6" x14ac:dyDescent="0.35">
      <c r="A730" s="45" t="s">
        <v>316</v>
      </c>
      <c r="B730" s="45" t="s">
        <v>11</v>
      </c>
      <c r="C730" s="45">
        <v>3.2</v>
      </c>
      <c r="D730" s="45">
        <v>10677</v>
      </c>
      <c r="E730" s="45">
        <v>2017</v>
      </c>
      <c r="F730" s="48" t="str">
        <f t="shared" si="11"/>
        <v>Amy Schumer: The Leather Special : Rating 3.2,  Released in 2017</v>
      </c>
    </row>
    <row r="731" spans="1:6" x14ac:dyDescent="0.35">
      <c r="A731" s="45" t="s">
        <v>1441</v>
      </c>
      <c r="B731" s="45" t="s">
        <v>82</v>
      </c>
      <c r="C731" s="45">
        <v>4.8</v>
      </c>
      <c r="D731" s="45">
        <v>15866</v>
      </c>
      <c r="E731" s="45">
        <v>2017</v>
      </c>
      <c r="F731" s="48" t="str">
        <f t="shared" si="11"/>
        <v>Amityville: The Awakening : Rating 4.8,  Released in 2017</v>
      </c>
    </row>
    <row r="732" spans="1:6" x14ac:dyDescent="0.35">
      <c r="A732" s="45" t="s">
        <v>330</v>
      </c>
      <c r="B732" s="45" t="s">
        <v>11</v>
      </c>
      <c r="C732" s="45">
        <v>3.3</v>
      </c>
      <c r="D732" s="45">
        <v>13339</v>
      </c>
      <c r="E732" s="45">
        <v>2018</v>
      </c>
      <c r="F732" s="48" t="str">
        <f t="shared" si="11"/>
        <v>Veere Di Wedding : Rating 3.3,  Released in 2018</v>
      </c>
    </row>
    <row r="733" spans="1:6" x14ac:dyDescent="0.35">
      <c r="A733" s="45" t="s">
        <v>2145</v>
      </c>
      <c r="B733" s="45" t="s">
        <v>175</v>
      </c>
      <c r="C733" s="45">
        <v>5.2</v>
      </c>
      <c r="D733" s="45">
        <v>67262</v>
      </c>
      <c r="E733" s="45">
        <v>2018</v>
      </c>
      <c r="F733" s="48" t="str">
        <f t="shared" si="11"/>
        <v>Truth or Dare : Rating 5.2,  Released in 2018</v>
      </c>
    </row>
    <row r="734" spans="1:6" x14ac:dyDescent="0.35">
      <c r="A734" s="45" t="s">
        <v>664</v>
      </c>
      <c r="B734" s="45" t="s">
        <v>166</v>
      </c>
      <c r="C734" s="45">
        <v>4.0999999999999996</v>
      </c>
      <c r="D734" s="45">
        <v>15709</v>
      </c>
      <c r="E734" s="45">
        <v>2018</v>
      </c>
      <c r="F734" s="48" t="str">
        <f t="shared" si="11"/>
        <v>Troy: Fall of a City : Rating 4.1,  Released in 2018</v>
      </c>
    </row>
    <row r="735" spans="1:6" x14ac:dyDescent="0.35">
      <c r="A735" s="45" t="s">
        <v>653</v>
      </c>
      <c r="B735" s="45" t="s">
        <v>654</v>
      </c>
      <c r="C735" s="45">
        <v>4.0999999999999996</v>
      </c>
      <c r="D735" s="45">
        <v>22226</v>
      </c>
      <c r="E735" s="45">
        <v>2018</v>
      </c>
      <c r="F735" s="48" t="str">
        <f t="shared" si="11"/>
        <v>Thugs of Hindostan : Rating 4.1,  Released in 2018</v>
      </c>
    </row>
    <row r="736" spans="1:6" x14ac:dyDescent="0.35">
      <c r="A736" s="45" t="s">
        <v>1372</v>
      </c>
      <c r="B736" s="45" t="s">
        <v>933</v>
      </c>
      <c r="C736" s="45">
        <v>4.8</v>
      </c>
      <c r="D736" s="45">
        <v>33903</v>
      </c>
      <c r="E736" s="45">
        <v>2018</v>
      </c>
      <c r="F736" s="48" t="str">
        <f t="shared" si="11"/>
        <v>The Titan : Rating 4.8,  Released in 2018</v>
      </c>
    </row>
    <row r="737" spans="1:6" x14ac:dyDescent="0.35">
      <c r="A737" s="45" t="s">
        <v>326</v>
      </c>
      <c r="B737" s="45" t="s">
        <v>82</v>
      </c>
      <c r="C737" s="45">
        <v>3.3</v>
      </c>
      <c r="D737" s="45">
        <v>37715</v>
      </c>
      <c r="E737" s="45">
        <v>2018</v>
      </c>
      <c r="F737" s="48" t="str">
        <f t="shared" si="11"/>
        <v>The Open House : Rating 3.3,  Released in 2018</v>
      </c>
    </row>
    <row r="738" spans="1:6" x14ac:dyDescent="0.35">
      <c r="A738" s="45" t="s">
        <v>1661</v>
      </c>
      <c r="B738" s="45" t="s">
        <v>1662</v>
      </c>
      <c r="C738" s="45">
        <v>4.9000000000000004</v>
      </c>
      <c r="D738" s="45">
        <v>11544</v>
      </c>
      <c r="E738" s="45">
        <v>2018</v>
      </c>
      <c r="F738" s="48" t="str">
        <f t="shared" si="11"/>
        <v>The Isle : Rating 4.9,  Released in 2018</v>
      </c>
    </row>
    <row r="739" spans="1:6" x14ac:dyDescent="0.35">
      <c r="A739" s="45" t="s">
        <v>1958</v>
      </c>
      <c r="B739" s="45" t="s">
        <v>275</v>
      </c>
      <c r="C739" s="45">
        <v>5.0999999999999996</v>
      </c>
      <c r="D739" s="45">
        <v>22787</v>
      </c>
      <c r="E739" s="45">
        <v>2018</v>
      </c>
      <c r="F739" s="48" t="str">
        <f t="shared" si="11"/>
        <v>The Hurricane Heist : Rating 5.1,  Released in 2018</v>
      </c>
    </row>
    <row r="740" spans="1:6" x14ac:dyDescent="0.35">
      <c r="A740" s="45" t="s">
        <v>2131</v>
      </c>
      <c r="B740" s="45" t="s">
        <v>155</v>
      </c>
      <c r="C740" s="45">
        <v>5.2</v>
      </c>
      <c r="D740" s="45">
        <v>73638</v>
      </c>
      <c r="E740" s="45">
        <v>2018</v>
      </c>
      <c r="F740" s="48" t="str">
        <f t="shared" si="11"/>
        <v>The First Purge : Rating 5.2,  Released in 2018</v>
      </c>
    </row>
    <row r="741" spans="1:6" x14ac:dyDescent="0.35">
      <c r="A741" s="45" t="s">
        <v>1141</v>
      </c>
      <c r="B741" s="45" t="s">
        <v>146</v>
      </c>
      <c r="C741" s="45">
        <v>4.5999999999999996</v>
      </c>
      <c r="D741" s="45">
        <v>11123</v>
      </c>
      <c r="E741" s="45">
        <v>2018</v>
      </c>
      <c r="F741" s="48" t="str">
        <f t="shared" si="11"/>
        <v>Taxi 5 : Rating 4.6,  Released in 2018</v>
      </c>
    </row>
    <row r="742" spans="1:6" x14ac:dyDescent="0.35">
      <c r="A742" s="45" t="s">
        <v>236</v>
      </c>
      <c r="B742" s="45" t="s">
        <v>116</v>
      </c>
      <c r="C742" s="45">
        <v>2.8</v>
      </c>
      <c r="D742" s="45">
        <v>12870</v>
      </c>
      <c r="E742" s="45">
        <v>2018</v>
      </c>
      <c r="F742" s="48" t="str">
        <f t="shared" si="11"/>
        <v>Swiped : Rating 2.8,  Released in 2018</v>
      </c>
    </row>
    <row r="743" spans="1:6" x14ac:dyDescent="0.35">
      <c r="A743" s="45" t="s">
        <v>324</v>
      </c>
      <c r="B743" s="45" t="s">
        <v>175</v>
      </c>
      <c r="C743" s="45">
        <v>3.3</v>
      </c>
      <c r="D743" s="45">
        <v>39628</v>
      </c>
      <c r="E743" s="45">
        <v>2018</v>
      </c>
      <c r="F743" s="48" t="str">
        <f t="shared" si="11"/>
        <v>Slender Man : Rating 3.3,  Released in 2018</v>
      </c>
    </row>
    <row r="744" spans="1:6" x14ac:dyDescent="0.35">
      <c r="A744" s="45" t="s">
        <v>790</v>
      </c>
      <c r="B744" s="45" t="s">
        <v>791</v>
      </c>
      <c r="C744" s="45">
        <v>4.3</v>
      </c>
      <c r="D744" s="45">
        <v>17474</v>
      </c>
      <c r="E744" s="45">
        <v>2018</v>
      </c>
      <c r="F744" s="48" t="str">
        <f t="shared" si="11"/>
        <v>Siberia : Rating 4.3,  Released in 2018</v>
      </c>
    </row>
    <row r="745" spans="1:6" x14ac:dyDescent="0.35">
      <c r="A745" s="45" t="s">
        <v>106</v>
      </c>
      <c r="B745" s="45" t="s">
        <v>101</v>
      </c>
      <c r="C745" s="45">
        <v>1.9</v>
      </c>
      <c r="D745" s="45">
        <v>48996</v>
      </c>
      <c r="E745" s="45">
        <v>2018</v>
      </c>
      <c r="F745" s="48" t="str">
        <f t="shared" si="11"/>
        <v>Race 3 : Rating 1.9,  Released in 2018</v>
      </c>
    </row>
    <row r="746" spans="1:6" x14ac:dyDescent="0.35">
      <c r="A746" s="45" t="s">
        <v>1840</v>
      </c>
      <c r="B746" s="45" t="s">
        <v>56</v>
      </c>
      <c r="C746" s="45">
        <v>5</v>
      </c>
      <c r="D746" s="45">
        <v>11010</v>
      </c>
      <c r="E746" s="45">
        <v>2018</v>
      </c>
      <c r="F746" s="48" t="str">
        <f t="shared" si="11"/>
        <v>Proud Mary : Rating 5,  Released in 2018</v>
      </c>
    </row>
    <row r="747" spans="1:6" x14ac:dyDescent="0.35">
      <c r="A747" s="45" t="s">
        <v>1153</v>
      </c>
      <c r="B747" s="45" t="s">
        <v>395</v>
      </c>
      <c r="C747" s="45">
        <v>4.5999999999999996</v>
      </c>
      <c r="D747" s="45">
        <v>10445</v>
      </c>
      <c r="E747" s="45">
        <v>2018</v>
      </c>
      <c r="F747" s="48" t="str">
        <f t="shared" si="11"/>
        <v>Patient Zero : Rating 4.6,  Released in 2018</v>
      </c>
    </row>
    <row r="748" spans="1:6" x14ac:dyDescent="0.35">
      <c r="A748" s="45" t="s">
        <v>985</v>
      </c>
      <c r="B748" s="45" t="s">
        <v>243</v>
      </c>
      <c r="C748" s="45">
        <v>4.5</v>
      </c>
      <c r="D748" s="45">
        <v>17532</v>
      </c>
      <c r="E748" s="45">
        <v>2018</v>
      </c>
      <c r="F748" s="48" t="str">
        <f t="shared" si="11"/>
        <v>Occupation : Rating 4.5,  Released in 2018</v>
      </c>
    </row>
    <row r="749" spans="1:6" x14ac:dyDescent="0.35">
      <c r="A749" s="45" t="s">
        <v>160</v>
      </c>
      <c r="B749" s="45" t="s">
        <v>8</v>
      </c>
      <c r="C749" s="45">
        <v>2.4</v>
      </c>
      <c r="D749" s="45">
        <v>23140</v>
      </c>
      <c r="E749" s="45">
        <v>2018</v>
      </c>
      <c r="F749" s="48" t="str">
        <f t="shared" si="11"/>
        <v>Nothing to Lose : Rating 2.4,  Released in 2018</v>
      </c>
    </row>
    <row r="750" spans="1:6" x14ac:dyDescent="0.35">
      <c r="A750" s="45" t="s">
        <v>1613</v>
      </c>
      <c r="B750" s="45" t="s">
        <v>175</v>
      </c>
      <c r="C750" s="45">
        <v>4.9000000000000004</v>
      </c>
      <c r="D750" s="45">
        <v>17755</v>
      </c>
      <c r="E750" s="45">
        <v>2018</v>
      </c>
      <c r="F750" s="48" t="str">
        <f t="shared" si="11"/>
        <v>Malevolent : Rating 4.9,  Released in 2018</v>
      </c>
    </row>
    <row r="751" spans="1:6" x14ac:dyDescent="0.35">
      <c r="A751" s="45" t="s">
        <v>576</v>
      </c>
      <c r="B751" s="45" t="s">
        <v>577</v>
      </c>
      <c r="C751" s="45">
        <v>3.9</v>
      </c>
      <c r="D751" s="45">
        <v>12499</v>
      </c>
      <c r="E751" s="45">
        <v>2018</v>
      </c>
      <c r="F751" s="48" t="str">
        <f t="shared" si="11"/>
        <v>London Fields : Rating 3.9,  Released in 2018</v>
      </c>
    </row>
    <row r="752" spans="1:6" x14ac:dyDescent="0.35">
      <c r="A752" s="45" t="s">
        <v>1879</v>
      </c>
      <c r="B752" s="45" t="s">
        <v>395</v>
      </c>
      <c r="C752" s="45">
        <v>5.0999999999999996</v>
      </c>
      <c r="D752" s="45">
        <v>59981</v>
      </c>
      <c r="E752" s="45">
        <v>2018</v>
      </c>
      <c r="F752" s="48" t="str">
        <f t="shared" si="11"/>
        <v>How It Ends : Rating 5.1,  Released in 2018</v>
      </c>
    </row>
    <row r="753" spans="1:6" x14ac:dyDescent="0.35">
      <c r="A753" s="45" t="s">
        <v>534</v>
      </c>
      <c r="B753" s="45" t="s">
        <v>535</v>
      </c>
      <c r="C753" s="45">
        <v>3.9</v>
      </c>
      <c r="D753" s="45">
        <v>40065</v>
      </c>
      <c r="E753" s="45">
        <v>2018</v>
      </c>
      <c r="F753" s="48" t="str">
        <f t="shared" si="11"/>
        <v>Holmes &amp; Watson : Rating 3.9,  Released in 2018</v>
      </c>
    </row>
    <row r="754" spans="1:6" x14ac:dyDescent="0.35">
      <c r="A754" s="45" t="s">
        <v>1431</v>
      </c>
      <c r="B754" s="45" t="s">
        <v>1243</v>
      </c>
      <c r="C754" s="45">
        <v>4.8</v>
      </c>
      <c r="D754" s="45">
        <v>17488</v>
      </c>
      <c r="E754" s="45">
        <v>2018</v>
      </c>
      <c r="F754" s="48" t="str">
        <f t="shared" si="11"/>
        <v>Gotti : Rating 4.8,  Released in 2018</v>
      </c>
    </row>
    <row r="755" spans="1:6" x14ac:dyDescent="0.35">
      <c r="A755" s="45" t="s">
        <v>932</v>
      </c>
      <c r="B755" s="45" t="s">
        <v>933</v>
      </c>
      <c r="C755" s="45">
        <v>4.5</v>
      </c>
      <c r="D755" s="45">
        <v>76596</v>
      </c>
      <c r="E755" s="45">
        <v>2018</v>
      </c>
      <c r="F755" s="48" t="str">
        <f t="shared" si="11"/>
        <v>Fifty Shades Freed : Rating 4.5,  Released in 2018</v>
      </c>
    </row>
    <row r="756" spans="1:6" x14ac:dyDescent="0.35">
      <c r="A756" s="45" t="s">
        <v>1756</v>
      </c>
      <c r="B756" s="45" t="s">
        <v>951</v>
      </c>
      <c r="C756" s="45">
        <v>5</v>
      </c>
      <c r="D756" s="45">
        <v>23421</v>
      </c>
      <c r="E756" s="45">
        <v>2018</v>
      </c>
      <c r="F756" s="48" t="str">
        <f t="shared" si="11"/>
        <v>Fahrenheit 451 : Rating 5,  Released in 2018</v>
      </c>
    </row>
    <row r="757" spans="1:6" x14ac:dyDescent="0.35">
      <c r="A757" s="45" t="s">
        <v>541</v>
      </c>
      <c r="B757" s="45" t="s">
        <v>462</v>
      </c>
      <c r="C757" s="45">
        <v>3.9</v>
      </c>
      <c r="D757" s="45">
        <v>36065</v>
      </c>
      <c r="E757" s="45">
        <v>2018</v>
      </c>
      <c r="F757" s="48" t="str">
        <f t="shared" si="11"/>
        <v>Escape Plan 2: Hades : Rating 3.9,  Released in 2018</v>
      </c>
    </row>
    <row r="758" spans="1:6" x14ac:dyDescent="0.35">
      <c r="A758" s="45" t="s">
        <v>113</v>
      </c>
      <c r="B758" s="45" t="s">
        <v>11</v>
      </c>
      <c r="C758" s="45">
        <v>2</v>
      </c>
      <c r="D758" s="45">
        <v>56196</v>
      </c>
      <c r="E758" s="45">
        <v>2018</v>
      </c>
      <c r="F758" s="48" t="str">
        <f t="shared" si="11"/>
        <v>Enes Batur: Imagination or Reality? : Rating 2,  Released in 2018</v>
      </c>
    </row>
    <row r="759" spans="1:6" x14ac:dyDescent="0.35">
      <c r="A759" s="45" t="s">
        <v>2021</v>
      </c>
      <c r="B759" s="45" t="s">
        <v>400</v>
      </c>
      <c r="C759" s="45">
        <v>5.0999999999999996</v>
      </c>
      <c r="D759" s="45">
        <v>15092</v>
      </c>
      <c r="E759" s="45">
        <v>2018</v>
      </c>
      <c r="F759" s="48" t="str">
        <f t="shared" si="11"/>
        <v>Down a Dark Hall : Rating 5.1,  Released in 2018</v>
      </c>
    </row>
    <row r="760" spans="1:6" x14ac:dyDescent="0.35">
      <c r="A760" s="45" t="s">
        <v>1149</v>
      </c>
      <c r="B760" s="45" t="s">
        <v>208</v>
      </c>
      <c r="C760" s="45">
        <v>4.5999999999999996</v>
      </c>
      <c r="D760" s="45">
        <v>10673</v>
      </c>
      <c r="E760" s="45">
        <v>2018</v>
      </c>
      <c r="F760" s="48" t="str">
        <f t="shared" si="11"/>
        <v>Dhadak : Rating 4.6,  Released in 2018</v>
      </c>
    </row>
    <row r="761" spans="1:6" x14ac:dyDescent="0.35">
      <c r="A761" s="45" t="s">
        <v>41</v>
      </c>
      <c r="B761" s="45" t="s">
        <v>11</v>
      </c>
      <c r="C761" s="45">
        <v>1.2</v>
      </c>
      <c r="D761" s="45">
        <v>10378</v>
      </c>
      <c r="E761" s="45">
        <v>2018</v>
      </c>
      <c r="F761" s="48" t="str">
        <f t="shared" si="11"/>
        <v>Cumali Ceber 2 : Rating 1.2,  Released in 2018</v>
      </c>
    </row>
    <row r="762" spans="1:6" x14ac:dyDescent="0.35">
      <c r="A762" s="45" t="s">
        <v>1421</v>
      </c>
      <c r="B762" s="45" t="s">
        <v>1422</v>
      </c>
      <c r="C762" s="45">
        <v>4.8</v>
      </c>
      <c r="D762" s="45">
        <v>18249</v>
      </c>
      <c r="E762" s="45">
        <v>2018</v>
      </c>
      <c r="F762" s="48" t="str">
        <f t="shared" si="11"/>
        <v>Charmed : Rating 4.8,  Released in 2018</v>
      </c>
    </row>
    <row r="763" spans="1:6" x14ac:dyDescent="0.35">
      <c r="A763" s="45" t="s">
        <v>1482</v>
      </c>
      <c r="B763" s="45" t="s">
        <v>56</v>
      </c>
      <c r="C763" s="45">
        <v>4.8</v>
      </c>
      <c r="D763" s="45">
        <v>11945</v>
      </c>
      <c r="E763" s="45">
        <v>2018</v>
      </c>
      <c r="F763" s="48" t="str">
        <f t="shared" si="11"/>
        <v>Baaghi 2 : Rating 4.8,  Released in 2018</v>
      </c>
    </row>
    <row r="764" spans="1:6" x14ac:dyDescent="0.35">
      <c r="A764" s="45" t="s">
        <v>2045</v>
      </c>
      <c r="B764" s="45" t="s">
        <v>11</v>
      </c>
      <c r="C764" s="45">
        <v>5.0999999999999996</v>
      </c>
      <c r="D764" s="45">
        <v>12359</v>
      </c>
      <c r="E764" s="45">
        <v>2018</v>
      </c>
      <c r="F764" s="48" t="str">
        <f t="shared" si="11"/>
        <v>Action Point : Rating 5.1,  Released in 2018</v>
      </c>
    </row>
    <row r="765" spans="1:6" x14ac:dyDescent="0.35">
      <c r="A765" s="45" t="s">
        <v>1658</v>
      </c>
      <c r="B765" s="45" t="s">
        <v>1659</v>
      </c>
      <c r="C765" s="45">
        <v>4.9000000000000004</v>
      </c>
      <c r="D765" s="45">
        <v>11564</v>
      </c>
      <c r="E765" s="45">
        <v>2018</v>
      </c>
      <c r="F765" s="48" t="str">
        <f t="shared" si="11"/>
        <v>A.I. Rising : Rating 4.9,  Released in 2018</v>
      </c>
    </row>
    <row r="766" spans="1:6" x14ac:dyDescent="0.35">
      <c r="A766" s="45" t="s">
        <v>761</v>
      </c>
      <c r="B766" s="45" t="s">
        <v>762</v>
      </c>
      <c r="C766" s="45">
        <v>4.3</v>
      </c>
      <c r="D766" s="45">
        <v>48349</v>
      </c>
      <c r="E766" s="45">
        <v>2018</v>
      </c>
      <c r="F766" s="48" t="str">
        <f t="shared" si="11"/>
        <v>A Wrinkle in Time : Rating 4.3,  Released in 2018</v>
      </c>
    </row>
    <row r="767" spans="1:6" x14ac:dyDescent="0.35">
      <c r="A767" s="45" t="s">
        <v>826</v>
      </c>
      <c r="B767" s="45" t="s">
        <v>143</v>
      </c>
      <c r="C767" s="45">
        <v>4.3</v>
      </c>
      <c r="D767" s="45">
        <v>10175</v>
      </c>
      <c r="E767" s="45">
        <v>2018</v>
      </c>
      <c r="F767" s="48" t="str">
        <f t="shared" si="11"/>
        <v>2036 Origin Unknown : Rating 4.3,  Released in 2018</v>
      </c>
    </row>
    <row r="768" spans="1:6" x14ac:dyDescent="0.35">
      <c r="A768" s="45" t="s">
        <v>2049</v>
      </c>
      <c r="B768" s="45" t="s">
        <v>846</v>
      </c>
      <c r="C768" s="45">
        <v>5.0999999999999996</v>
      </c>
      <c r="D768" s="45">
        <v>12066</v>
      </c>
      <c r="E768" s="45">
        <v>2018</v>
      </c>
      <c r="F768" s="48" t="str">
        <f t="shared" si="11"/>
        <v>10x10 : Rating 5.1,  Released in 2018</v>
      </c>
    </row>
    <row r="769" spans="1:6" x14ac:dyDescent="0.35">
      <c r="A769" s="45" t="s">
        <v>651</v>
      </c>
      <c r="B769" s="45" t="s">
        <v>565</v>
      </c>
      <c r="C769" s="45">
        <v>4.0999999999999996</v>
      </c>
      <c r="D769" s="45">
        <v>22267</v>
      </c>
      <c r="E769" s="45">
        <v>2019</v>
      </c>
      <c r="F769" s="48" t="str">
        <f t="shared" si="11"/>
        <v>Wounds : Rating 4.1,  Released in 2019</v>
      </c>
    </row>
    <row r="770" spans="1:6" x14ac:dyDescent="0.35">
      <c r="A770" s="45" t="s">
        <v>620</v>
      </c>
      <c r="B770" s="45" t="s">
        <v>294</v>
      </c>
      <c r="C770" s="45">
        <v>4</v>
      </c>
      <c r="D770" s="45">
        <v>12059</v>
      </c>
      <c r="E770" s="45">
        <v>2019</v>
      </c>
      <c r="F770" s="48" t="str">
        <f t="shared" ref="F770:F833" si="12">_xlfn.CONCAT(TRIM(A770)," ", ": Rating"," ",C770,",","  ","Released in", " ",E770)</f>
        <v>Trauma Center : Rating 4,  Released in 2019</v>
      </c>
    </row>
    <row r="771" spans="1:6" x14ac:dyDescent="0.35">
      <c r="A771" s="45" t="s">
        <v>1496</v>
      </c>
      <c r="B771" s="45" t="s">
        <v>577</v>
      </c>
      <c r="C771" s="45">
        <v>4.8</v>
      </c>
      <c r="D771" s="45">
        <v>11449</v>
      </c>
      <c r="E771" s="45">
        <v>2019</v>
      </c>
      <c r="F771" s="48" t="str">
        <f t="shared" si="12"/>
        <v>The Poison Rose : Rating 4.8,  Released in 2019</v>
      </c>
    </row>
    <row r="772" spans="1:6" x14ac:dyDescent="0.35">
      <c r="A772" s="45" t="s">
        <v>1513</v>
      </c>
      <c r="B772" s="45" t="s">
        <v>1514</v>
      </c>
      <c r="C772" s="45">
        <v>4.8</v>
      </c>
      <c r="D772" s="45">
        <v>10405</v>
      </c>
      <c r="E772" s="45">
        <v>2019</v>
      </c>
      <c r="F772" s="48" t="str">
        <f t="shared" si="12"/>
        <v>The Last Boy : Rating 4.8,  Released in 2019</v>
      </c>
    </row>
    <row r="773" spans="1:6" x14ac:dyDescent="0.35">
      <c r="A773" s="45" t="s">
        <v>588</v>
      </c>
      <c r="B773" s="45" t="s">
        <v>93</v>
      </c>
      <c r="C773" s="45">
        <v>4</v>
      </c>
      <c r="D773" s="45">
        <v>267936</v>
      </c>
      <c r="E773" s="45">
        <v>2019</v>
      </c>
      <c r="F773" s="48" t="str">
        <f t="shared" si="12"/>
        <v>The Iron Throne : Rating 4,  Released in 2019</v>
      </c>
    </row>
    <row r="774" spans="1:6" x14ac:dyDescent="0.35">
      <c r="A774" s="45" t="s">
        <v>1253</v>
      </c>
      <c r="B774" s="45" t="s">
        <v>1254</v>
      </c>
      <c r="C774" s="45">
        <v>4.7</v>
      </c>
      <c r="D774" s="45">
        <v>19875</v>
      </c>
      <c r="E774" s="45">
        <v>2019</v>
      </c>
      <c r="F774" s="48" t="str">
        <f t="shared" si="12"/>
        <v>The I-Land : Rating 4.7,  Released in 2019</v>
      </c>
    </row>
    <row r="775" spans="1:6" x14ac:dyDescent="0.35">
      <c r="A775" s="45" t="s">
        <v>858</v>
      </c>
      <c r="B775" s="45" t="s">
        <v>859</v>
      </c>
      <c r="C775" s="45">
        <v>4.4000000000000004</v>
      </c>
      <c r="D775" s="45">
        <v>30284</v>
      </c>
      <c r="E775" s="45">
        <v>2019</v>
      </c>
      <c r="F775" s="48" t="str">
        <f t="shared" si="12"/>
        <v>The Grudge : Rating 4.4,  Released in 2019</v>
      </c>
    </row>
    <row r="776" spans="1:6" x14ac:dyDescent="0.35">
      <c r="A776" s="45" t="s">
        <v>668</v>
      </c>
      <c r="B776" s="45" t="s">
        <v>669</v>
      </c>
      <c r="C776" s="45">
        <v>4.0999999999999996</v>
      </c>
      <c r="D776" s="45">
        <v>12749</v>
      </c>
      <c r="E776" s="45">
        <v>2019</v>
      </c>
      <c r="F776" s="48" t="str">
        <f t="shared" si="12"/>
        <v>The Fanatic : Rating 4.1,  Released in 2019</v>
      </c>
    </row>
    <row r="777" spans="1:6" x14ac:dyDescent="0.35">
      <c r="A777" s="45" t="s">
        <v>1488</v>
      </c>
      <c r="B777" s="45" t="s">
        <v>56</v>
      </c>
      <c r="C777" s="45">
        <v>4.8</v>
      </c>
      <c r="D777" s="45">
        <v>11849</v>
      </c>
      <c r="E777" s="45">
        <v>2019</v>
      </c>
      <c r="F777" s="48" t="str">
        <f t="shared" si="12"/>
        <v>The Courier : Rating 4.8,  Released in 2019</v>
      </c>
    </row>
    <row r="778" spans="1:6" x14ac:dyDescent="0.35">
      <c r="A778" s="45" t="s">
        <v>124</v>
      </c>
      <c r="B778" s="45" t="s">
        <v>125</v>
      </c>
      <c r="C778" s="45">
        <v>2.2000000000000002</v>
      </c>
      <c r="D778" s="45">
        <v>22954</v>
      </c>
      <c r="E778" s="45">
        <v>2019</v>
      </c>
      <c r="F778" s="48" t="str">
        <f t="shared" si="12"/>
        <v>Student of the Year 2 : Rating 2.2,  Released in 2019</v>
      </c>
    </row>
    <row r="779" spans="1:6" x14ac:dyDescent="0.35">
      <c r="A779" s="45" t="s">
        <v>967</v>
      </c>
      <c r="B779" s="45" t="s">
        <v>508</v>
      </c>
      <c r="C779" s="45">
        <v>4.5</v>
      </c>
      <c r="D779" s="45">
        <v>24829</v>
      </c>
      <c r="E779" s="45">
        <v>2019</v>
      </c>
      <c r="F779" s="48" t="str">
        <f t="shared" si="12"/>
        <v>Secret Obsession : Rating 4.5,  Released in 2019</v>
      </c>
    </row>
    <row r="780" spans="1:6" x14ac:dyDescent="0.35">
      <c r="A780" s="45" t="s">
        <v>1944</v>
      </c>
      <c r="B780" s="45" t="s">
        <v>294</v>
      </c>
      <c r="C780" s="45">
        <v>5.0999999999999996</v>
      </c>
      <c r="D780" s="45">
        <v>24451</v>
      </c>
      <c r="E780" s="45">
        <v>2019</v>
      </c>
      <c r="F780" s="48" t="str">
        <f t="shared" si="12"/>
        <v>Saaho : Rating 5.1,  Released in 2019</v>
      </c>
    </row>
    <row r="781" spans="1:6" x14ac:dyDescent="0.35">
      <c r="A781" s="45" t="s">
        <v>234</v>
      </c>
      <c r="B781" s="45" t="s">
        <v>208</v>
      </c>
      <c r="C781" s="45">
        <v>2.8</v>
      </c>
      <c r="D781" s="45">
        <v>15791</v>
      </c>
      <c r="E781" s="45">
        <v>2019</v>
      </c>
      <c r="F781" s="48" t="str">
        <f t="shared" si="12"/>
        <v>Rasbhari : Rating 2.8,  Released in 2019</v>
      </c>
    </row>
    <row r="782" spans="1:6" x14ac:dyDescent="0.35">
      <c r="A782" s="45" t="s">
        <v>1656</v>
      </c>
      <c r="B782" s="45" t="s">
        <v>294</v>
      </c>
      <c r="C782" s="45">
        <v>4.9000000000000004</v>
      </c>
      <c r="D782" s="45">
        <v>11630</v>
      </c>
      <c r="E782" s="45">
        <v>2019</v>
      </c>
      <c r="F782" s="48" t="str">
        <f t="shared" si="12"/>
        <v>Primal : Rating 4.9,  Released in 2019</v>
      </c>
    </row>
    <row r="783" spans="1:6" x14ac:dyDescent="0.35">
      <c r="A783" s="45" t="s">
        <v>1998</v>
      </c>
      <c r="B783" s="45" t="s">
        <v>44</v>
      </c>
      <c r="C783" s="45">
        <v>5.0999999999999996</v>
      </c>
      <c r="D783" s="45">
        <v>16869</v>
      </c>
      <c r="E783" s="45">
        <v>2019</v>
      </c>
      <c r="F783" s="48" t="str">
        <f t="shared" si="12"/>
        <v>Playing with Fire : Rating 5.1,  Released in 2019</v>
      </c>
    </row>
    <row r="784" spans="1:6" x14ac:dyDescent="0.35">
      <c r="A784" s="45" t="s">
        <v>914</v>
      </c>
      <c r="B784" s="45" t="s">
        <v>915</v>
      </c>
      <c r="C784" s="45">
        <v>4.4000000000000004</v>
      </c>
      <c r="D784" s="45">
        <v>11206</v>
      </c>
      <c r="E784" s="45">
        <v>2019</v>
      </c>
      <c r="F784" s="48" t="str">
        <f t="shared" si="12"/>
        <v>Mermaid Down : Rating 4.4,  Released in 2019</v>
      </c>
    </row>
    <row r="785" spans="1:6" x14ac:dyDescent="0.35">
      <c r="A785" s="45" t="s">
        <v>626</v>
      </c>
      <c r="B785" s="45" t="s">
        <v>462</v>
      </c>
      <c r="C785" s="45">
        <v>4</v>
      </c>
      <c r="D785" s="45">
        <v>10435</v>
      </c>
      <c r="E785" s="45">
        <v>2019</v>
      </c>
      <c r="F785" s="48" t="str">
        <f t="shared" si="12"/>
        <v>Killers Anonymous : Rating 4,  Released in 2019</v>
      </c>
    </row>
    <row r="786" spans="1:6" x14ac:dyDescent="0.35">
      <c r="A786" s="45" t="s">
        <v>422</v>
      </c>
      <c r="B786" s="45" t="s">
        <v>208</v>
      </c>
      <c r="C786" s="45">
        <v>3.6</v>
      </c>
      <c r="D786" s="45">
        <v>17299</v>
      </c>
      <c r="E786" s="45">
        <v>2019</v>
      </c>
      <c r="F786" s="48" t="str">
        <f t="shared" si="12"/>
        <v>Kalank : Rating 3.6,  Released in 2019</v>
      </c>
    </row>
    <row r="787" spans="1:6" x14ac:dyDescent="0.35">
      <c r="A787" s="45" t="s">
        <v>399</v>
      </c>
      <c r="B787" s="45" t="s">
        <v>400</v>
      </c>
      <c r="C787" s="45">
        <v>3.5</v>
      </c>
      <c r="D787" s="45">
        <v>10590</v>
      </c>
      <c r="E787" s="45">
        <v>2019</v>
      </c>
      <c r="F787" s="48" t="str">
        <f t="shared" si="12"/>
        <v>Jinn : Rating 3.5,  Released in 2019</v>
      </c>
    </row>
    <row r="788" spans="1:6" x14ac:dyDescent="0.35">
      <c r="A788" s="45" t="s">
        <v>1816</v>
      </c>
      <c r="B788" s="45" t="s">
        <v>178</v>
      </c>
      <c r="C788" s="45">
        <v>5</v>
      </c>
      <c r="D788" s="45">
        <v>12014</v>
      </c>
      <c r="E788" s="45">
        <v>2019</v>
      </c>
      <c r="F788" s="48" t="str">
        <f t="shared" si="12"/>
        <v>Iron Sky: The Coming Race : Rating 5,  Released in 2019</v>
      </c>
    </row>
    <row r="789" spans="1:6" x14ac:dyDescent="0.35">
      <c r="A789" s="45" t="s">
        <v>1366</v>
      </c>
      <c r="B789" s="45" t="s">
        <v>560</v>
      </c>
      <c r="C789" s="45">
        <v>4.8</v>
      </c>
      <c r="D789" s="45">
        <v>36718</v>
      </c>
      <c r="E789" s="45">
        <v>2019</v>
      </c>
      <c r="F789" s="48" t="str">
        <f t="shared" si="12"/>
        <v>IO : Rating 4.8,  Released in 2019</v>
      </c>
    </row>
    <row r="790" spans="1:6" x14ac:dyDescent="0.35">
      <c r="A790" s="45" t="s">
        <v>429</v>
      </c>
      <c r="B790" s="45" t="s">
        <v>125</v>
      </c>
      <c r="C790" s="45">
        <v>3.6</v>
      </c>
      <c r="D790" s="45">
        <v>14588</v>
      </c>
      <c r="E790" s="45">
        <v>2019</v>
      </c>
      <c r="F790" s="48" t="str">
        <f t="shared" si="12"/>
        <v>Housefull 4 : Rating 3.6,  Released in 2019</v>
      </c>
    </row>
    <row r="791" spans="1:6" x14ac:dyDescent="0.35">
      <c r="A791" s="45" t="s">
        <v>197</v>
      </c>
      <c r="B791" s="45" t="s">
        <v>198</v>
      </c>
      <c r="C791" s="45">
        <v>2.6</v>
      </c>
      <c r="D791" s="45">
        <v>23076</v>
      </c>
      <c r="E791" s="45">
        <v>2019</v>
      </c>
      <c r="F791" s="48" t="str">
        <f t="shared" si="12"/>
        <v>Gully : Rating 2.6,  Released in 2019</v>
      </c>
    </row>
    <row r="792" spans="1:6" x14ac:dyDescent="0.35">
      <c r="A792" s="45" t="s">
        <v>1303</v>
      </c>
      <c r="B792" s="45" t="s">
        <v>565</v>
      </c>
      <c r="C792" s="45">
        <v>4.7</v>
      </c>
      <c r="D792" s="45">
        <v>11364</v>
      </c>
      <c r="E792" s="45">
        <v>2019</v>
      </c>
      <c r="F792" s="48" t="str">
        <f t="shared" si="12"/>
        <v>Girl on the Third Floor : Rating 4.7,  Released in 2019</v>
      </c>
    </row>
    <row r="793" spans="1:6" x14ac:dyDescent="0.35">
      <c r="A793" s="45" t="s">
        <v>879</v>
      </c>
      <c r="B793" s="45" t="s">
        <v>736</v>
      </c>
      <c r="C793" s="45">
        <v>4.4000000000000004</v>
      </c>
      <c r="D793" s="45">
        <v>21193</v>
      </c>
      <c r="E793" s="45">
        <v>2019</v>
      </c>
      <c r="F793" s="48" t="str">
        <f t="shared" si="12"/>
        <v>Exit 0 : Rating 4.4,  Released in 2019</v>
      </c>
    </row>
    <row r="794" spans="1:6" x14ac:dyDescent="0.35">
      <c r="A794" s="45" t="s">
        <v>887</v>
      </c>
      <c r="B794" s="45" t="s">
        <v>101</v>
      </c>
      <c r="C794" s="45">
        <v>4.4000000000000004</v>
      </c>
      <c r="D794" s="45">
        <v>17631</v>
      </c>
      <c r="E794" s="45">
        <v>2019</v>
      </c>
      <c r="F794" s="48" t="str">
        <f t="shared" si="12"/>
        <v>Escape Plan: The Extractors : Rating 4.4,  Released in 2019</v>
      </c>
    </row>
    <row r="795" spans="1:6" x14ac:dyDescent="0.35">
      <c r="A795" s="45" t="s">
        <v>783</v>
      </c>
      <c r="B795" s="45" t="s">
        <v>784</v>
      </c>
      <c r="C795" s="45">
        <v>4.3</v>
      </c>
      <c r="D795" s="45">
        <v>20092</v>
      </c>
      <c r="E795" s="45">
        <v>2019</v>
      </c>
      <c r="F795" s="48" t="str">
        <f t="shared" si="12"/>
        <v>Enaaya : Rating 4.3,  Released in 2019</v>
      </c>
    </row>
    <row r="796" spans="1:6" x14ac:dyDescent="0.35">
      <c r="A796" s="45" t="s">
        <v>521</v>
      </c>
      <c r="B796" s="45" t="s">
        <v>122</v>
      </c>
      <c r="C796" s="45">
        <v>3.8</v>
      </c>
      <c r="D796" s="45">
        <v>10644</v>
      </c>
      <c r="E796" s="45">
        <v>2019</v>
      </c>
      <c r="F796" s="48" t="str">
        <f t="shared" si="12"/>
        <v>Doom: Annihilation : Rating 3.8,  Released in 2019</v>
      </c>
    </row>
    <row r="797" spans="1:6" x14ac:dyDescent="0.35">
      <c r="A797" s="45" t="s">
        <v>272</v>
      </c>
      <c r="B797" s="45" t="s">
        <v>146</v>
      </c>
      <c r="C797" s="45">
        <v>3</v>
      </c>
      <c r="D797" s="45">
        <v>20580</v>
      </c>
      <c r="E797" s="45">
        <v>2019</v>
      </c>
      <c r="F797" s="48" t="str">
        <f t="shared" si="12"/>
        <v>Dabangg 3 : Rating 3,  Released in 2019</v>
      </c>
    </row>
    <row r="798" spans="1:6" x14ac:dyDescent="0.35">
      <c r="A798" s="45" t="s">
        <v>903</v>
      </c>
      <c r="B798" s="45" t="s">
        <v>606</v>
      </c>
      <c r="C798" s="45">
        <v>4.4000000000000004</v>
      </c>
      <c r="D798" s="45">
        <v>13639</v>
      </c>
      <c r="E798" s="45">
        <v>2019</v>
      </c>
      <c r="F798" s="48" t="str">
        <f t="shared" si="12"/>
        <v>Cuck : Rating 4.4,  Released in 2019</v>
      </c>
    </row>
    <row r="799" spans="1:6" x14ac:dyDescent="0.35">
      <c r="A799" s="45" t="s">
        <v>1683</v>
      </c>
      <c r="B799" s="45" t="s">
        <v>178</v>
      </c>
      <c r="C799" s="45">
        <v>5</v>
      </c>
      <c r="D799" s="45">
        <v>81360</v>
      </c>
      <c r="E799" s="45">
        <v>2019</v>
      </c>
      <c r="F799" s="48" t="str">
        <f t="shared" si="12"/>
        <v>Charlie's Angels : Rating 5,  Released in 2019</v>
      </c>
    </row>
    <row r="800" spans="1:6" x14ac:dyDescent="0.35">
      <c r="A800" s="45" t="s">
        <v>231</v>
      </c>
      <c r="B800" s="45" t="s">
        <v>232</v>
      </c>
      <c r="C800" s="45">
        <v>2.8</v>
      </c>
      <c r="D800" s="45">
        <v>56736</v>
      </c>
      <c r="E800" s="45">
        <v>2019</v>
      </c>
      <c r="F800" s="48" t="str">
        <f t="shared" si="12"/>
        <v>Cats : Rating 2.8,  Released in 2019</v>
      </c>
    </row>
    <row r="801" spans="1:6" x14ac:dyDescent="0.35">
      <c r="A801" s="45" t="s">
        <v>380</v>
      </c>
      <c r="B801" s="45" t="s">
        <v>175</v>
      </c>
      <c r="C801" s="45">
        <v>3.5</v>
      </c>
      <c r="D801" s="45">
        <v>19518</v>
      </c>
      <c r="E801" s="45">
        <v>2019</v>
      </c>
      <c r="F801" s="48" t="str">
        <f t="shared" si="12"/>
        <v>Black Christmas : Rating 3.5,  Released in 2019</v>
      </c>
    </row>
    <row r="802" spans="1:6" x14ac:dyDescent="0.35">
      <c r="A802" s="45" t="s">
        <v>1208</v>
      </c>
      <c r="B802" s="45" t="s">
        <v>125</v>
      </c>
      <c r="C802" s="45">
        <v>4.7</v>
      </c>
      <c r="D802" s="45">
        <v>32768</v>
      </c>
      <c r="E802" s="45">
        <v>2019</v>
      </c>
      <c r="F802" s="48" t="str">
        <f t="shared" si="12"/>
        <v>Bharat : Rating 4.7,  Released in 2019</v>
      </c>
    </row>
    <row r="803" spans="1:6" x14ac:dyDescent="0.35">
      <c r="A803" s="45" t="s">
        <v>406</v>
      </c>
      <c r="B803" s="45" t="s">
        <v>275</v>
      </c>
      <c r="C803" s="45">
        <v>3.6</v>
      </c>
      <c r="D803" s="45">
        <v>46875</v>
      </c>
      <c r="E803" s="45">
        <v>2019</v>
      </c>
      <c r="F803" s="48" t="str">
        <f t="shared" si="12"/>
        <v>Batwoman : Rating 3.6,  Released in 2019</v>
      </c>
    </row>
    <row r="804" spans="1:6" x14ac:dyDescent="0.35">
      <c r="A804" s="45" t="s">
        <v>1518</v>
      </c>
      <c r="B804" s="45" t="s">
        <v>175</v>
      </c>
      <c r="C804" s="45">
        <v>4.8</v>
      </c>
      <c r="D804" s="45">
        <v>10219</v>
      </c>
      <c r="E804" s="45">
        <v>2019</v>
      </c>
      <c r="F804" s="48" t="str">
        <f t="shared" si="12"/>
        <v>Awoken : Rating 4.8,  Released in 2019</v>
      </c>
    </row>
    <row r="805" spans="1:6" x14ac:dyDescent="0.35">
      <c r="A805" s="45" t="s">
        <v>1733</v>
      </c>
      <c r="B805" s="45" t="s">
        <v>1734</v>
      </c>
      <c r="C805" s="45">
        <v>5</v>
      </c>
      <c r="D805" s="45">
        <v>31684</v>
      </c>
      <c r="E805" s="45">
        <v>2019</v>
      </c>
      <c r="F805" s="48" t="str">
        <f t="shared" si="12"/>
        <v>47 Meters Down: Uncaged : Rating 5,  Released in 2019</v>
      </c>
    </row>
    <row r="806" spans="1:6" x14ac:dyDescent="0.35">
      <c r="A806" s="45" t="s">
        <v>1258</v>
      </c>
      <c r="B806" s="45" t="s">
        <v>1259</v>
      </c>
      <c r="C806" s="45">
        <v>4.7</v>
      </c>
      <c r="D806" s="45">
        <v>17665</v>
      </c>
      <c r="E806" s="45">
        <v>2020</v>
      </c>
      <c r="F806" s="48" t="str">
        <f t="shared" si="12"/>
        <v>We Can Be Heroes : Rating 4.7,  Released in 2020</v>
      </c>
    </row>
    <row r="807" spans="1:6" x14ac:dyDescent="0.35">
      <c r="A807" s="45" t="s">
        <v>1987</v>
      </c>
      <c r="B807" s="45" t="s">
        <v>1048</v>
      </c>
      <c r="C807" s="45">
        <v>5.0999999999999996</v>
      </c>
      <c r="D807" s="45">
        <v>18086</v>
      </c>
      <c r="E807" s="45">
        <v>2020</v>
      </c>
      <c r="F807" s="48" t="str">
        <f t="shared" si="12"/>
        <v>Torbaaz : Rating 5.1,  Released in 2020</v>
      </c>
    </row>
    <row r="808" spans="1:6" x14ac:dyDescent="0.35">
      <c r="A808" s="45" t="s">
        <v>1450</v>
      </c>
      <c r="B808" s="45" t="s">
        <v>1451</v>
      </c>
      <c r="C808" s="45">
        <v>4.8</v>
      </c>
      <c r="D808" s="45">
        <v>15399</v>
      </c>
      <c r="E808" s="45">
        <v>2020</v>
      </c>
      <c r="F808" s="48" t="str">
        <f t="shared" si="12"/>
        <v>Too Hot to Handle : Rating 4.8,  Released in 2020</v>
      </c>
    </row>
    <row r="809" spans="1:6" x14ac:dyDescent="0.35">
      <c r="A809" s="45" t="s">
        <v>982</v>
      </c>
      <c r="B809" s="45" t="s">
        <v>983</v>
      </c>
      <c r="C809" s="45">
        <v>4.5</v>
      </c>
      <c r="D809" s="45">
        <v>18677</v>
      </c>
      <c r="E809" s="45">
        <v>2020</v>
      </c>
      <c r="F809" s="48" t="str">
        <f t="shared" si="12"/>
        <v>The Walking Dead: World Beyond : Rating 4.5,  Released in 2020</v>
      </c>
    </row>
    <row r="810" spans="1:6" x14ac:dyDescent="0.35">
      <c r="A810" s="45" t="s">
        <v>564</v>
      </c>
      <c r="B810" s="45" t="s">
        <v>565</v>
      </c>
      <c r="C810" s="45">
        <v>3.9</v>
      </c>
      <c r="D810" s="45">
        <v>16563</v>
      </c>
      <c r="E810" s="45">
        <v>2020</v>
      </c>
      <c r="F810" s="48" t="str">
        <f t="shared" si="12"/>
        <v>The Turning : Rating 3.9,  Released in 2020</v>
      </c>
    </row>
    <row r="811" spans="1:6" x14ac:dyDescent="0.35">
      <c r="A811" s="45" t="s">
        <v>1443</v>
      </c>
      <c r="B811" s="45" t="s">
        <v>56</v>
      </c>
      <c r="C811" s="45">
        <v>4.8</v>
      </c>
      <c r="D811" s="45">
        <v>15773</v>
      </c>
      <c r="E811" s="45">
        <v>2020</v>
      </c>
      <c r="F811" s="48" t="str">
        <f t="shared" si="12"/>
        <v>The Tax Collector : Rating 4.8,  Released in 2020</v>
      </c>
    </row>
    <row r="812" spans="1:6" x14ac:dyDescent="0.35">
      <c r="A812" s="45" t="s">
        <v>889</v>
      </c>
      <c r="B812" s="45" t="s">
        <v>508</v>
      </c>
      <c r="C812" s="45">
        <v>4.4000000000000004</v>
      </c>
      <c r="D812" s="45">
        <v>16948</v>
      </c>
      <c r="E812" s="45">
        <v>2020</v>
      </c>
      <c r="F812" s="48" t="str">
        <f t="shared" si="12"/>
        <v>The Last Thing He Wanted : Rating 4.4,  Released in 2020</v>
      </c>
    </row>
    <row r="813" spans="1:6" x14ac:dyDescent="0.35">
      <c r="A813" s="45" t="s">
        <v>512</v>
      </c>
      <c r="B813" s="45" t="s">
        <v>56</v>
      </c>
      <c r="C813" s="45">
        <v>3.8</v>
      </c>
      <c r="D813" s="45">
        <v>12566</v>
      </c>
      <c r="E813" s="45">
        <v>2020</v>
      </c>
      <c r="F813" s="48" t="str">
        <f t="shared" si="12"/>
        <v>The Last Days of American Crime : Rating 3.8,  Released in 2020</v>
      </c>
    </row>
    <row r="814" spans="1:6" x14ac:dyDescent="0.35">
      <c r="A814" s="45" t="s">
        <v>1102</v>
      </c>
      <c r="B814" s="45" t="s">
        <v>400</v>
      </c>
      <c r="C814" s="45">
        <v>4.5999999999999996</v>
      </c>
      <c r="D814" s="45">
        <v>17285</v>
      </c>
      <c r="E814" s="45">
        <v>2020</v>
      </c>
      <c r="F814" s="48" t="str">
        <f t="shared" si="12"/>
        <v>The Craft: Legacy : Rating 4.6,  Released in 2020</v>
      </c>
    </row>
    <row r="815" spans="1:6" x14ac:dyDescent="0.35">
      <c r="A815" s="45" t="s">
        <v>2073</v>
      </c>
      <c r="B815" s="45" t="s">
        <v>8</v>
      </c>
      <c r="C815" s="45">
        <v>5.0999999999999996</v>
      </c>
      <c r="D815" s="45">
        <v>10816</v>
      </c>
      <c r="E815" s="45">
        <v>2020</v>
      </c>
      <c r="F815" s="48" t="str">
        <f t="shared" si="12"/>
        <v>Tesla : Rating 5.1,  Released in 2020</v>
      </c>
    </row>
    <row r="816" spans="1:6" x14ac:dyDescent="0.35">
      <c r="A816" s="45" t="s">
        <v>618</v>
      </c>
      <c r="B816" s="45" t="s">
        <v>568</v>
      </c>
      <c r="C816" s="45">
        <v>4</v>
      </c>
      <c r="D816" s="45">
        <v>12082</v>
      </c>
      <c r="E816" s="45">
        <v>2020</v>
      </c>
      <c r="F816" s="48" t="str">
        <f t="shared" si="12"/>
        <v>Survive the Night : Rating 4,  Released in 2020</v>
      </c>
    </row>
    <row r="817" spans="1:6" x14ac:dyDescent="0.35">
      <c r="A817" s="45" t="s">
        <v>1484</v>
      </c>
      <c r="B817" s="45" t="s">
        <v>951</v>
      </c>
      <c r="C817" s="45">
        <v>4.8</v>
      </c>
      <c r="D817" s="45">
        <v>11904</v>
      </c>
      <c r="E817" s="45">
        <v>2020</v>
      </c>
      <c r="F817" s="48" t="str">
        <f t="shared" si="12"/>
        <v>Songbird : Rating 4.8,  Released in 2020</v>
      </c>
    </row>
    <row r="818" spans="1:6" x14ac:dyDescent="0.35">
      <c r="A818" s="45" t="s">
        <v>358</v>
      </c>
      <c r="B818" s="45" t="s">
        <v>359</v>
      </c>
      <c r="C818" s="45">
        <v>3.4</v>
      </c>
      <c r="D818" s="45">
        <v>15510</v>
      </c>
      <c r="E818" s="45">
        <v>2020</v>
      </c>
      <c r="F818" s="48" t="str">
        <f t="shared" si="12"/>
        <v>Shikara : Rating 3.4,  Released in 2020</v>
      </c>
    </row>
    <row r="819" spans="1:6" x14ac:dyDescent="0.35">
      <c r="A819" s="45" t="s">
        <v>1730</v>
      </c>
      <c r="B819" s="45" t="s">
        <v>1731</v>
      </c>
      <c r="C819" s="45">
        <v>5</v>
      </c>
      <c r="D819" s="45">
        <v>32153</v>
      </c>
      <c r="E819" s="45">
        <v>2020</v>
      </c>
      <c r="F819" s="48" t="str">
        <f t="shared" si="12"/>
        <v>Shadow in the Cloud : Rating 5,  Released in 2020</v>
      </c>
    </row>
    <row r="820" spans="1:6" x14ac:dyDescent="0.35">
      <c r="A820" s="45" t="s">
        <v>25</v>
      </c>
      <c r="B820" s="45" t="s">
        <v>26</v>
      </c>
      <c r="C820" s="45">
        <v>1.2</v>
      </c>
      <c r="D820" s="45">
        <v>96853</v>
      </c>
      <c r="E820" s="45">
        <v>2020</v>
      </c>
      <c r="F820" s="48" t="str">
        <f t="shared" si="12"/>
        <v>Sadak 2 : Rating 1.2,  Released in 2020</v>
      </c>
    </row>
    <row r="821" spans="1:6" x14ac:dyDescent="0.35">
      <c r="A821" s="45" t="s">
        <v>749</v>
      </c>
      <c r="B821" s="45" t="s">
        <v>571</v>
      </c>
      <c r="C821" s="45">
        <v>4.2</v>
      </c>
      <c r="D821" s="45">
        <v>10034</v>
      </c>
      <c r="E821" s="45">
        <v>2020</v>
      </c>
      <c r="F821" s="48" t="str">
        <f t="shared" si="12"/>
        <v>Rogue : Rating 4.2,  Released in 2020</v>
      </c>
    </row>
    <row r="822" spans="1:6" x14ac:dyDescent="0.35">
      <c r="A822" s="45" t="s">
        <v>1265</v>
      </c>
      <c r="B822" s="45" t="s">
        <v>172</v>
      </c>
      <c r="C822" s="45">
        <v>4.7</v>
      </c>
      <c r="D822" s="45">
        <v>15602</v>
      </c>
      <c r="E822" s="45">
        <v>2020</v>
      </c>
      <c r="F822" s="48" t="str">
        <f t="shared" si="12"/>
        <v>Occupation: Rainfall : Rating 4.7,  Released in 2020</v>
      </c>
    </row>
    <row r="823" spans="1:6" x14ac:dyDescent="0.35">
      <c r="A823" s="45" t="s">
        <v>1629</v>
      </c>
      <c r="B823" s="45" t="s">
        <v>915</v>
      </c>
      <c r="C823" s="45">
        <v>4.9000000000000004</v>
      </c>
      <c r="D823" s="45">
        <v>14610</v>
      </c>
      <c r="E823" s="45">
        <v>2020</v>
      </c>
      <c r="F823" s="48" t="str">
        <f t="shared" si="12"/>
        <v>Nobody Sleeps in the Woods Tonight : Rating 4.9,  Released in 2020</v>
      </c>
    </row>
    <row r="824" spans="1:6" x14ac:dyDescent="0.35">
      <c r="A824" s="45" t="s">
        <v>605</v>
      </c>
      <c r="B824" s="45" t="s">
        <v>606</v>
      </c>
      <c r="C824" s="45">
        <v>4</v>
      </c>
      <c r="D824" s="45">
        <v>19213</v>
      </c>
      <c r="E824" s="45">
        <v>2020</v>
      </c>
      <c r="F824" s="48" t="str">
        <f t="shared" si="12"/>
        <v>Mrs. Serial Killer : Rating 4,  Released in 2020</v>
      </c>
    </row>
    <row r="825" spans="1:6" x14ac:dyDescent="0.35">
      <c r="A825" s="45" t="s">
        <v>2139</v>
      </c>
      <c r="B825" s="45" t="s">
        <v>166</v>
      </c>
      <c r="C825" s="45">
        <v>5.2</v>
      </c>
      <c r="D825" s="45">
        <v>69645</v>
      </c>
      <c r="E825" s="45">
        <v>2020</v>
      </c>
      <c r="F825" s="48" t="str">
        <f t="shared" si="12"/>
        <v>Monster Hunter : Rating 5.2,  Released in 2020</v>
      </c>
    </row>
    <row r="826" spans="1:6" x14ac:dyDescent="0.35">
      <c r="A826" s="45" t="s">
        <v>1317</v>
      </c>
      <c r="B826" s="45" t="s">
        <v>208</v>
      </c>
      <c r="C826" s="45">
        <v>4.7</v>
      </c>
      <c r="D826" s="45">
        <v>10789</v>
      </c>
      <c r="E826" s="45">
        <v>2020</v>
      </c>
      <c r="F826" s="48" t="str">
        <f t="shared" si="12"/>
        <v>Love Aaj Kal : Rating 4.7,  Released in 2020</v>
      </c>
    </row>
    <row r="827" spans="1:6" x14ac:dyDescent="0.35">
      <c r="A827" s="45" t="s">
        <v>1267</v>
      </c>
      <c r="B827" s="45" t="s">
        <v>11</v>
      </c>
      <c r="C827" s="45">
        <v>4.7</v>
      </c>
      <c r="D827" s="45">
        <v>15510</v>
      </c>
      <c r="E827" s="45">
        <v>2020</v>
      </c>
      <c r="F827" s="48" t="str">
        <f t="shared" si="12"/>
        <v>Like a Boss : Rating 4.7,  Released in 2020</v>
      </c>
    </row>
    <row r="828" spans="1:6" x14ac:dyDescent="0.35">
      <c r="A828" s="45" t="s">
        <v>168</v>
      </c>
      <c r="B828" s="45" t="s">
        <v>169</v>
      </c>
      <c r="C828" s="45">
        <v>2.5</v>
      </c>
      <c r="D828" s="45">
        <v>59055</v>
      </c>
      <c r="E828" s="45">
        <v>2020</v>
      </c>
      <c r="F828" s="48" t="str">
        <f t="shared" si="12"/>
        <v>Laxmii : Rating 2.5,  Released in 2020</v>
      </c>
    </row>
    <row r="829" spans="1:6" x14ac:dyDescent="0.35">
      <c r="A829" s="45" t="s">
        <v>180</v>
      </c>
      <c r="B829" s="45" t="s">
        <v>181</v>
      </c>
      <c r="C829" s="45">
        <v>2.5</v>
      </c>
      <c r="D829" s="45">
        <v>10132</v>
      </c>
      <c r="E829" s="45">
        <v>2020</v>
      </c>
      <c r="F829" s="48" t="str">
        <f t="shared" si="12"/>
        <v>Khaali Peeli : Rating 2.5,  Released in 2020</v>
      </c>
    </row>
    <row r="830" spans="1:6" x14ac:dyDescent="0.35">
      <c r="A830" s="45" t="s">
        <v>418</v>
      </c>
      <c r="B830" s="45" t="s">
        <v>14</v>
      </c>
      <c r="C830" s="45">
        <v>3.6</v>
      </c>
      <c r="D830" s="45">
        <v>19147</v>
      </c>
      <c r="E830" s="45">
        <v>2020</v>
      </c>
      <c r="F830" s="48" t="str">
        <f t="shared" si="12"/>
        <v>Kaamraj : Rating 3.6,  Released in 2020</v>
      </c>
    </row>
    <row r="831" spans="1:6" x14ac:dyDescent="0.35">
      <c r="A831" s="45" t="s">
        <v>258</v>
      </c>
      <c r="B831" s="45" t="s">
        <v>143</v>
      </c>
      <c r="C831" s="45">
        <v>2.9</v>
      </c>
      <c r="D831" s="45">
        <v>10685</v>
      </c>
      <c r="E831" s="45">
        <v>2020</v>
      </c>
      <c r="F831" s="48" t="str">
        <f t="shared" si="12"/>
        <v>Jiu Jitsu : Rating 2.9,  Released in 2020</v>
      </c>
    </row>
    <row r="832" spans="1:6" x14ac:dyDescent="0.35">
      <c r="A832" s="45" t="s">
        <v>1486</v>
      </c>
      <c r="B832" s="45" t="s">
        <v>93</v>
      </c>
      <c r="C832" s="45">
        <v>4.8</v>
      </c>
      <c r="D832" s="45">
        <v>11898</v>
      </c>
      <c r="E832" s="45">
        <v>2020</v>
      </c>
      <c r="F832" s="48" t="str">
        <f t="shared" si="12"/>
        <v>Horizon Line : Rating 4.8,  Released in 2020</v>
      </c>
    </row>
    <row r="833" spans="1:6" x14ac:dyDescent="0.35">
      <c r="A833" s="45" t="s">
        <v>293</v>
      </c>
      <c r="B833" s="45" t="s">
        <v>294</v>
      </c>
      <c r="C833" s="45">
        <v>3.1</v>
      </c>
      <c r="D833" s="45">
        <v>19617</v>
      </c>
      <c r="E833" s="45">
        <v>2020</v>
      </c>
      <c r="F833" s="48" t="str">
        <f t="shared" si="12"/>
        <v>Hard Kill : Rating 3.1,  Released in 2020</v>
      </c>
    </row>
    <row r="834" spans="1:6" x14ac:dyDescent="0.35">
      <c r="A834" s="45" t="s">
        <v>1119</v>
      </c>
      <c r="B834" s="45" t="s">
        <v>275</v>
      </c>
      <c r="C834" s="45">
        <v>4.5999999999999996</v>
      </c>
      <c r="D834" s="45">
        <v>13742</v>
      </c>
      <c r="E834" s="45">
        <v>2020</v>
      </c>
      <c r="F834" s="48" t="str">
        <f t="shared" ref="F834:F897" si="13">_xlfn.CONCAT(TRIM(A834)," ", ": Rating"," ",C834,",","  ","Released in", " ",E834)</f>
        <v>Force of Nature : Rating 4.6,  Released in 2020</v>
      </c>
    </row>
    <row r="835" spans="1:6" x14ac:dyDescent="0.35">
      <c r="A835" s="45" t="s">
        <v>1544</v>
      </c>
      <c r="B835" s="45" t="s">
        <v>915</v>
      </c>
      <c r="C835" s="45">
        <v>4.9000000000000004</v>
      </c>
      <c r="D835" s="45">
        <v>60238</v>
      </c>
      <c r="E835" s="45">
        <v>2020</v>
      </c>
      <c r="F835" s="48" t="str">
        <f t="shared" si="13"/>
        <v>Fantasy Island : Rating 4.9,  Released in 2020</v>
      </c>
    </row>
    <row r="836" spans="1:6" x14ac:dyDescent="0.35">
      <c r="A836" s="45" t="s">
        <v>746</v>
      </c>
      <c r="B836" s="45" t="s">
        <v>747</v>
      </c>
      <c r="C836" s="45">
        <v>4.2</v>
      </c>
      <c r="D836" s="45">
        <v>10487</v>
      </c>
      <c r="E836" s="45">
        <v>2020</v>
      </c>
      <c r="F836" s="48" t="str">
        <f t="shared" si="13"/>
        <v>Fabulous Lives of Bollywood Wives : Rating 4.2,  Released in 2020</v>
      </c>
    </row>
    <row r="837" spans="1:6" x14ac:dyDescent="0.35">
      <c r="A837" s="45" t="s">
        <v>1633</v>
      </c>
      <c r="B837" s="45" t="s">
        <v>646</v>
      </c>
      <c r="C837" s="45">
        <v>4.9000000000000004</v>
      </c>
      <c r="D837" s="45">
        <v>14021</v>
      </c>
      <c r="E837" s="45">
        <v>2020</v>
      </c>
      <c r="F837" s="48" t="str">
        <f t="shared" si="13"/>
        <v>Downhill : Rating 4.9,  Released in 2020</v>
      </c>
    </row>
    <row r="838" spans="1:6" x14ac:dyDescent="0.35">
      <c r="A838" s="45" t="s">
        <v>408</v>
      </c>
      <c r="B838" s="45" t="s">
        <v>14</v>
      </c>
      <c r="C838" s="45">
        <v>3.6</v>
      </c>
      <c r="D838" s="45">
        <v>32880</v>
      </c>
      <c r="E838" s="45">
        <v>2020</v>
      </c>
      <c r="F838" s="48" t="str">
        <f t="shared" si="13"/>
        <v>Cuties : Rating 3.6,  Released in 2020</v>
      </c>
    </row>
    <row r="839" spans="1:6" x14ac:dyDescent="0.35">
      <c r="A839" s="45" t="s">
        <v>686</v>
      </c>
      <c r="B839" s="45" t="s">
        <v>181</v>
      </c>
      <c r="C839" s="45">
        <v>4.2</v>
      </c>
      <c r="D839" s="45">
        <v>74378</v>
      </c>
      <c r="E839" s="45">
        <v>2020</v>
      </c>
      <c r="F839" s="48" t="str">
        <f t="shared" si="13"/>
        <v>Coolie No. 1 : Rating 4.2,  Released in 2020</v>
      </c>
    </row>
    <row r="840" spans="1:6" x14ac:dyDescent="0.35">
      <c r="A840" s="45" t="s">
        <v>1242</v>
      </c>
      <c r="B840" s="45" t="s">
        <v>1243</v>
      </c>
      <c r="C840" s="45">
        <v>4.7</v>
      </c>
      <c r="D840" s="45">
        <v>23690</v>
      </c>
      <c r="E840" s="45">
        <v>2020</v>
      </c>
      <c r="F840" s="48" t="str">
        <f t="shared" si="13"/>
        <v>Capone : Rating 4.7,  Released in 2020</v>
      </c>
    </row>
    <row r="841" spans="1:6" x14ac:dyDescent="0.35">
      <c r="A841" s="45" t="s">
        <v>256</v>
      </c>
      <c r="B841" s="45" t="s">
        <v>155</v>
      </c>
      <c r="C841" s="45">
        <v>2.9</v>
      </c>
      <c r="D841" s="45">
        <v>20235</v>
      </c>
      <c r="E841" s="45">
        <v>2020</v>
      </c>
      <c r="F841" s="48" t="str">
        <f t="shared" si="13"/>
        <v>Breach : Rating 2.9,  Released in 2020</v>
      </c>
    </row>
    <row r="842" spans="1:6" x14ac:dyDescent="0.35">
      <c r="A842" s="45" t="s">
        <v>1245</v>
      </c>
      <c r="B842" s="45" t="s">
        <v>565</v>
      </c>
      <c r="C842" s="45">
        <v>4.7</v>
      </c>
      <c r="D842" s="45">
        <v>21253</v>
      </c>
      <c r="E842" s="45">
        <v>2020</v>
      </c>
      <c r="F842" s="48" t="str">
        <f t="shared" si="13"/>
        <v>Brahms: The Boy II : Rating 4.7,  Released in 2020</v>
      </c>
    </row>
    <row r="843" spans="1:6" x14ac:dyDescent="0.35">
      <c r="A843" s="45" t="s">
        <v>133</v>
      </c>
      <c r="B843" s="45" t="s">
        <v>134</v>
      </c>
      <c r="C843" s="45">
        <v>2.2000000000000002</v>
      </c>
      <c r="D843" s="45">
        <v>14178</v>
      </c>
      <c r="E843" s="45">
        <v>2020</v>
      </c>
      <c r="F843" s="48" t="str">
        <f t="shared" si="13"/>
        <v>Baaghi 3 : Rating 2.2,  Released in 2020</v>
      </c>
    </row>
    <row r="844" spans="1:6" x14ac:dyDescent="0.35">
      <c r="A844" s="45" t="s">
        <v>764</v>
      </c>
      <c r="B844" s="45" t="s">
        <v>90</v>
      </c>
      <c r="C844" s="45">
        <v>4.3</v>
      </c>
      <c r="D844" s="45">
        <v>30755</v>
      </c>
      <c r="E844" s="45">
        <v>2020</v>
      </c>
      <c r="F844" s="48" t="str">
        <f t="shared" si="13"/>
        <v>Artemis Fowl : Rating 4.3,  Released in 2020</v>
      </c>
    </row>
    <row r="845" spans="1:6" x14ac:dyDescent="0.35">
      <c r="A845" s="45" t="s">
        <v>581</v>
      </c>
      <c r="B845" s="45" t="s">
        <v>116</v>
      </c>
      <c r="C845" s="45">
        <v>3.9</v>
      </c>
      <c r="D845" s="45">
        <v>11282</v>
      </c>
      <c r="E845" s="45">
        <v>2020</v>
      </c>
      <c r="F845" s="48" t="str">
        <f t="shared" si="13"/>
        <v>American Pie Presents: Girls' Rules : Rating 3.9,  Released in 2020</v>
      </c>
    </row>
    <row r="846" spans="1:6" x14ac:dyDescent="0.35">
      <c r="A846" s="45" t="s">
        <v>735</v>
      </c>
      <c r="B846" s="45" t="s">
        <v>736</v>
      </c>
      <c r="C846" s="45">
        <v>4.2</v>
      </c>
      <c r="D846" s="45">
        <v>12894</v>
      </c>
      <c r="E846" s="45">
        <v>2020</v>
      </c>
      <c r="F846" s="48" t="str">
        <f t="shared" si="13"/>
        <v>Aiyai: Wrathful Soul : Rating 4.2,  Released in 2020</v>
      </c>
    </row>
    <row r="847" spans="1:6" x14ac:dyDescent="0.35">
      <c r="A847" s="45" t="s">
        <v>1906</v>
      </c>
      <c r="B847" s="45" t="s">
        <v>208</v>
      </c>
      <c r="C847" s="45">
        <v>5.0999999999999996</v>
      </c>
      <c r="D847" s="45">
        <v>40049</v>
      </c>
      <c r="E847" s="45">
        <v>2020</v>
      </c>
      <c r="F847" s="48" t="str">
        <f t="shared" si="13"/>
        <v>After We Collided : Rating 5.1,  Released in 2020</v>
      </c>
    </row>
    <row r="848" spans="1:6" x14ac:dyDescent="0.35">
      <c r="A848" s="45" t="s">
        <v>723</v>
      </c>
      <c r="B848" s="45" t="s">
        <v>249</v>
      </c>
      <c r="C848" s="45">
        <v>4.2</v>
      </c>
      <c r="D848" s="45">
        <v>16219</v>
      </c>
      <c r="E848" s="45">
        <v>2020</v>
      </c>
      <c r="F848" s="48" t="str">
        <f t="shared" si="13"/>
        <v>Adverse : Rating 4.2,  Released in 2020</v>
      </c>
    </row>
    <row r="849" spans="1:6" x14ac:dyDescent="0.35">
      <c r="A849" s="45" t="s">
        <v>675</v>
      </c>
      <c r="B849" s="45" t="s">
        <v>669</v>
      </c>
      <c r="C849" s="45">
        <v>4.0999999999999996</v>
      </c>
      <c r="D849" s="45">
        <v>11817</v>
      </c>
      <c r="E849" s="45">
        <v>2020</v>
      </c>
      <c r="F849" s="48" t="str">
        <f t="shared" si="13"/>
        <v>A Dark Foe : Rating 4.1,  Released in 2020</v>
      </c>
    </row>
    <row r="850" spans="1:6" x14ac:dyDescent="0.35">
      <c r="A850" s="45" t="s">
        <v>318</v>
      </c>
      <c r="B850" s="45" t="s">
        <v>208</v>
      </c>
      <c r="C850" s="45">
        <v>3.3</v>
      </c>
      <c r="D850" s="45">
        <v>101121</v>
      </c>
      <c r="E850" s="45">
        <v>2020</v>
      </c>
      <c r="F850" s="48" t="str">
        <f t="shared" si="13"/>
        <v>365 Days : Rating 3.3,  Released in 2020</v>
      </c>
    </row>
    <row r="851" spans="1:6" x14ac:dyDescent="0.35">
      <c r="A851" s="45" t="s">
        <v>13</v>
      </c>
      <c r="B851" s="45" t="s">
        <v>14</v>
      </c>
      <c r="C851" s="45">
        <v>1</v>
      </c>
      <c r="D851" s="45">
        <v>10215</v>
      </c>
      <c r="E851" s="45">
        <v>2020</v>
      </c>
      <c r="F851" s="48" t="str">
        <f t="shared" si="13"/>
        <v>321 Action : Rating 1,  Released in 2020</v>
      </c>
    </row>
    <row r="852" spans="1:6" x14ac:dyDescent="0.35">
      <c r="A852" s="45">
        <v>2067</v>
      </c>
      <c r="B852" s="45" t="s">
        <v>1654</v>
      </c>
      <c r="C852" s="45">
        <v>4.9000000000000004</v>
      </c>
      <c r="D852" s="45">
        <v>12090</v>
      </c>
      <c r="E852" s="45">
        <v>2020</v>
      </c>
      <c r="F852" s="48" t="str">
        <f t="shared" si="13"/>
        <v>2067 : Rating 4.9,  Released in 2020</v>
      </c>
    </row>
    <row r="853" spans="1:6" x14ac:dyDescent="0.35">
      <c r="A853" s="45" t="s">
        <v>2041</v>
      </c>
      <c r="B853" s="45" t="s">
        <v>846</v>
      </c>
      <c r="C853" s="45">
        <v>5.0999999999999996</v>
      </c>
      <c r="D853" s="45">
        <v>12808</v>
      </c>
      <c r="E853" s="45">
        <v>2021</v>
      </c>
      <c r="F853" s="48" t="str">
        <f t="shared" si="13"/>
        <v>Wolf : Rating 5.1,  Released in 2021</v>
      </c>
    </row>
    <row r="854" spans="1:6" x14ac:dyDescent="0.35">
      <c r="A854" s="45" t="s">
        <v>1041</v>
      </c>
      <c r="B854" s="45" t="s">
        <v>178</v>
      </c>
      <c r="C854" s="45">
        <v>4.5999999999999996</v>
      </c>
      <c r="D854" s="45">
        <v>46282</v>
      </c>
      <c r="E854" s="45">
        <v>2021</v>
      </c>
      <c r="F854" s="48" t="str">
        <f t="shared" si="13"/>
        <v>Thunder Force : Rating 4.6,  Released in 2021</v>
      </c>
    </row>
    <row r="855" spans="1:6" x14ac:dyDescent="0.35">
      <c r="A855" s="45" t="s">
        <v>1607</v>
      </c>
      <c r="B855" s="45" t="s">
        <v>175</v>
      </c>
      <c r="C855" s="45">
        <v>4.9000000000000004</v>
      </c>
      <c r="D855" s="45">
        <v>20483</v>
      </c>
      <c r="E855" s="45">
        <v>2021</v>
      </c>
      <c r="F855" s="48" t="str">
        <f t="shared" si="13"/>
        <v>There's Someone Inside Your House : Rating 4.9,  Released in 2021</v>
      </c>
    </row>
    <row r="856" spans="1:6" x14ac:dyDescent="0.35">
      <c r="A856" s="45" t="s">
        <v>1926</v>
      </c>
      <c r="B856" s="45" t="s">
        <v>565</v>
      </c>
      <c r="C856" s="45">
        <v>5.0999999999999996</v>
      </c>
      <c r="D856" s="45">
        <v>28873</v>
      </c>
      <c r="E856" s="45">
        <v>2021</v>
      </c>
      <c r="F856" s="48" t="str">
        <f t="shared" si="13"/>
        <v>The Unholy : Rating 5.1,  Released in 2021</v>
      </c>
    </row>
    <row r="857" spans="1:6" x14ac:dyDescent="0.35">
      <c r="A857" s="45" t="s">
        <v>993</v>
      </c>
      <c r="B857" s="45" t="s">
        <v>178</v>
      </c>
      <c r="C857" s="45">
        <v>4.5</v>
      </c>
      <c r="D857" s="45">
        <v>14124</v>
      </c>
      <c r="E857" s="45">
        <v>2021</v>
      </c>
      <c r="F857" s="48" t="str">
        <f t="shared" si="13"/>
        <v>The Misfits : Rating 4.5,  Released in 2021</v>
      </c>
    </row>
    <row r="858" spans="1:6" x14ac:dyDescent="0.35">
      <c r="A858" s="45" t="s">
        <v>1398</v>
      </c>
      <c r="B858" s="45" t="s">
        <v>116</v>
      </c>
      <c r="C858" s="45">
        <v>4.8</v>
      </c>
      <c r="D858" s="45">
        <v>23297</v>
      </c>
      <c r="E858" s="45">
        <v>2021</v>
      </c>
      <c r="F858" s="48" t="str">
        <f t="shared" si="13"/>
        <v>The Kissing Booth 3 : Rating 4.8,  Released in 2021</v>
      </c>
    </row>
    <row r="859" spans="1:6" x14ac:dyDescent="0.35">
      <c r="A859" s="45" t="s">
        <v>610</v>
      </c>
      <c r="B859" s="45" t="s">
        <v>508</v>
      </c>
      <c r="C859" s="45">
        <v>4</v>
      </c>
      <c r="D859" s="45">
        <v>15140</v>
      </c>
      <c r="E859" s="45">
        <v>2021</v>
      </c>
      <c r="F859" s="48" t="str">
        <f t="shared" si="13"/>
        <v>The Girl on the Train : Rating 4,  Released in 2021</v>
      </c>
    </row>
    <row r="860" spans="1:6" x14ac:dyDescent="0.35">
      <c r="A860" s="45" t="s">
        <v>1261</v>
      </c>
      <c r="B860" s="45" t="s">
        <v>709</v>
      </c>
      <c r="C860" s="45">
        <v>4.7</v>
      </c>
      <c r="D860" s="45">
        <v>17304</v>
      </c>
      <c r="E860" s="45">
        <v>2021</v>
      </c>
      <c r="F860" s="48" t="str">
        <f t="shared" si="13"/>
        <v>The Empire : Rating 4.7,  Released in 2021</v>
      </c>
    </row>
    <row r="861" spans="1:6" x14ac:dyDescent="0.35">
      <c r="A861" s="45" t="s">
        <v>55</v>
      </c>
      <c r="B861" s="45" t="s">
        <v>56</v>
      </c>
      <c r="C861" s="45">
        <v>1.5</v>
      </c>
      <c r="D861" s="45">
        <v>40625</v>
      </c>
      <c r="E861" s="45">
        <v>2021</v>
      </c>
      <c r="F861" s="48" t="str">
        <f t="shared" si="13"/>
        <v>The Cost of Deception : Rating 1.5,  Released in 2021</v>
      </c>
    </row>
    <row r="862" spans="1:6" x14ac:dyDescent="0.35">
      <c r="A862" s="45" t="s">
        <v>1032</v>
      </c>
      <c r="B862" s="45" t="s">
        <v>31</v>
      </c>
      <c r="C862" s="45">
        <v>4.5999999999999996</v>
      </c>
      <c r="D862" s="45">
        <v>61159</v>
      </c>
      <c r="E862" s="45">
        <v>2021</v>
      </c>
      <c r="F862" s="48" t="str">
        <f t="shared" si="13"/>
        <v>Tandav : Rating 4.6,  Released in 2021</v>
      </c>
    </row>
    <row r="863" spans="1:6" x14ac:dyDescent="0.35">
      <c r="A863" s="45" t="s">
        <v>2137</v>
      </c>
      <c r="B863" s="45" t="s">
        <v>175</v>
      </c>
      <c r="C863" s="45">
        <v>5.2</v>
      </c>
      <c r="D863" s="45">
        <v>71042</v>
      </c>
      <c r="E863" s="45">
        <v>2021</v>
      </c>
      <c r="F863" s="48" t="str">
        <f t="shared" si="13"/>
        <v>Spiral : Rating 5.2,  Released in 2021</v>
      </c>
    </row>
    <row r="864" spans="1:6" x14ac:dyDescent="0.35">
      <c r="A864" s="45" t="s">
        <v>930</v>
      </c>
      <c r="B864" s="45" t="s">
        <v>65</v>
      </c>
      <c r="C864" s="45">
        <v>4.5</v>
      </c>
      <c r="D864" s="45">
        <v>82226</v>
      </c>
      <c r="E864" s="45">
        <v>2021</v>
      </c>
      <c r="F864" s="48" t="str">
        <f t="shared" si="13"/>
        <v>Space Jam: A New Legacy : Rating 4.5,  Released in 2021</v>
      </c>
    </row>
    <row r="865" spans="1:6" x14ac:dyDescent="0.35">
      <c r="A865" s="45" t="s">
        <v>628</v>
      </c>
      <c r="B865" s="45" t="s">
        <v>14</v>
      </c>
      <c r="C865" s="45">
        <v>4</v>
      </c>
      <c r="D865" s="45">
        <v>10323</v>
      </c>
      <c r="E865" s="45">
        <v>2021</v>
      </c>
      <c r="F865" s="48" t="str">
        <f t="shared" si="13"/>
        <v>Siavash : Rating 4,  Released in 2021</v>
      </c>
    </row>
    <row r="866" spans="1:6" x14ac:dyDescent="0.35">
      <c r="A866" s="45" t="s">
        <v>356</v>
      </c>
      <c r="B866" s="45" t="s">
        <v>56</v>
      </c>
      <c r="C866" s="45">
        <v>3.4</v>
      </c>
      <c r="D866" s="45">
        <v>16210</v>
      </c>
      <c r="E866" s="45">
        <v>2021</v>
      </c>
      <c r="F866" s="48" t="str">
        <f t="shared" si="13"/>
        <v>Satyameva Jayate 2 : Rating 3.4,  Released in 2021</v>
      </c>
    </row>
    <row r="867" spans="1:6" x14ac:dyDescent="0.35">
      <c r="A867" s="45" t="s">
        <v>86</v>
      </c>
      <c r="B867" s="45" t="s">
        <v>87</v>
      </c>
      <c r="C867" s="45">
        <v>1.7</v>
      </c>
      <c r="D867" s="45">
        <v>15623</v>
      </c>
      <c r="E867" s="45">
        <v>2021</v>
      </c>
      <c r="F867" s="48" t="str">
        <f t="shared" si="13"/>
        <v>Santa Inc. : Rating 1.7,  Released in 2021</v>
      </c>
    </row>
    <row r="868" spans="1:6" x14ac:dyDescent="0.35">
      <c r="A868" s="45" t="s">
        <v>818</v>
      </c>
      <c r="B868" s="45" t="s">
        <v>211</v>
      </c>
      <c r="C868" s="45">
        <v>4.3</v>
      </c>
      <c r="D868" s="45">
        <v>11182</v>
      </c>
      <c r="E868" s="45">
        <v>2021</v>
      </c>
      <c r="F868" s="48" t="str">
        <f t="shared" si="13"/>
        <v>Roohi : Rating 4.3,  Released in 2021</v>
      </c>
    </row>
    <row r="869" spans="1:6" x14ac:dyDescent="0.35">
      <c r="A869" s="45" t="s">
        <v>2147</v>
      </c>
      <c r="B869" s="45" t="s">
        <v>155</v>
      </c>
      <c r="C869" s="45">
        <v>5.2</v>
      </c>
      <c r="D869" s="45">
        <v>66376</v>
      </c>
      <c r="E869" s="45">
        <v>2021</v>
      </c>
      <c r="F869" s="48" t="str">
        <f t="shared" si="13"/>
        <v>Resident Evil: Welcome to Raccoon City : Rating 5.2,  Released in 2021</v>
      </c>
    </row>
    <row r="870" spans="1:6" x14ac:dyDescent="0.35">
      <c r="A870" s="45" t="s">
        <v>971</v>
      </c>
      <c r="B870" s="45" t="s">
        <v>568</v>
      </c>
      <c r="C870" s="45">
        <v>4.5</v>
      </c>
      <c r="D870" s="45">
        <v>24338</v>
      </c>
      <c r="E870" s="45">
        <v>2021</v>
      </c>
      <c r="F870" s="48" t="str">
        <f t="shared" si="13"/>
        <v>Redemption Day : Rating 4.5,  Released in 2021</v>
      </c>
    </row>
    <row r="871" spans="1:6" x14ac:dyDescent="0.35">
      <c r="A871" s="45" t="s">
        <v>100</v>
      </c>
      <c r="B871" s="45" t="s">
        <v>101</v>
      </c>
      <c r="C871" s="45">
        <v>1.9</v>
      </c>
      <c r="D871" s="45">
        <v>180273</v>
      </c>
      <c r="E871" s="45">
        <v>2021</v>
      </c>
      <c r="F871" s="48" t="str">
        <f t="shared" si="13"/>
        <v>Radhe : Rating 1.9,  Released in 2021</v>
      </c>
    </row>
    <row r="872" spans="1:6" x14ac:dyDescent="0.35">
      <c r="A872" s="45" t="s">
        <v>1221</v>
      </c>
      <c r="B872" s="45" t="s">
        <v>1222</v>
      </c>
      <c r="C872" s="45">
        <v>4.7</v>
      </c>
      <c r="D872" s="45">
        <v>28236</v>
      </c>
      <c r="E872" s="45">
        <v>2021</v>
      </c>
      <c r="F872" s="48" t="str">
        <f t="shared" si="13"/>
        <v>Racket Boys : Rating 4.7,  Released in 2021</v>
      </c>
    </row>
    <row r="873" spans="1:6" x14ac:dyDescent="0.35">
      <c r="A873" s="45" t="s">
        <v>725</v>
      </c>
      <c r="B873" s="45" t="s">
        <v>639</v>
      </c>
      <c r="C873" s="45">
        <v>4.2</v>
      </c>
      <c r="D873" s="45">
        <v>14639</v>
      </c>
      <c r="E873" s="45">
        <v>2021</v>
      </c>
      <c r="F873" s="48" t="str">
        <f t="shared" si="13"/>
        <v>Prisoners of the Ghostland : Rating 4.2,  Released in 2021</v>
      </c>
    </row>
    <row r="874" spans="1:6" x14ac:dyDescent="0.35">
      <c r="A874" s="45" t="s">
        <v>440</v>
      </c>
      <c r="B874" s="45" t="s">
        <v>441</v>
      </c>
      <c r="C874" s="45">
        <v>3.6</v>
      </c>
      <c r="D874" s="45">
        <v>10390</v>
      </c>
      <c r="E874" s="45">
        <v>2021</v>
      </c>
      <c r="F874" s="48" t="str">
        <f t="shared" si="13"/>
        <v>Pogaru : Rating 3.6,  Released in 2021</v>
      </c>
    </row>
    <row r="875" spans="1:6" x14ac:dyDescent="0.35">
      <c r="A875" s="45" t="s">
        <v>1830</v>
      </c>
      <c r="B875" s="45" t="s">
        <v>14</v>
      </c>
      <c r="C875" s="45">
        <v>5</v>
      </c>
      <c r="D875" s="45">
        <v>11281</v>
      </c>
      <c r="E875" s="45">
        <v>2021</v>
      </c>
      <c r="F875" s="48" t="str">
        <f t="shared" si="13"/>
        <v>Not to Forget : Rating 5,  Released in 2021</v>
      </c>
    </row>
    <row r="876" spans="1:6" x14ac:dyDescent="0.35">
      <c r="A876" s="45" t="s">
        <v>1601</v>
      </c>
      <c r="B876" s="45" t="s">
        <v>951</v>
      </c>
      <c r="C876" s="45">
        <v>4.9000000000000004</v>
      </c>
      <c r="D876" s="45">
        <v>21611</v>
      </c>
      <c r="E876" s="45">
        <v>2021</v>
      </c>
      <c r="F876" s="48" t="str">
        <f t="shared" si="13"/>
        <v>Mother/Android : Rating 4.9,  Released in 2021</v>
      </c>
    </row>
    <row r="877" spans="1:6" x14ac:dyDescent="0.35">
      <c r="A877" s="45" t="s">
        <v>1155</v>
      </c>
      <c r="B877" s="45" t="s">
        <v>577</v>
      </c>
      <c r="C877" s="45">
        <v>4.5999999999999996</v>
      </c>
      <c r="D877" s="45">
        <v>10442</v>
      </c>
      <c r="E877" s="45">
        <v>2021</v>
      </c>
      <c r="F877" s="48" t="str">
        <f t="shared" si="13"/>
        <v>Midnight in the Switchgrass : Rating 4.6,  Released in 2021</v>
      </c>
    </row>
    <row r="878" spans="1:6" x14ac:dyDescent="0.35">
      <c r="A878" s="45" t="s">
        <v>386</v>
      </c>
      <c r="B878" s="45" t="s">
        <v>172</v>
      </c>
      <c r="C878" s="45">
        <v>3.5</v>
      </c>
      <c r="D878" s="45">
        <v>14143</v>
      </c>
      <c r="E878" s="45">
        <v>2021</v>
      </c>
      <c r="F878" s="48" t="str">
        <f t="shared" si="13"/>
        <v>Last Man Down : Rating 3.5,  Released in 2021</v>
      </c>
    </row>
    <row r="879" spans="1:6" x14ac:dyDescent="0.35">
      <c r="A879" s="45" t="s">
        <v>2051</v>
      </c>
      <c r="B879" s="45" t="s">
        <v>565</v>
      </c>
      <c r="C879" s="45">
        <v>5.0999999999999996</v>
      </c>
      <c r="D879" s="45">
        <v>12061</v>
      </c>
      <c r="E879" s="45">
        <v>2021</v>
      </c>
      <c r="F879" s="48" t="str">
        <f t="shared" si="13"/>
        <v>In the Earth : Rating 5.1,  Released in 2021</v>
      </c>
    </row>
    <row r="880" spans="1:6" x14ac:dyDescent="0.35">
      <c r="A880" s="45" t="s">
        <v>416</v>
      </c>
      <c r="B880" s="45" t="s">
        <v>193</v>
      </c>
      <c r="C880" s="45">
        <v>3.6</v>
      </c>
      <c r="D880" s="45">
        <v>20763</v>
      </c>
      <c r="E880" s="45">
        <v>2021</v>
      </c>
      <c r="F880" s="48" t="str">
        <f t="shared" si="13"/>
        <v>Home Sweet Home Alone : Rating 3.6,  Released in 2021</v>
      </c>
    </row>
    <row r="881" spans="1:6" x14ac:dyDescent="0.35">
      <c r="A881" s="45" t="s">
        <v>863</v>
      </c>
      <c r="B881" s="45" t="s">
        <v>116</v>
      </c>
      <c r="C881" s="45">
        <v>4.4000000000000004</v>
      </c>
      <c r="D881" s="45">
        <v>29652</v>
      </c>
      <c r="E881" s="45">
        <v>2021</v>
      </c>
      <c r="F881" s="48" t="str">
        <f t="shared" si="13"/>
        <v>He's All That : Rating 4.4,  Released in 2021</v>
      </c>
    </row>
    <row r="882" spans="1:6" x14ac:dyDescent="0.35">
      <c r="A882" s="45" t="s">
        <v>334</v>
      </c>
      <c r="B882" s="45" t="s">
        <v>335</v>
      </c>
      <c r="C882" s="45">
        <v>3.3</v>
      </c>
      <c r="D882" s="45">
        <v>12139</v>
      </c>
      <c r="E882" s="45">
        <v>2021</v>
      </c>
      <c r="F882" s="48" t="str">
        <f t="shared" si="13"/>
        <v>First Signal : Rating 3.3,  Released in 2021</v>
      </c>
    </row>
    <row r="883" spans="1:6" x14ac:dyDescent="0.35">
      <c r="A883" s="45" t="s">
        <v>2111</v>
      </c>
      <c r="B883" s="45" t="s">
        <v>101</v>
      </c>
      <c r="C883" s="45">
        <v>5.2</v>
      </c>
      <c r="D883" s="45">
        <v>166852</v>
      </c>
      <c r="E883" s="45">
        <v>2021</v>
      </c>
      <c r="F883" s="48" t="str">
        <f t="shared" si="13"/>
        <v>F9: The Fast Saga : Rating 5.2,  Released in 2021</v>
      </c>
    </row>
    <row r="884" spans="1:6" x14ac:dyDescent="0.35">
      <c r="A884" s="45" t="s">
        <v>679</v>
      </c>
      <c r="B884" s="45" t="s">
        <v>584</v>
      </c>
      <c r="C884" s="45">
        <v>4.0999999999999996</v>
      </c>
      <c r="D884" s="45">
        <v>11634</v>
      </c>
      <c r="E884" s="45">
        <v>2021</v>
      </c>
      <c r="F884" s="48" t="str">
        <f t="shared" si="13"/>
        <v>Diverged : Rating 4.1,  Released in 2021</v>
      </c>
    </row>
    <row r="885" spans="1:6" x14ac:dyDescent="0.35">
      <c r="A885" s="45" t="s">
        <v>507</v>
      </c>
      <c r="B885" s="45" t="s">
        <v>508</v>
      </c>
      <c r="C885" s="45">
        <v>3.8</v>
      </c>
      <c r="D885" s="45">
        <v>13929</v>
      </c>
      <c r="E885" s="45">
        <v>2021</v>
      </c>
      <c r="F885" s="48" t="str">
        <f t="shared" si="13"/>
        <v>Deadly Illusions : Rating 3.8,  Released in 2021</v>
      </c>
    </row>
    <row r="886" spans="1:6" x14ac:dyDescent="0.35">
      <c r="A886" s="45" t="s">
        <v>171</v>
      </c>
      <c r="B886" s="45" t="s">
        <v>172</v>
      </c>
      <c r="C886" s="45">
        <v>2.5</v>
      </c>
      <c r="D886" s="45">
        <v>15382</v>
      </c>
      <c r="E886" s="45">
        <v>2021</v>
      </c>
      <c r="F886" s="48" t="str">
        <f t="shared" si="13"/>
        <v>Cosmic Sin : Rating 2.5,  Released in 2021</v>
      </c>
    </row>
    <row r="887" spans="1:6" x14ac:dyDescent="0.35">
      <c r="A887" s="45" t="s">
        <v>840</v>
      </c>
      <c r="B887" s="45" t="s">
        <v>140</v>
      </c>
      <c r="C887" s="45">
        <v>4.4000000000000004</v>
      </c>
      <c r="D887" s="45">
        <v>47835</v>
      </c>
      <c r="E887" s="45">
        <v>2021</v>
      </c>
      <c r="F887" s="48" t="str">
        <f t="shared" si="13"/>
        <v>Cinderella : Rating 4.4,  Released in 2021</v>
      </c>
    </row>
    <row r="888" spans="1:6" x14ac:dyDescent="0.35">
      <c r="A888" s="45" t="s">
        <v>708</v>
      </c>
      <c r="B888" s="45" t="s">
        <v>709</v>
      </c>
      <c r="C888" s="45">
        <v>4.2</v>
      </c>
      <c r="D888" s="45">
        <v>25030</v>
      </c>
      <c r="E888" s="45">
        <v>2021</v>
      </c>
      <c r="F888" s="48" t="str">
        <f t="shared" si="13"/>
        <v>Bhuj: The Pride of India : Rating 4.2,  Released in 2021</v>
      </c>
    </row>
    <row r="889" spans="1:6" x14ac:dyDescent="0.35">
      <c r="A889" s="45" t="s">
        <v>1588</v>
      </c>
      <c r="B889" s="45" t="s">
        <v>93</v>
      </c>
      <c r="C889" s="45">
        <v>4.9000000000000004</v>
      </c>
      <c r="D889" s="45">
        <v>26968</v>
      </c>
      <c r="E889" s="45">
        <v>2021</v>
      </c>
      <c r="F889" s="48" t="str">
        <f t="shared" si="13"/>
        <v>Awake : Rating 4.9,  Released in 2021</v>
      </c>
    </row>
    <row r="890" spans="1:6" x14ac:dyDescent="0.35">
      <c r="A890" s="45" t="s">
        <v>624</v>
      </c>
      <c r="B890" s="45" t="s">
        <v>125</v>
      </c>
      <c r="C890" s="45">
        <v>4</v>
      </c>
      <c r="D890" s="45">
        <v>10894</v>
      </c>
      <c r="E890" s="45">
        <v>2021</v>
      </c>
      <c r="F890" s="48" t="str">
        <f t="shared" si="13"/>
        <v>Annaatthe : Rating 4,  Released in 2021</v>
      </c>
    </row>
    <row r="891" spans="1:6" x14ac:dyDescent="0.35">
      <c r="A891" s="45" t="s">
        <v>820</v>
      </c>
      <c r="B891" s="45" t="s">
        <v>56</v>
      </c>
      <c r="C891" s="45">
        <v>4.3</v>
      </c>
      <c r="D891" s="45">
        <v>10914</v>
      </c>
      <c r="E891" s="45">
        <v>2021</v>
      </c>
      <c r="F891" s="48" t="str">
        <f t="shared" si="13"/>
        <v>American Sicario : Rating 4.3,  Released in 2021</v>
      </c>
    </row>
    <row r="892" spans="1:6" x14ac:dyDescent="0.35">
      <c r="A892" s="45" t="s">
        <v>1409</v>
      </c>
      <c r="B892" s="45" t="s">
        <v>208</v>
      </c>
      <c r="C892" s="45">
        <v>4.8</v>
      </c>
      <c r="D892" s="45">
        <v>21536</v>
      </c>
      <c r="E892" s="45">
        <v>2021</v>
      </c>
      <c r="F892" s="48" t="str">
        <f t="shared" si="13"/>
        <v>After We Fell : Rating 4.8,  Released in 2021</v>
      </c>
    </row>
    <row r="893" spans="1:6" x14ac:dyDescent="0.35">
      <c r="A893" s="45" t="s">
        <v>33</v>
      </c>
      <c r="B893" s="45" t="s">
        <v>34</v>
      </c>
      <c r="C893" s="45">
        <v>1.2</v>
      </c>
      <c r="D893" s="45">
        <v>20687</v>
      </c>
      <c r="E893" s="45">
        <v>2021</v>
      </c>
      <c r="F893" s="48" t="str">
        <f t="shared" si="13"/>
        <v>15/07: Break of Dawn : Rating 1.2,  Released in 2021</v>
      </c>
    </row>
    <row r="894" spans="1:6" x14ac:dyDescent="0.35">
      <c r="A894" s="45" t="s">
        <v>1307</v>
      </c>
      <c r="B894" s="45" t="s">
        <v>565</v>
      </c>
      <c r="C894" s="45">
        <v>4.7</v>
      </c>
      <c r="D894" s="45">
        <v>10960</v>
      </c>
      <c r="E894" s="45">
        <v>2022</v>
      </c>
      <c r="F894" s="48" t="str">
        <f t="shared" si="13"/>
        <v>Umma : Rating 4.7,  Released in 2022</v>
      </c>
    </row>
    <row r="895" spans="1:6" x14ac:dyDescent="0.35">
      <c r="A895" s="45" t="s">
        <v>616</v>
      </c>
      <c r="B895" s="45" t="s">
        <v>565</v>
      </c>
      <c r="C895" s="45">
        <v>4</v>
      </c>
      <c r="D895" s="45">
        <v>12380</v>
      </c>
      <c r="E895" s="45">
        <v>2022</v>
      </c>
      <c r="F895" s="48" t="str">
        <f t="shared" si="13"/>
        <v>They/Them : Rating 4,  Released in 2022</v>
      </c>
    </row>
    <row r="896" spans="1:6" x14ac:dyDescent="0.35">
      <c r="A896" s="45" t="s">
        <v>1564</v>
      </c>
      <c r="B896" s="45" t="s">
        <v>93</v>
      </c>
      <c r="C896" s="45">
        <v>4.9000000000000004</v>
      </c>
      <c r="D896" s="45">
        <v>45846</v>
      </c>
      <c r="E896" s="45">
        <v>2022</v>
      </c>
      <c r="F896" s="48" t="str">
        <f t="shared" si="13"/>
        <v>The Witcher: Blood Origin : Rating 4.9,  Released in 2022</v>
      </c>
    </row>
    <row r="897" spans="1:6" x14ac:dyDescent="0.35">
      <c r="A897" s="45" t="s">
        <v>142</v>
      </c>
      <c r="B897" s="45" t="s">
        <v>143</v>
      </c>
      <c r="C897" s="45">
        <v>2.2999999999999998</v>
      </c>
      <c r="D897" s="45">
        <v>43439</v>
      </c>
      <c r="E897" s="45">
        <v>2022</v>
      </c>
      <c r="F897" s="48" t="str">
        <f t="shared" si="13"/>
        <v>The Prototype : Rating 2.3,  Released in 2022</v>
      </c>
    </row>
    <row r="898" spans="1:6" x14ac:dyDescent="0.35">
      <c r="A898" s="45" t="s">
        <v>16</v>
      </c>
      <c r="B898" s="45" t="s">
        <v>17</v>
      </c>
      <c r="C898" s="45">
        <v>1.1000000000000001</v>
      </c>
      <c r="D898" s="45">
        <v>13805</v>
      </c>
      <c r="E898" s="45">
        <v>2022</v>
      </c>
      <c r="F898" s="48" t="str">
        <f t="shared" ref="F898:F961" si="14">_xlfn.CONCAT(TRIM(A898)," ", ": Rating"," ",C898,",","  ","Released in", " ",E898)</f>
        <v>The Pogmentary : Rating 1.1,  Released in 2022</v>
      </c>
    </row>
    <row r="899" spans="1:6" x14ac:dyDescent="0.35">
      <c r="A899" s="45" t="s">
        <v>238</v>
      </c>
      <c r="B899" s="45" t="s">
        <v>208</v>
      </c>
      <c r="C899" s="45">
        <v>2.8</v>
      </c>
      <c r="D899" s="45">
        <v>10728</v>
      </c>
      <c r="E899" s="45">
        <v>2022</v>
      </c>
      <c r="F899" s="48" t="str">
        <f t="shared" si="14"/>
        <v>The Next 365 Days : Rating 2.8,  Released in 2022</v>
      </c>
    </row>
    <row r="900" spans="1:6" x14ac:dyDescent="0.35">
      <c r="A900" s="45" t="s">
        <v>1006</v>
      </c>
      <c r="B900" s="45" t="s">
        <v>140</v>
      </c>
      <c r="C900" s="45">
        <v>4.5</v>
      </c>
      <c r="D900" s="45">
        <v>12066</v>
      </c>
      <c r="E900" s="45">
        <v>2022</v>
      </c>
      <c r="F900" s="48" t="str">
        <f t="shared" si="14"/>
        <v>The Munsters : Rating 4.5,  Released in 2022</v>
      </c>
    </row>
    <row r="901" spans="1:6" x14ac:dyDescent="0.35">
      <c r="A901" s="45" t="s">
        <v>1582</v>
      </c>
      <c r="B901" s="45" t="s">
        <v>190</v>
      </c>
      <c r="C901" s="45">
        <v>4.9000000000000004</v>
      </c>
      <c r="D901" s="45">
        <v>29411</v>
      </c>
      <c r="E901" s="45">
        <v>2022</v>
      </c>
      <c r="F901" s="48" t="str">
        <f t="shared" si="14"/>
        <v>The Legend : Rating 4.9,  Released in 2022</v>
      </c>
    </row>
    <row r="902" spans="1:6" x14ac:dyDescent="0.35">
      <c r="A902" s="45" t="s">
        <v>793</v>
      </c>
      <c r="B902" s="45" t="s">
        <v>65</v>
      </c>
      <c r="C902" s="45">
        <v>4.3</v>
      </c>
      <c r="D902" s="45">
        <v>17381</v>
      </c>
      <c r="E902" s="45">
        <v>2022</v>
      </c>
      <c r="F902" s="48" t="str">
        <f t="shared" si="14"/>
        <v>The Ice Age Adventures of Buck Wild : Rating 4.3,  Released in 2022</v>
      </c>
    </row>
    <row r="903" spans="1:6" x14ac:dyDescent="0.35">
      <c r="A903" s="45" t="s">
        <v>1217</v>
      </c>
      <c r="B903" s="45" t="s">
        <v>11</v>
      </c>
      <c r="C903" s="45">
        <v>4.7</v>
      </c>
      <c r="D903" s="45">
        <v>29113</v>
      </c>
      <c r="E903" s="45">
        <v>2022</v>
      </c>
      <c r="F903" s="48" t="str">
        <f t="shared" si="14"/>
        <v>The Bubble : Rating 4.7,  Released in 2022</v>
      </c>
    </row>
    <row r="904" spans="1:6" x14ac:dyDescent="0.35">
      <c r="A904" s="45" t="s">
        <v>1170</v>
      </c>
      <c r="B904" s="45" t="s">
        <v>352</v>
      </c>
      <c r="C904" s="45">
        <v>4.7</v>
      </c>
      <c r="D904" s="45">
        <v>64356</v>
      </c>
      <c r="E904" s="45">
        <v>2022</v>
      </c>
      <c r="F904" s="48" t="str">
        <f t="shared" si="14"/>
        <v>Texas Chainsaw Massacre : Rating 4.7,  Released in 2022</v>
      </c>
    </row>
    <row r="905" spans="1:6" x14ac:dyDescent="0.35">
      <c r="A905" s="45" t="s">
        <v>1435</v>
      </c>
      <c r="B905" s="45" t="s">
        <v>448</v>
      </c>
      <c r="C905" s="45">
        <v>4.8</v>
      </c>
      <c r="D905" s="45">
        <v>17348</v>
      </c>
      <c r="E905" s="45">
        <v>2022</v>
      </c>
      <c r="F905" s="48" t="str">
        <f t="shared" si="14"/>
        <v>Skinamarink : Rating 4.8,  Released in 2022</v>
      </c>
    </row>
    <row r="906" spans="1:6" x14ac:dyDescent="0.35">
      <c r="A906" s="45" t="s">
        <v>1226</v>
      </c>
      <c r="B906" s="45" t="s">
        <v>508</v>
      </c>
      <c r="C906" s="45">
        <v>4.7</v>
      </c>
      <c r="D906" s="45">
        <v>26511</v>
      </c>
      <c r="E906" s="45">
        <v>2022</v>
      </c>
      <c r="F906" s="48" t="str">
        <f t="shared" si="14"/>
        <v>Sins of the Father : Rating 4.7,  Released in 2022</v>
      </c>
    </row>
    <row r="907" spans="1:6" x14ac:dyDescent="0.35">
      <c r="A907" s="45" t="s">
        <v>2103</v>
      </c>
      <c r="B907" s="45" t="s">
        <v>178</v>
      </c>
      <c r="C907" s="45">
        <v>5.2</v>
      </c>
      <c r="D907" s="45">
        <v>195388</v>
      </c>
      <c r="E907" s="45">
        <v>2022</v>
      </c>
      <c r="F907" s="48" t="str">
        <f t="shared" si="14"/>
        <v>She-Hulk: Attorney at Law : Rating 5.2,  Released in 2022</v>
      </c>
    </row>
    <row r="908" spans="1:6" x14ac:dyDescent="0.35">
      <c r="A908" s="45" t="s">
        <v>1176</v>
      </c>
      <c r="B908" s="45" t="s">
        <v>93</v>
      </c>
      <c r="C908" s="45">
        <v>4.7</v>
      </c>
      <c r="D908" s="45">
        <v>57367</v>
      </c>
      <c r="E908" s="45">
        <v>2022</v>
      </c>
      <c r="F908" s="48" t="str">
        <f t="shared" si="14"/>
        <v>Shamshera : Rating 4.7,  Released in 2022</v>
      </c>
    </row>
    <row r="909" spans="1:6" x14ac:dyDescent="0.35">
      <c r="A909" s="45" t="s">
        <v>697</v>
      </c>
      <c r="B909" s="45" t="s">
        <v>155</v>
      </c>
      <c r="C909" s="45">
        <v>4.2</v>
      </c>
      <c r="D909" s="45">
        <v>46900</v>
      </c>
      <c r="E909" s="45">
        <v>2022</v>
      </c>
      <c r="F909" s="48" t="str">
        <f t="shared" si="14"/>
        <v>Resident Evil : Rating 4.2,  Released in 2022</v>
      </c>
    </row>
    <row r="910" spans="1:6" x14ac:dyDescent="0.35">
      <c r="A910" s="45" t="s">
        <v>1897</v>
      </c>
      <c r="B910" s="45" t="s">
        <v>549</v>
      </c>
      <c r="C910" s="45">
        <v>5.0999999999999996</v>
      </c>
      <c r="D910" s="45">
        <v>43252</v>
      </c>
      <c r="E910" s="45">
        <v>2022</v>
      </c>
      <c r="F910" s="48" t="str">
        <f t="shared" si="14"/>
        <v>Pinocchio : Rating 5.1,  Released in 2022</v>
      </c>
    </row>
    <row r="911" spans="1:6" x14ac:dyDescent="0.35">
      <c r="A911" s="45" t="s">
        <v>2002</v>
      </c>
      <c r="B911" s="45" t="s">
        <v>2003</v>
      </c>
      <c r="C911" s="45">
        <v>5.0999999999999996</v>
      </c>
      <c r="D911" s="45">
        <v>16206</v>
      </c>
      <c r="E911" s="45">
        <v>2022</v>
      </c>
      <c r="F911" s="48" t="str">
        <f t="shared" si="14"/>
        <v>No War : Rating 5.1,  Released in 2022</v>
      </c>
    </row>
    <row r="912" spans="1:6" x14ac:dyDescent="0.35">
      <c r="A912" s="45" t="s">
        <v>1850</v>
      </c>
      <c r="B912" s="45" t="s">
        <v>122</v>
      </c>
      <c r="C912" s="45">
        <v>5.0999999999999996</v>
      </c>
      <c r="D912" s="45">
        <v>158856</v>
      </c>
      <c r="E912" s="45">
        <v>2022</v>
      </c>
      <c r="F912" s="48" t="str">
        <f t="shared" si="14"/>
        <v>Morbius : Rating 5.1,  Released in 2022</v>
      </c>
    </row>
    <row r="913" spans="1:6" x14ac:dyDescent="0.35">
      <c r="A913" s="45" t="s">
        <v>1862</v>
      </c>
      <c r="B913" s="45" t="s">
        <v>163</v>
      </c>
      <c r="C913" s="45">
        <v>5.0999999999999996</v>
      </c>
      <c r="D913" s="45">
        <v>103225</v>
      </c>
      <c r="E913" s="45">
        <v>2022</v>
      </c>
      <c r="F913" s="48" t="str">
        <f t="shared" si="14"/>
        <v>Moonfall : Rating 5.1,  Released in 2022</v>
      </c>
    </row>
    <row r="914" spans="1:6" x14ac:dyDescent="0.35">
      <c r="A914" s="45" t="s">
        <v>1902</v>
      </c>
      <c r="B914" s="45" t="s">
        <v>11</v>
      </c>
      <c r="C914" s="45">
        <v>5.0999999999999996</v>
      </c>
      <c r="D914" s="45">
        <v>41961</v>
      </c>
      <c r="E914" s="45">
        <v>2022</v>
      </c>
      <c r="F914" s="48" t="str">
        <f t="shared" si="14"/>
        <v>Me Time : Rating 5.1,  Released in 2022</v>
      </c>
    </row>
    <row r="915" spans="1:6" x14ac:dyDescent="0.35">
      <c r="A915" s="45" t="s">
        <v>503</v>
      </c>
      <c r="B915" s="45" t="s">
        <v>8</v>
      </c>
      <c r="C915" s="45">
        <v>3.8</v>
      </c>
      <c r="D915" s="45">
        <v>15745</v>
      </c>
      <c r="E915" s="45">
        <v>2022</v>
      </c>
      <c r="F915" s="48" t="str">
        <f t="shared" si="14"/>
        <v>Maid in MalacaÃ±ang : Rating 3.8,  Released in 2022</v>
      </c>
    </row>
    <row r="916" spans="1:6" x14ac:dyDescent="0.35">
      <c r="A916" s="45" t="s">
        <v>189</v>
      </c>
      <c r="B916" s="45" t="s">
        <v>190</v>
      </c>
      <c r="C916" s="45">
        <v>2.6</v>
      </c>
      <c r="D916" s="45">
        <v>47934</v>
      </c>
      <c r="E916" s="45">
        <v>2022</v>
      </c>
      <c r="F916" s="48" t="str">
        <f t="shared" si="14"/>
        <v>Liger : Rating 2.6,  Released in 2022</v>
      </c>
    </row>
    <row r="917" spans="1:6" x14ac:dyDescent="0.35">
      <c r="A917" s="45" t="s">
        <v>1145</v>
      </c>
      <c r="B917" s="45" t="s">
        <v>82</v>
      </c>
      <c r="C917" s="45">
        <v>4.5999999999999996</v>
      </c>
      <c r="D917" s="45">
        <v>10942</v>
      </c>
      <c r="E917" s="45">
        <v>2022</v>
      </c>
      <c r="F917" s="48" t="str">
        <f t="shared" si="14"/>
        <v>Last the Night : Rating 4.6,  Released in 2022</v>
      </c>
    </row>
    <row r="918" spans="1:6" x14ac:dyDescent="0.35">
      <c r="A918" s="45" t="s">
        <v>1465</v>
      </c>
      <c r="B918" s="45" t="s">
        <v>178</v>
      </c>
      <c r="C918" s="45">
        <v>4.8</v>
      </c>
      <c r="D918" s="45">
        <v>13382</v>
      </c>
      <c r="E918" s="45">
        <v>2022</v>
      </c>
      <c r="F918" s="48" t="str">
        <f t="shared" si="14"/>
        <v>Just Jen : Rating 4.8,  Released in 2022</v>
      </c>
    </row>
    <row r="919" spans="1:6" x14ac:dyDescent="0.35">
      <c r="A919" s="45" t="s">
        <v>174</v>
      </c>
      <c r="B919" s="45" t="s">
        <v>175</v>
      </c>
      <c r="C919" s="45">
        <v>2.5</v>
      </c>
      <c r="D919" s="45">
        <v>15339</v>
      </c>
      <c r="E919" s="45">
        <v>2022</v>
      </c>
      <c r="F919" s="48" t="str">
        <f t="shared" si="14"/>
        <v>Jeepers Creepers: Reborn : Rating 2.5,  Released in 2022</v>
      </c>
    </row>
    <row r="920" spans="1:6" x14ac:dyDescent="0.35">
      <c r="A920" s="45" t="s">
        <v>1224</v>
      </c>
      <c r="B920" s="45" t="s">
        <v>93</v>
      </c>
      <c r="C920" s="45">
        <v>4.7</v>
      </c>
      <c r="D920" s="45">
        <v>27979</v>
      </c>
      <c r="E920" s="45">
        <v>2022</v>
      </c>
      <c r="F920" s="48" t="str">
        <f t="shared" si="14"/>
        <v>Interceptor : Rating 4.7,  Released in 2022</v>
      </c>
    </row>
    <row r="921" spans="1:6" x14ac:dyDescent="0.35">
      <c r="A921" s="45" t="s">
        <v>145</v>
      </c>
      <c r="B921" s="45" t="s">
        <v>146</v>
      </c>
      <c r="C921" s="45">
        <v>2.2999999999999998</v>
      </c>
      <c r="D921" s="45">
        <v>27734</v>
      </c>
      <c r="E921" s="45">
        <v>2022</v>
      </c>
      <c r="F921" s="48" t="str">
        <f t="shared" si="14"/>
        <v>Heropanti 2 : Rating 2.3,  Released in 2022</v>
      </c>
    </row>
    <row r="922" spans="1:6" x14ac:dyDescent="0.35">
      <c r="A922" s="45" t="s">
        <v>1946</v>
      </c>
      <c r="B922" s="45" t="s">
        <v>1947</v>
      </c>
      <c r="C922" s="45">
        <v>5.0999999999999996</v>
      </c>
      <c r="D922" s="45">
        <v>23649</v>
      </c>
      <c r="E922" s="45">
        <v>2022</v>
      </c>
      <c r="F922" s="48" t="str">
        <f t="shared" si="14"/>
        <v>Harry &amp; Meghan : Rating 5.1,  Released in 2022</v>
      </c>
    </row>
    <row r="923" spans="1:6" x14ac:dyDescent="0.35">
      <c r="A923" s="45" t="s">
        <v>1689</v>
      </c>
      <c r="B923" s="45" t="s">
        <v>565</v>
      </c>
      <c r="C923" s="45">
        <v>5</v>
      </c>
      <c r="D923" s="45">
        <v>75937</v>
      </c>
      <c r="E923" s="45">
        <v>2022</v>
      </c>
      <c r="F923" s="48" t="str">
        <f t="shared" si="14"/>
        <v>Halloween Ends : Rating 5,  Released in 2022</v>
      </c>
    </row>
    <row r="924" spans="1:6" x14ac:dyDescent="0.35">
      <c r="A924" s="45" t="s">
        <v>22</v>
      </c>
      <c r="B924" s="45" t="s">
        <v>23</v>
      </c>
      <c r="C924" s="45">
        <v>1.1000000000000001</v>
      </c>
      <c r="D924" s="45">
        <v>11177</v>
      </c>
      <c r="E924" s="45">
        <v>2022</v>
      </c>
      <c r="F924" s="48" t="str">
        <f t="shared" si="14"/>
        <v>Golden Bull : Rating 1.1,  Released in 2022</v>
      </c>
    </row>
    <row r="925" spans="1:6" x14ac:dyDescent="0.35">
      <c r="A925" s="45" t="s">
        <v>1074</v>
      </c>
      <c r="B925" s="45" t="s">
        <v>1075</v>
      </c>
      <c r="C925" s="45">
        <v>4.5999999999999996</v>
      </c>
      <c r="D925" s="45">
        <v>23801</v>
      </c>
      <c r="E925" s="45">
        <v>2022</v>
      </c>
      <c r="F925" s="48" t="str">
        <f t="shared" si="14"/>
        <v>Firestarter : Rating 4.6,  Released in 2022</v>
      </c>
    </row>
    <row r="926" spans="1:6" x14ac:dyDescent="0.35">
      <c r="A926" s="45" t="s">
        <v>127</v>
      </c>
      <c r="B926" s="45" t="s">
        <v>128</v>
      </c>
      <c r="C926" s="45">
        <v>2.2000000000000002</v>
      </c>
      <c r="D926" s="45">
        <v>18999</v>
      </c>
      <c r="E926" s="45">
        <v>2022</v>
      </c>
      <c r="F926" s="48" t="str">
        <f t="shared" si="14"/>
        <v>Final Draft : Rating 2.2,  Released in 2022</v>
      </c>
    </row>
    <row r="927" spans="1:6" x14ac:dyDescent="0.35">
      <c r="A927" s="45" t="s">
        <v>895</v>
      </c>
      <c r="B927" s="45" t="s">
        <v>896</v>
      </c>
      <c r="C927" s="45">
        <v>4.4000000000000004</v>
      </c>
      <c r="D927" s="45">
        <v>15885</v>
      </c>
      <c r="E927" s="45">
        <v>2022</v>
      </c>
      <c r="F927" s="48" t="str">
        <f t="shared" si="14"/>
        <v>Ek Villain Returns : Rating 4.4,  Released in 2022</v>
      </c>
    </row>
    <row r="928" spans="1:6" x14ac:dyDescent="0.35">
      <c r="A928" s="45" t="s">
        <v>1603</v>
      </c>
      <c r="B928" s="45" t="s">
        <v>1422</v>
      </c>
      <c r="C928" s="45">
        <v>4.9000000000000004</v>
      </c>
      <c r="D928" s="45">
        <v>21157</v>
      </c>
      <c r="E928" s="45">
        <v>2022</v>
      </c>
      <c r="F928" s="48" t="str">
        <f t="shared" si="14"/>
        <v>Dobaaraa : Rating 4.9,  Released in 2022</v>
      </c>
    </row>
    <row r="929" spans="1:6" x14ac:dyDescent="0.35">
      <c r="A929" s="45" t="s">
        <v>514</v>
      </c>
      <c r="B929" s="45" t="s">
        <v>294</v>
      </c>
      <c r="C929" s="45">
        <v>3.8</v>
      </c>
      <c r="D929" s="45">
        <v>12159</v>
      </c>
      <c r="E929" s="45">
        <v>2022</v>
      </c>
      <c r="F929" s="48" t="str">
        <f t="shared" si="14"/>
        <v>Dhaakad : Rating 3.8,  Released in 2022</v>
      </c>
    </row>
    <row r="930" spans="1:6" x14ac:dyDescent="0.35">
      <c r="A930" s="45" t="s">
        <v>772</v>
      </c>
      <c r="B930" s="45" t="s">
        <v>646</v>
      </c>
      <c r="C930" s="45">
        <v>4.3</v>
      </c>
      <c r="D930" s="45">
        <v>23940</v>
      </c>
      <c r="E930" s="45">
        <v>2022</v>
      </c>
      <c r="F930" s="48" t="str">
        <f t="shared" si="14"/>
        <v>Cirkus : Rating 4.3,  Released in 2022</v>
      </c>
    </row>
    <row r="931" spans="1:6" x14ac:dyDescent="0.35">
      <c r="A931" s="45" t="s">
        <v>1382</v>
      </c>
      <c r="B931" s="45" t="s">
        <v>584</v>
      </c>
      <c r="C931" s="45">
        <v>4.8</v>
      </c>
      <c r="D931" s="45">
        <v>26839</v>
      </c>
      <c r="E931" s="45">
        <v>2022</v>
      </c>
      <c r="F931" s="48" t="str">
        <f t="shared" si="14"/>
        <v>Choose or Die : Rating 4.8,  Released in 2022</v>
      </c>
    </row>
    <row r="932" spans="1:6" x14ac:dyDescent="0.35">
      <c r="A932" s="45" t="s">
        <v>2097</v>
      </c>
      <c r="B932" s="45" t="s">
        <v>294</v>
      </c>
      <c r="C932" s="45">
        <v>5.0999999999999996</v>
      </c>
      <c r="D932" s="45">
        <v>10165</v>
      </c>
      <c r="E932" s="45">
        <v>2022</v>
      </c>
      <c r="F932" s="48" t="str">
        <f t="shared" si="14"/>
        <v>Carter : Rating 5.1,  Released in 2022</v>
      </c>
    </row>
    <row r="933" spans="1:6" x14ac:dyDescent="0.35">
      <c r="A933" s="45" t="s">
        <v>729</v>
      </c>
      <c r="B933" s="45" t="s">
        <v>508</v>
      </c>
      <c r="C933" s="45">
        <v>4.2</v>
      </c>
      <c r="D933" s="45">
        <v>14029</v>
      </c>
      <c r="E933" s="45">
        <v>2022</v>
      </c>
      <c r="F933" s="48" t="str">
        <f t="shared" si="14"/>
        <v>Brazen : Rating 4.2,  Released in 2022</v>
      </c>
    </row>
    <row r="934" spans="1:6" x14ac:dyDescent="0.35">
      <c r="A934" s="45" t="s">
        <v>1388</v>
      </c>
      <c r="B934" s="45" t="s">
        <v>568</v>
      </c>
      <c r="C934" s="45">
        <v>4.8</v>
      </c>
      <c r="D934" s="45">
        <v>25593</v>
      </c>
      <c r="E934" s="45">
        <v>2022</v>
      </c>
      <c r="F934" s="48" t="str">
        <f t="shared" si="14"/>
        <v>Blacklight : Rating 4.8,  Released in 2022</v>
      </c>
    </row>
    <row r="935" spans="1:6" x14ac:dyDescent="0.35">
      <c r="A935" s="45" t="s">
        <v>2183</v>
      </c>
      <c r="B935" s="45" t="s">
        <v>146</v>
      </c>
      <c r="C935" s="45">
        <v>5.2</v>
      </c>
      <c r="D935" s="45">
        <v>37368</v>
      </c>
      <c r="E935" s="45">
        <v>2022</v>
      </c>
      <c r="F935" s="48" t="str">
        <f t="shared" si="14"/>
        <v>Beast : Rating 5.2,  Released in 2022</v>
      </c>
    </row>
    <row r="936" spans="1:6" x14ac:dyDescent="0.35">
      <c r="A936" s="45" t="s">
        <v>1716</v>
      </c>
      <c r="B936" s="45" t="s">
        <v>146</v>
      </c>
      <c r="C936" s="45">
        <v>5</v>
      </c>
      <c r="D936" s="45">
        <v>36822</v>
      </c>
      <c r="E936" s="45">
        <v>2022</v>
      </c>
      <c r="F936" s="48" t="str">
        <f t="shared" si="14"/>
        <v>Bachchhan Paandey : Rating 5,  Released in 2022</v>
      </c>
    </row>
    <row r="937" spans="1:6" x14ac:dyDescent="0.35">
      <c r="A937" s="45" t="s">
        <v>1291</v>
      </c>
      <c r="B937" s="45" t="s">
        <v>208</v>
      </c>
      <c r="C937" s="45">
        <v>4.7</v>
      </c>
      <c r="D937" s="45">
        <v>12438</v>
      </c>
      <c r="E937" s="45">
        <v>2022</v>
      </c>
      <c r="F937" s="48" t="str">
        <f t="shared" si="14"/>
        <v>After Ever Happy : Rating 4.7,  Released in 2022</v>
      </c>
    </row>
    <row r="938" spans="1:6" x14ac:dyDescent="0.35">
      <c r="A938" s="45" t="s">
        <v>207</v>
      </c>
      <c r="B938" s="45" t="s">
        <v>208</v>
      </c>
      <c r="C938" s="45">
        <v>2.7</v>
      </c>
      <c r="D938" s="45">
        <v>25301</v>
      </c>
      <c r="E938" s="45">
        <v>2022</v>
      </c>
      <c r="F938" s="48" t="str">
        <f t="shared" si="14"/>
        <v>365 Days: This Day : Rating 2.7,  Released in 2022</v>
      </c>
    </row>
    <row r="939" spans="1:6" x14ac:dyDescent="0.35">
      <c r="A939" s="45" t="s">
        <v>2081</v>
      </c>
      <c r="B939" s="45" t="s">
        <v>467</v>
      </c>
      <c r="C939" s="45">
        <v>5.0999999999999996</v>
      </c>
      <c r="D939" s="45">
        <v>10359</v>
      </c>
      <c r="E939" s="45">
        <v>2022</v>
      </c>
      <c r="F939" s="48" t="str">
        <f t="shared" si="14"/>
        <v>2000 Mules : Rating 5.1,  Released in 2022</v>
      </c>
    </row>
    <row r="940" spans="1:6" x14ac:dyDescent="0.35">
      <c r="A940" s="45" t="s">
        <v>2059</v>
      </c>
      <c r="B940" s="45" t="s">
        <v>759</v>
      </c>
      <c r="C940" s="45">
        <v>5.0999999999999996</v>
      </c>
      <c r="D940" s="45">
        <v>11639</v>
      </c>
      <c r="E940" s="45">
        <v>2023</v>
      </c>
      <c r="F940" s="48" t="str">
        <f t="shared" si="14"/>
        <v>Yaariyan 2 : Rating 5.1,  Released in 2023</v>
      </c>
    </row>
    <row r="941" spans="1:6" x14ac:dyDescent="0.35">
      <c r="A941" s="45" t="s">
        <v>251</v>
      </c>
      <c r="B941" s="45" t="s">
        <v>76</v>
      </c>
      <c r="C941" s="45">
        <v>2.9</v>
      </c>
      <c r="D941" s="45">
        <v>31766</v>
      </c>
      <c r="E941" s="45">
        <v>2023</v>
      </c>
      <c r="F941" s="48" t="str">
        <f t="shared" si="14"/>
        <v>Winnie-the-Pooh: Blood and Honey : Rating 2.9,  Released in 2023</v>
      </c>
    </row>
    <row r="942" spans="1:6" x14ac:dyDescent="0.35">
      <c r="A942" s="45" t="s">
        <v>64</v>
      </c>
      <c r="B942" s="45" t="s">
        <v>65</v>
      </c>
      <c r="C942" s="45">
        <v>1.6</v>
      </c>
      <c r="D942" s="45">
        <v>79558</v>
      </c>
      <c r="E942" s="45">
        <v>2023</v>
      </c>
      <c r="F942" s="48" t="str">
        <f t="shared" si="14"/>
        <v>Velma : Rating 1.6,  Released in 2023</v>
      </c>
    </row>
    <row r="943" spans="1:6" x14ac:dyDescent="0.35">
      <c r="A943" s="45" t="s">
        <v>1648</v>
      </c>
      <c r="B943" s="45" t="s">
        <v>846</v>
      </c>
      <c r="C943" s="45">
        <v>4.9000000000000004</v>
      </c>
      <c r="D943" s="45">
        <v>12479</v>
      </c>
      <c r="E943" s="45">
        <v>2023</v>
      </c>
      <c r="F943" s="48" t="str">
        <f t="shared" si="14"/>
        <v>The Strays : Rating 4.9,  Released in 2023</v>
      </c>
    </row>
    <row r="944" spans="1:6" x14ac:dyDescent="0.35">
      <c r="A944" s="45" t="s">
        <v>19</v>
      </c>
      <c r="B944" s="45" t="s">
        <v>20</v>
      </c>
      <c r="C944" s="45">
        <v>1.1000000000000001</v>
      </c>
      <c r="D944" s="45">
        <v>12019</v>
      </c>
      <c r="E944" s="45">
        <v>2023</v>
      </c>
      <c r="F944" s="48" t="str">
        <f t="shared" si="14"/>
        <v>The Last Pharaoh : Rating 1.1,  Released in 2023</v>
      </c>
    </row>
    <row r="945" spans="1:6" x14ac:dyDescent="0.35">
      <c r="A945" s="45" t="s">
        <v>830</v>
      </c>
      <c r="B945" s="45" t="s">
        <v>544</v>
      </c>
      <c r="C945" s="45">
        <v>4.4000000000000004</v>
      </c>
      <c r="D945" s="45">
        <v>112636</v>
      </c>
      <c r="E945" s="45">
        <v>2023</v>
      </c>
      <c r="F945" s="48" t="str">
        <f t="shared" si="14"/>
        <v>The Idol : Rating 4.4,  Released in 2023</v>
      </c>
    </row>
    <row r="946" spans="1:6" x14ac:dyDescent="0.35">
      <c r="A946" s="45" t="s">
        <v>312</v>
      </c>
      <c r="B946" s="45" t="s">
        <v>76</v>
      </c>
      <c r="C946" s="45">
        <v>3.2</v>
      </c>
      <c r="D946" s="45">
        <v>12288</v>
      </c>
      <c r="E946" s="45">
        <v>2023</v>
      </c>
      <c r="F946" s="48" t="str">
        <f t="shared" si="14"/>
        <v>The Holy Trinity : Rating 3.2,  Released in 2023</v>
      </c>
    </row>
    <row r="947" spans="1:6" x14ac:dyDescent="0.35">
      <c r="A947" s="45" t="s">
        <v>1346</v>
      </c>
      <c r="B947" s="45" t="s">
        <v>134</v>
      </c>
      <c r="C947" s="45">
        <v>4.8</v>
      </c>
      <c r="D947" s="45">
        <v>45770</v>
      </c>
      <c r="E947" s="45">
        <v>2023</v>
      </c>
      <c r="F947" s="48" t="str">
        <f t="shared" si="14"/>
        <v>The Expendables 4 : Rating 4.8,  Released in 2023</v>
      </c>
    </row>
    <row r="948" spans="1:6" x14ac:dyDescent="0.35">
      <c r="A948" s="45" t="s">
        <v>1352</v>
      </c>
      <c r="B948" s="45" t="s">
        <v>76</v>
      </c>
      <c r="C948" s="45">
        <v>4.8</v>
      </c>
      <c r="D948" s="45">
        <v>44700</v>
      </c>
      <c r="E948" s="45">
        <v>2023</v>
      </c>
      <c r="F948" s="48" t="str">
        <f t="shared" si="14"/>
        <v>The Exorcist: Believer : Rating 4.8,  Released in 2023</v>
      </c>
    </row>
    <row r="949" spans="1:6" x14ac:dyDescent="0.35">
      <c r="A949" s="45" t="s">
        <v>758</v>
      </c>
      <c r="B949" s="45" t="s">
        <v>759</v>
      </c>
      <c r="C949" s="45">
        <v>4.3</v>
      </c>
      <c r="D949" s="45">
        <v>52995</v>
      </c>
      <c r="E949" s="45">
        <v>2023</v>
      </c>
      <c r="F949" s="48" t="str">
        <f t="shared" si="14"/>
        <v>The Archies : Rating 4.3,  Released in 2023</v>
      </c>
    </row>
    <row r="950" spans="1:6" x14ac:dyDescent="0.35">
      <c r="A950" s="45" t="s">
        <v>873</v>
      </c>
      <c r="B950" s="45" t="s">
        <v>568</v>
      </c>
      <c r="C950" s="45">
        <v>4.4000000000000004</v>
      </c>
      <c r="D950" s="45">
        <v>23267</v>
      </c>
      <c r="E950" s="45">
        <v>2023</v>
      </c>
      <c r="F950" s="48" t="str">
        <f t="shared" si="14"/>
        <v>Tejas : Rating 4.4,  Released in 2023</v>
      </c>
    </row>
    <row r="951" spans="1:6" x14ac:dyDescent="0.35">
      <c r="A951" s="45" t="s">
        <v>980</v>
      </c>
      <c r="B951" s="45" t="s">
        <v>682</v>
      </c>
      <c r="C951" s="45">
        <v>4.5</v>
      </c>
      <c r="D951" s="45">
        <v>19385</v>
      </c>
      <c r="E951" s="45">
        <v>2023</v>
      </c>
      <c r="F951" s="48" t="str">
        <f t="shared" si="14"/>
        <v>Starfish : Rating 4.5,  Released in 2023</v>
      </c>
    </row>
    <row r="952" spans="1:6" x14ac:dyDescent="0.35">
      <c r="A952" s="45" t="s">
        <v>959</v>
      </c>
      <c r="B952" s="45" t="s">
        <v>125</v>
      </c>
      <c r="C952" s="45">
        <v>4.5</v>
      </c>
      <c r="D952" s="45">
        <v>31620</v>
      </c>
      <c r="E952" s="45">
        <v>2023</v>
      </c>
      <c r="F952" s="48" t="str">
        <f t="shared" si="14"/>
        <v>Shehzada : Rating 4.5,  Released in 2023</v>
      </c>
    </row>
    <row r="953" spans="1:6" x14ac:dyDescent="0.35">
      <c r="A953" s="45" t="s">
        <v>1814</v>
      </c>
      <c r="B953" s="45" t="s">
        <v>565</v>
      </c>
      <c r="C953" s="45">
        <v>5</v>
      </c>
      <c r="D953" s="45">
        <v>12235</v>
      </c>
      <c r="E953" s="45">
        <v>2023</v>
      </c>
      <c r="F953" s="48" t="str">
        <f t="shared" si="14"/>
        <v>Run Rabbit Run : Rating 5,  Released in 2023</v>
      </c>
    </row>
    <row r="954" spans="1:6" x14ac:dyDescent="0.35">
      <c r="A954" s="45" t="s">
        <v>39</v>
      </c>
      <c r="B954" s="45" t="s">
        <v>20</v>
      </c>
      <c r="C954" s="45">
        <v>1.2</v>
      </c>
      <c r="D954" s="45">
        <v>10674</v>
      </c>
      <c r="E954" s="45">
        <v>2023</v>
      </c>
      <c r="F954" s="48" t="str">
        <f t="shared" si="14"/>
        <v>Rivals : Rating 1.2,  Released in 2023</v>
      </c>
    </row>
    <row r="955" spans="1:6" x14ac:dyDescent="0.35">
      <c r="A955" s="45" t="s">
        <v>28</v>
      </c>
      <c r="B955" s="45" t="s">
        <v>20</v>
      </c>
      <c r="C955" s="45">
        <v>1.2</v>
      </c>
      <c r="D955" s="45">
        <v>86315</v>
      </c>
      <c r="E955" s="45">
        <v>2023</v>
      </c>
      <c r="F955" s="48" t="str">
        <f t="shared" si="14"/>
        <v>Queen Cleopatra : Rating 1.2,  Released in 2023</v>
      </c>
    </row>
    <row r="956" spans="1:6" x14ac:dyDescent="0.35">
      <c r="A956" s="45" t="s">
        <v>865</v>
      </c>
      <c r="B956" s="45" t="s">
        <v>90</v>
      </c>
      <c r="C956" s="45">
        <v>4.4000000000000004</v>
      </c>
      <c r="D956" s="45">
        <v>28639</v>
      </c>
      <c r="E956" s="45">
        <v>2023</v>
      </c>
      <c r="F956" s="48" t="str">
        <f t="shared" si="14"/>
        <v>Peter Pan &amp; Wendy : Rating 4.4,  Released in 2023</v>
      </c>
    </row>
    <row r="957" spans="1:6" x14ac:dyDescent="0.35">
      <c r="A957" s="45" t="s">
        <v>1129</v>
      </c>
      <c r="B957" s="45" t="s">
        <v>859</v>
      </c>
      <c r="C957" s="45">
        <v>4.5999999999999996</v>
      </c>
      <c r="D957" s="45">
        <v>12471</v>
      </c>
      <c r="E957" s="45">
        <v>2023</v>
      </c>
      <c r="F957" s="48" t="str">
        <f t="shared" si="14"/>
        <v>Pet Sematary: Bloodlines : Rating 4.6,  Released in 2023</v>
      </c>
    </row>
    <row r="958" spans="1:6" x14ac:dyDescent="0.35">
      <c r="A958" s="45" t="s">
        <v>1679</v>
      </c>
      <c r="B958" s="45" t="s">
        <v>122</v>
      </c>
      <c r="C958" s="45">
        <v>5</v>
      </c>
      <c r="D958" s="45">
        <v>87341</v>
      </c>
      <c r="E958" s="45">
        <v>2023</v>
      </c>
      <c r="F958" s="48" t="str">
        <f t="shared" si="14"/>
        <v>Meg 2: The Trench : Rating 5,  Released in 2023</v>
      </c>
    </row>
    <row r="959" spans="1:6" x14ac:dyDescent="0.35">
      <c r="A959" s="45" t="s">
        <v>1846</v>
      </c>
      <c r="B959" s="45" t="s">
        <v>116</v>
      </c>
      <c r="C959" s="45">
        <v>5</v>
      </c>
      <c r="D959" s="45">
        <v>10175</v>
      </c>
      <c r="E959" s="45">
        <v>2023</v>
      </c>
      <c r="F959" s="48" t="str">
        <f t="shared" si="14"/>
        <v>Maybe I Do : Rating 5,  Released in 2023</v>
      </c>
    </row>
    <row r="960" spans="1:6" x14ac:dyDescent="0.35">
      <c r="A960" s="45" t="s">
        <v>2095</v>
      </c>
      <c r="B960" s="45" t="s">
        <v>846</v>
      </c>
      <c r="C960" s="45">
        <v>5.0999999999999996</v>
      </c>
      <c r="D960" s="45">
        <v>10168</v>
      </c>
      <c r="E960" s="45">
        <v>2023</v>
      </c>
      <c r="F960" s="48" t="str">
        <f t="shared" si="14"/>
        <v>Locked In : Rating 5.1,  Released in 2023</v>
      </c>
    </row>
    <row r="961" spans="1:6" x14ac:dyDescent="0.35">
      <c r="A961" s="45" t="s">
        <v>2079</v>
      </c>
      <c r="B961" s="45" t="s">
        <v>26</v>
      </c>
      <c r="C961" s="45">
        <v>5.0999999999999996</v>
      </c>
      <c r="D961" s="45">
        <v>10639</v>
      </c>
      <c r="E961" s="45">
        <v>2023</v>
      </c>
      <c r="F961" s="48" t="str">
        <f t="shared" si="14"/>
        <v>Kranti : Rating 5.1,  Released in 2023</v>
      </c>
    </row>
    <row r="962" spans="1:6" x14ac:dyDescent="0.35">
      <c r="A962" s="45" t="s">
        <v>898</v>
      </c>
      <c r="B962" s="45" t="s">
        <v>93</v>
      </c>
      <c r="C962" s="45">
        <v>4.4000000000000004</v>
      </c>
      <c r="D962" s="45">
        <v>14645</v>
      </c>
      <c r="E962" s="45">
        <v>2023</v>
      </c>
      <c r="F962" s="48" t="str">
        <f t="shared" ref="F962:F1001" si="15">_xlfn.CONCAT(TRIM(A962)," ", ": Rating"," ",C962,",","  ","Released in", " ",E962)</f>
        <v>Knights of the Zodiac : Rating 4.4,  Released in 2023</v>
      </c>
    </row>
    <row r="963" spans="1:6" x14ac:dyDescent="0.35">
      <c r="A963" s="45" t="s">
        <v>594</v>
      </c>
      <c r="B963" s="45" t="s">
        <v>125</v>
      </c>
      <c r="C963" s="45">
        <v>4</v>
      </c>
      <c r="D963" s="45">
        <v>41243</v>
      </c>
      <c r="E963" s="45">
        <v>2023</v>
      </c>
      <c r="F963" s="48" t="str">
        <f t="shared" si="15"/>
        <v>Kisi Ka Bhai Kisi Ki Jaan : Rating 4,  Released in 2023</v>
      </c>
    </row>
    <row r="964" spans="1:6" x14ac:dyDescent="0.35">
      <c r="A964" s="45" t="s">
        <v>1269</v>
      </c>
      <c r="B964" s="45" t="s">
        <v>101</v>
      </c>
      <c r="C964" s="45">
        <v>4.7</v>
      </c>
      <c r="D964" s="45">
        <v>15442</v>
      </c>
      <c r="E964" s="45">
        <v>2023</v>
      </c>
      <c r="F964" s="48" t="str">
        <f t="shared" si="15"/>
        <v>Kabzaa : Rating 4.7,  Released in 2023</v>
      </c>
    </row>
    <row r="965" spans="1:6" x14ac:dyDescent="0.35">
      <c r="A965" s="45" t="s">
        <v>242</v>
      </c>
      <c r="B965" s="45" t="s">
        <v>243</v>
      </c>
      <c r="C965" s="45">
        <v>2.8</v>
      </c>
      <c r="D965" s="45">
        <v>10389</v>
      </c>
      <c r="E965" s="45">
        <v>2023</v>
      </c>
      <c r="F965" s="48" t="str">
        <f t="shared" si="15"/>
        <v>Ganapath : Rating 2.8,  Released in 2023</v>
      </c>
    </row>
    <row r="966" spans="1:6" x14ac:dyDescent="0.35">
      <c r="A966" s="45" t="s">
        <v>1956</v>
      </c>
      <c r="B966" s="45" t="s">
        <v>93</v>
      </c>
      <c r="C966" s="45">
        <v>5.0999999999999996</v>
      </c>
      <c r="D966" s="45">
        <v>22895</v>
      </c>
      <c r="E966" s="45">
        <v>2023</v>
      </c>
      <c r="F966" s="48" t="str">
        <f t="shared" si="15"/>
        <v>Gadar 2 : Rating 5.1,  Released in 2023</v>
      </c>
    </row>
    <row r="967" spans="1:6" x14ac:dyDescent="0.35">
      <c r="A967" s="45" t="s">
        <v>666</v>
      </c>
      <c r="B967" s="45" t="s">
        <v>128</v>
      </c>
      <c r="C967" s="45">
        <v>4.0999999999999996</v>
      </c>
      <c r="D967" s="45">
        <v>15170</v>
      </c>
      <c r="E967" s="45">
        <v>2023</v>
      </c>
      <c r="F967" s="48" t="str">
        <f t="shared" si="15"/>
        <v>Episode #1.8 : Rating 4.1,  Released in 2023</v>
      </c>
    </row>
    <row r="968" spans="1:6" x14ac:dyDescent="0.35">
      <c r="A968" s="45" t="s">
        <v>384</v>
      </c>
      <c r="B968" s="45" t="s">
        <v>128</v>
      </c>
      <c r="C968" s="45">
        <v>3.5</v>
      </c>
      <c r="D968" s="45">
        <v>14462</v>
      </c>
      <c r="E968" s="45">
        <v>2023</v>
      </c>
      <c r="F968" s="48" t="str">
        <f t="shared" si="15"/>
        <v>Episode #1.7 : Rating 3.5,  Released in 2023</v>
      </c>
    </row>
    <row r="969" spans="1:6" x14ac:dyDescent="0.35">
      <c r="A969" s="45" t="s">
        <v>1297</v>
      </c>
      <c r="B969" s="45" t="s">
        <v>128</v>
      </c>
      <c r="C969" s="45">
        <v>4.7</v>
      </c>
      <c r="D969" s="45">
        <v>11841</v>
      </c>
      <c r="E969" s="45">
        <v>2023</v>
      </c>
      <c r="F969" s="48" t="str">
        <f t="shared" si="15"/>
        <v>Episode #1.1 : Rating 4.7,  Released in 2023</v>
      </c>
    </row>
    <row r="970" spans="1:6" x14ac:dyDescent="0.35">
      <c r="A970" s="45" t="s">
        <v>570</v>
      </c>
      <c r="B970" s="45" t="s">
        <v>571</v>
      </c>
      <c r="C970" s="45">
        <v>3.9</v>
      </c>
      <c r="D970" s="45">
        <v>15551</v>
      </c>
      <c r="E970" s="45">
        <v>2023</v>
      </c>
      <c r="F970" s="48" t="str">
        <f t="shared" si="15"/>
        <v>Deep Fear : Rating 3.9,  Released in 2023</v>
      </c>
    </row>
    <row r="971" spans="1:6" x14ac:dyDescent="0.35">
      <c r="A971" s="45" t="s">
        <v>2069</v>
      </c>
      <c r="B971" s="45" t="s">
        <v>217</v>
      </c>
      <c r="C971" s="45">
        <v>5.0999999999999996</v>
      </c>
      <c r="D971" s="45">
        <v>10876</v>
      </c>
      <c r="E971" s="45">
        <v>2023</v>
      </c>
      <c r="F971" s="48" t="str">
        <f t="shared" si="15"/>
        <v>Asterix &amp; Obelix: The Middle Kingdom : Rating 5.1,  Released in 2023</v>
      </c>
    </row>
    <row r="972" spans="1:6" x14ac:dyDescent="0.35">
      <c r="A972" s="45" t="s">
        <v>202</v>
      </c>
      <c r="B972" s="45" t="s">
        <v>93</v>
      </c>
      <c r="C972" s="45">
        <v>2.7</v>
      </c>
      <c r="D972" s="45">
        <v>134527</v>
      </c>
      <c r="E972" s="45">
        <v>2023</v>
      </c>
      <c r="F972" s="48" t="str">
        <f t="shared" si="15"/>
        <v>Adipurush : Rating 2.7,  Released in 2023</v>
      </c>
    </row>
    <row r="973" spans="1:6" x14ac:dyDescent="0.35">
      <c r="A973" s="45" t="s">
        <v>2195</v>
      </c>
      <c r="B973" s="45" t="s">
        <v>395</v>
      </c>
      <c r="C973" s="45">
        <v>5.2</v>
      </c>
      <c r="D973" s="45">
        <v>32479</v>
      </c>
      <c r="E973" s="45">
        <v>2024</v>
      </c>
      <c r="F973" s="48" t="str">
        <f t="shared" si="15"/>
        <v>Under Paris : Rating 5.2,  Released in 2024</v>
      </c>
    </row>
    <row r="974" spans="1:6" x14ac:dyDescent="0.35">
      <c r="A974" s="45" t="s">
        <v>1228</v>
      </c>
      <c r="B974" s="45" t="s">
        <v>93</v>
      </c>
      <c r="C974" s="45">
        <v>4.7</v>
      </c>
      <c r="D974" s="45">
        <v>25779</v>
      </c>
      <c r="E974" s="45">
        <v>2024</v>
      </c>
      <c r="F974" s="48" t="str">
        <f t="shared" si="15"/>
        <v>Uglies : Rating 4.7,  Released in 2024</v>
      </c>
    </row>
    <row r="975" spans="1:6" x14ac:dyDescent="0.35">
      <c r="A975" s="45" t="s">
        <v>1100</v>
      </c>
      <c r="B975" s="45" t="s">
        <v>101</v>
      </c>
      <c r="C975" s="45">
        <v>4.5999999999999996</v>
      </c>
      <c r="D975" s="45">
        <v>17570</v>
      </c>
      <c r="E975" s="45">
        <v>2024</v>
      </c>
      <c r="F975" s="48" t="str">
        <f t="shared" si="15"/>
        <v>Trigger Warning : Rating 4.6,  Released in 2024</v>
      </c>
    </row>
    <row r="976" spans="1:6" x14ac:dyDescent="0.35">
      <c r="A976" s="45" t="s">
        <v>2089</v>
      </c>
      <c r="B976" s="45" t="s">
        <v>2090</v>
      </c>
      <c r="C976" s="45">
        <v>5.0999999999999996</v>
      </c>
      <c r="D976" s="45">
        <v>10227</v>
      </c>
      <c r="E976" s="45">
        <v>2024</v>
      </c>
      <c r="F976" s="48" t="str">
        <f t="shared" si="15"/>
        <v>The Tearsmith : Rating 5.1,  Released in 2024</v>
      </c>
    </row>
    <row r="977" spans="1:6" x14ac:dyDescent="0.35">
      <c r="A977" s="45" t="s">
        <v>1093</v>
      </c>
      <c r="B977" s="45" t="s">
        <v>76</v>
      </c>
      <c r="C977" s="45">
        <v>4.5999999999999996</v>
      </c>
      <c r="D977" s="45">
        <v>19176</v>
      </c>
      <c r="E977" s="45">
        <v>2024</v>
      </c>
      <c r="F977" s="48" t="str">
        <f t="shared" si="15"/>
        <v>The Strangers: Chapter 1 : Rating 4.6,  Released in 2024</v>
      </c>
    </row>
    <row r="978" spans="1:6" x14ac:dyDescent="0.35">
      <c r="A978" s="45" t="s">
        <v>1744</v>
      </c>
      <c r="B978" s="45" t="s">
        <v>474</v>
      </c>
      <c r="C978" s="45">
        <v>5</v>
      </c>
      <c r="D978" s="45">
        <v>29234</v>
      </c>
      <c r="E978" s="45">
        <v>2024</v>
      </c>
      <c r="F978" s="48" t="str">
        <f t="shared" si="15"/>
        <v>The Platform 2 : Rating 5,  Released in 2024</v>
      </c>
    </row>
    <row r="979" spans="1:6" x14ac:dyDescent="0.35">
      <c r="A979" s="45" t="s">
        <v>1977</v>
      </c>
      <c r="B979" s="45" t="s">
        <v>82</v>
      </c>
      <c r="C979" s="45">
        <v>5.0999999999999996</v>
      </c>
      <c r="D979" s="45">
        <v>19367</v>
      </c>
      <c r="E979" s="45">
        <v>2024</v>
      </c>
      <c r="F979" s="48" t="str">
        <f t="shared" si="15"/>
        <v>The Deliverance : Rating 5.1,  Released in 2024</v>
      </c>
    </row>
    <row r="980" spans="1:6" x14ac:dyDescent="0.35">
      <c r="A980" s="45" t="s">
        <v>1236</v>
      </c>
      <c r="B980" s="45" t="s">
        <v>338</v>
      </c>
      <c r="C980" s="45">
        <v>4.7</v>
      </c>
      <c r="D980" s="45">
        <v>24427</v>
      </c>
      <c r="E980" s="45">
        <v>2024</v>
      </c>
      <c r="F980" s="48" t="str">
        <f t="shared" si="15"/>
        <v>The Crow : Rating 4.7,  Released in 2024</v>
      </c>
    </row>
    <row r="981" spans="1:6" x14ac:dyDescent="0.35">
      <c r="A981" s="45" t="s">
        <v>438</v>
      </c>
      <c r="B981" s="45" t="s">
        <v>227</v>
      </c>
      <c r="C981" s="45">
        <v>3.6</v>
      </c>
      <c r="D981" s="45">
        <v>10937</v>
      </c>
      <c r="E981" s="45">
        <v>2024</v>
      </c>
      <c r="F981" s="48" t="str">
        <f t="shared" si="15"/>
        <v>The American Society of Magical Negroes : Rating 3.6,  Released in 2024</v>
      </c>
    </row>
    <row r="982" spans="1:6" x14ac:dyDescent="0.35">
      <c r="A982" s="45" t="s">
        <v>632</v>
      </c>
      <c r="B982" s="45" t="s">
        <v>93</v>
      </c>
      <c r="C982" s="45">
        <v>4.0999999999999996</v>
      </c>
      <c r="D982" s="45">
        <v>124735</v>
      </c>
      <c r="E982" s="45">
        <v>2024</v>
      </c>
      <c r="F982" s="48" t="str">
        <f t="shared" si="15"/>
        <v>The Acolyte : Rating 4.1,  Released in 2024</v>
      </c>
    </row>
    <row r="983" spans="1:6" x14ac:dyDescent="0.35">
      <c r="A983" s="45" t="s">
        <v>2039</v>
      </c>
      <c r="B983" s="45" t="s">
        <v>93</v>
      </c>
      <c r="C983" s="45">
        <v>5.0999999999999996</v>
      </c>
      <c r="D983" s="45">
        <v>12964</v>
      </c>
      <c r="E983" s="45">
        <v>2024</v>
      </c>
      <c r="F983" s="48" t="str">
        <f t="shared" si="15"/>
        <v>Teach/Corrupt : Rating 5.1,  Released in 2024</v>
      </c>
    </row>
    <row r="984" spans="1:6" x14ac:dyDescent="0.35">
      <c r="A984" s="45" t="s">
        <v>1390</v>
      </c>
      <c r="B984" s="45" t="s">
        <v>76</v>
      </c>
      <c r="C984" s="45">
        <v>4.8</v>
      </c>
      <c r="D984" s="45">
        <v>25522</v>
      </c>
      <c r="E984" s="45">
        <v>2024</v>
      </c>
      <c r="F984" s="48" t="str">
        <f t="shared" si="15"/>
        <v>Tarot : Rating 4.8,  Released in 2024</v>
      </c>
    </row>
    <row r="985" spans="1:6" x14ac:dyDescent="0.35">
      <c r="A985" s="45" t="s">
        <v>1952</v>
      </c>
      <c r="B985" s="45" t="s">
        <v>93</v>
      </c>
      <c r="C985" s="45">
        <v>5.0999999999999996</v>
      </c>
      <c r="D985" s="45">
        <v>23343</v>
      </c>
      <c r="E985" s="45">
        <v>2024</v>
      </c>
      <c r="F985" s="48" t="str">
        <f t="shared" si="15"/>
        <v>Revenge/Justice : Rating 5.1,  Released in 2024</v>
      </c>
    </row>
    <row r="986" spans="1:6" x14ac:dyDescent="0.35">
      <c r="A986" s="45" t="s">
        <v>118</v>
      </c>
      <c r="B986" s="45" t="s">
        <v>119</v>
      </c>
      <c r="C986" s="45">
        <v>2</v>
      </c>
      <c r="D986" s="45">
        <v>16400</v>
      </c>
      <c r="E986" s="45">
        <v>2024</v>
      </c>
      <c r="F986" s="48" t="str">
        <f t="shared" si="15"/>
        <v>Now or Never! : Rating 2,  Released in 2024</v>
      </c>
    </row>
    <row r="987" spans="1:6" x14ac:dyDescent="0.35">
      <c r="A987" s="45" t="s">
        <v>1234</v>
      </c>
      <c r="B987" s="45" t="s">
        <v>82</v>
      </c>
      <c r="C987" s="45">
        <v>4.7</v>
      </c>
      <c r="D987" s="45">
        <v>25006</v>
      </c>
      <c r="E987" s="45">
        <v>2024</v>
      </c>
      <c r="F987" s="48" t="str">
        <f t="shared" si="15"/>
        <v>Night Swim : Rating 4.7,  Released in 2024</v>
      </c>
    </row>
    <row r="988" spans="1:6" x14ac:dyDescent="0.35">
      <c r="A988" s="45" t="s">
        <v>1455</v>
      </c>
      <c r="B988" s="45" t="s">
        <v>128</v>
      </c>
      <c r="C988" s="45">
        <v>4.8</v>
      </c>
      <c r="D988" s="45">
        <v>15187</v>
      </c>
      <c r="E988" s="45">
        <v>2024</v>
      </c>
      <c r="F988" s="48" t="str">
        <f t="shared" si="15"/>
        <v>Mother of the Bride : Rating 4.8,  Released in 2024</v>
      </c>
    </row>
    <row r="989" spans="1:6" x14ac:dyDescent="0.35">
      <c r="A989" s="45" t="s">
        <v>1993</v>
      </c>
      <c r="B989" s="45" t="s">
        <v>1994</v>
      </c>
      <c r="C989" s="45">
        <v>5.0999999999999996</v>
      </c>
      <c r="D989" s="45">
        <v>17457</v>
      </c>
      <c r="E989" s="45">
        <v>2024</v>
      </c>
      <c r="F989" s="48" t="str">
        <f t="shared" si="15"/>
        <v>Megalopolis : Rating 5.1,  Released in 2024</v>
      </c>
    </row>
    <row r="990" spans="1:6" x14ac:dyDescent="0.35">
      <c r="A990" s="45" t="s">
        <v>953</v>
      </c>
      <c r="B990" s="45" t="s">
        <v>568</v>
      </c>
      <c r="C990" s="45">
        <v>4.5</v>
      </c>
      <c r="D990" s="45">
        <v>34529</v>
      </c>
      <c r="E990" s="45">
        <v>2024</v>
      </c>
      <c r="F990" s="48" t="str">
        <f t="shared" si="15"/>
        <v>Martin : Rating 4.5,  Released in 2024</v>
      </c>
    </row>
    <row r="991" spans="1:6" x14ac:dyDescent="0.35">
      <c r="A991" s="45" t="s">
        <v>592</v>
      </c>
      <c r="B991" s="45" t="s">
        <v>163</v>
      </c>
      <c r="C991" s="45">
        <v>4</v>
      </c>
      <c r="D991" s="45">
        <v>91349</v>
      </c>
      <c r="E991" s="45">
        <v>2024</v>
      </c>
      <c r="F991" s="48" t="str">
        <f t="shared" si="15"/>
        <v>Madame Web : Rating 4,  Released in 2024</v>
      </c>
    </row>
    <row r="992" spans="1:6" x14ac:dyDescent="0.35">
      <c r="A992" s="45" t="s">
        <v>1548</v>
      </c>
      <c r="B992" s="45" t="s">
        <v>56</v>
      </c>
      <c r="C992" s="45">
        <v>4.9000000000000004</v>
      </c>
      <c r="D992" s="45">
        <v>58338</v>
      </c>
      <c r="E992" s="45">
        <v>2024</v>
      </c>
      <c r="F992" s="48" t="str">
        <f t="shared" si="15"/>
        <v>Indian Police Force : Rating 4.9,  Released in 2024</v>
      </c>
    </row>
    <row r="993" spans="1:6" x14ac:dyDescent="0.35">
      <c r="A993" s="45" t="s">
        <v>567</v>
      </c>
      <c r="B993" s="45" t="s">
        <v>568</v>
      </c>
      <c r="C993" s="45">
        <v>3.9</v>
      </c>
      <c r="D993" s="45">
        <v>15666</v>
      </c>
      <c r="E993" s="45">
        <v>2024</v>
      </c>
      <c r="F993" s="48" t="str">
        <f t="shared" si="15"/>
        <v>Indian 2 : Rating 3.9,  Released in 2024</v>
      </c>
    </row>
    <row r="994" spans="1:6" x14ac:dyDescent="0.35">
      <c r="A994" s="45" t="s">
        <v>1274</v>
      </c>
      <c r="B994" s="45" t="s">
        <v>175</v>
      </c>
      <c r="C994" s="45">
        <v>4.7</v>
      </c>
      <c r="D994" s="45">
        <v>15023</v>
      </c>
      <c r="E994" s="45">
        <v>2024</v>
      </c>
      <c r="F994" s="48" t="str">
        <f t="shared" si="15"/>
        <v>Imaginary : Rating 4.7,  Released in 2024</v>
      </c>
    </row>
    <row r="995" spans="1:6" x14ac:dyDescent="0.35">
      <c r="A995" s="45" t="s">
        <v>457</v>
      </c>
      <c r="B995" s="45" t="s">
        <v>93</v>
      </c>
      <c r="C995" s="45">
        <v>3.7</v>
      </c>
      <c r="D995" s="45">
        <v>25920</v>
      </c>
      <c r="E995" s="45">
        <v>2024</v>
      </c>
      <c r="F995" s="48" t="str">
        <f t="shared" si="15"/>
        <v>Destiny : Rating 3.7,  Released in 2024</v>
      </c>
    </row>
    <row r="996" spans="1:6" x14ac:dyDescent="0.35">
      <c r="A996" s="45" t="s">
        <v>1424</v>
      </c>
      <c r="B996" s="45" t="s">
        <v>93</v>
      </c>
      <c r="C996" s="45">
        <v>4.8</v>
      </c>
      <c r="D996" s="45">
        <v>17929</v>
      </c>
      <c r="E996" s="45">
        <v>2024</v>
      </c>
      <c r="F996" s="48" t="str">
        <f t="shared" si="15"/>
        <v>Day : Rating 4.8,  Released in 2024</v>
      </c>
    </row>
    <row r="997" spans="1:6" x14ac:dyDescent="0.35">
      <c r="A997" s="45" t="s">
        <v>1125</v>
      </c>
      <c r="B997" s="45" t="s">
        <v>93</v>
      </c>
      <c r="C997" s="45">
        <v>4.5999999999999996</v>
      </c>
      <c r="D997" s="45">
        <v>12654</v>
      </c>
      <c r="E997" s="45">
        <v>2024</v>
      </c>
      <c r="F997" s="48" t="str">
        <f t="shared" si="15"/>
        <v>Choice : Rating 4.6,  Released in 2024</v>
      </c>
    </row>
    <row r="998" spans="1:6" x14ac:dyDescent="0.35">
      <c r="A998" s="45" t="s">
        <v>1063</v>
      </c>
      <c r="B998" s="45" t="s">
        <v>178</v>
      </c>
      <c r="C998" s="45">
        <v>4.5999999999999996</v>
      </c>
      <c r="D998" s="45">
        <v>31263</v>
      </c>
      <c r="E998" s="45">
        <v>2024</v>
      </c>
      <c r="F998" s="48" t="str">
        <f t="shared" si="15"/>
        <v>Borderlands : Rating 4.6,  Released in 2024</v>
      </c>
    </row>
    <row r="999" spans="1:6" x14ac:dyDescent="0.35">
      <c r="A999" s="45" t="s">
        <v>1736</v>
      </c>
      <c r="B999" s="45" t="s">
        <v>211</v>
      </c>
      <c r="C999" s="45">
        <v>5</v>
      </c>
      <c r="D999" s="45">
        <v>30918</v>
      </c>
      <c r="E999" s="45">
        <v>2024</v>
      </c>
      <c r="F999" s="48" t="str">
        <f t="shared" si="15"/>
        <v>Bhool Bhulaiyaa 3 : Rating 5,  Released in 2024</v>
      </c>
    </row>
    <row r="1000" spans="1:6" x14ac:dyDescent="0.35">
      <c r="A1000" s="45" t="s">
        <v>539</v>
      </c>
      <c r="B1000" s="45" t="s">
        <v>163</v>
      </c>
      <c r="C1000" s="45">
        <v>3.9</v>
      </c>
      <c r="D1000" s="45">
        <v>38451</v>
      </c>
      <c r="E1000" s="45">
        <v>2024</v>
      </c>
      <c r="F1000" s="48" t="str">
        <f t="shared" si="15"/>
        <v>Bade Miyan Chote Miyan : Rating 3.9,  Released in 2024</v>
      </c>
    </row>
    <row r="1001" spans="1:6" x14ac:dyDescent="0.35">
      <c r="A1001" s="45" t="s">
        <v>1593</v>
      </c>
      <c r="B1001" s="45" t="s">
        <v>116</v>
      </c>
      <c r="C1001" s="45">
        <v>4.9000000000000004</v>
      </c>
      <c r="D1001" s="45">
        <v>25175</v>
      </c>
      <c r="E1001" s="45">
        <v>2024</v>
      </c>
      <c r="F1001" s="48" t="str">
        <f t="shared" si="15"/>
        <v>Bad Newz : Rating 4.9,  Released in 2024</v>
      </c>
    </row>
    <row r="1002" spans="1:6" x14ac:dyDescent="0.35">
      <c r="F1002"/>
    </row>
    <row r="1003" spans="1:6" x14ac:dyDescent="0.35">
      <c r="F1003"/>
    </row>
    <row r="1004" spans="1:6" x14ac:dyDescent="0.35">
      <c r="F1004"/>
    </row>
    <row r="1005" spans="1:6" x14ac:dyDescent="0.35">
      <c r="F1005"/>
    </row>
    <row r="1006" spans="1:6" x14ac:dyDescent="0.35">
      <c r="F1006"/>
    </row>
    <row r="1007" spans="1:6" x14ac:dyDescent="0.35">
      <c r="F1007"/>
    </row>
    <row r="1008" spans="1:6" x14ac:dyDescent="0.35">
      <c r="F1008"/>
    </row>
    <row r="1009" spans="6:6" x14ac:dyDescent="0.35">
      <c r="F1009"/>
    </row>
    <row r="1010" spans="6:6" x14ac:dyDescent="0.35">
      <c r="F1010"/>
    </row>
    <row r="1011" spans="6:6" x14ac:dyDescent="0.35">
      <c r="F1011"/>
    </row>
    <row r="1012" spans="6:6" x14ac:dyDescent="0.35">
      <c r="F1012"/>
    </row>
    <row r="1013" spans="6:6" x14ac:dyDescent="0.35">
      <c r="F1013"/>
    </row>
    <row r="1014" spans="6:6" x14ac:dyDescent="0.35">
      <c r="F1014"/>
    </row>
    <row r="1015" spans="6:6" x14ac:dyDescent="0.35">
      <c r="F1015"/>
    </row>
    <row r="1016" spans="6:6" x14ac:dyDescent="0.35">
      <c r="F1016"/>
    </row>
    <row r="1017" spans="6:6" x14ac:dyDescent="0.35">
      <c r="F1017"/>
    </row>
    <row r="1018" spans="6:6" x14ac:dyDescent="0.35">
      <c r="F1018"/>
    </row>
    <row r="1019" spans="6:6" x14ac:dyDescent="0.35">
      <c r="F1019"/>
    </row>
    <row r="1020" spans="6:6" x14ac:dyDescent="0.35">
      <c r="F1020"/>
    </row>
    <row r="1021" spans="6:6" x14ac:dyDescent="0.35">
      <c r="F1021"/>
    </row>
    <row r="1022" spans="6:6" x14ac:dyDescent="0.35">
      <c r="F1022"/>
    </row>
    <row r="1023" spans="6:6" x14ac:dyDescent="0.35">
      <c r="F1023"/>
    </row>
    <row r="1024" spans="6:6" x14ac:dyDescent="0.35">
      <c r="F1024"/>
    </row>
    <row r="1025" spans="6:6" x14ac:dyDescent="0.35">
      <c r="F1025"/>
    </row>
    <row r="1026" spans="6:6" x14ac:dyDescent="0.35">
      <c r="F1026"/>
    </row>
    <row r="1027" spans="6:6" x14ac:dyDescent="0.35">
      <c r="F1027"/>
    </row>
    <row r="1028" spans="6:6" x14ac:dyDescent="0.35">
      <c r="F1028"/>
    </row>
    <row r="1029" spans="6:6" x14ac:dyDescent="0.35">
      <c r="F1029"/>
    </row>
    <row r="1030" spans="6:6" x14ac:dyDescent="0.35">
      <c r="F1030"/>
    </row>
    <row r="1031" spans="6:6" x14ac:dyDescent="0.35">
      <c r="F1031"/>
    </row>
    <row r="1032" spans="6:6" x14ac:dyDescent="0.35">
      <c r="F1032"/>
    </row>
    <row r="1033" spans="6:6" x14ac:dyDescent="0.35">
      <c r="F1033"/>
    </row>
    <row r="1034" spans="6:6" x14ac:dyDescent="0.35">
      <c r="F1034"/>
    </row>
    <row r="1035" spans="6:6" x14ac:dyDescent="0.35">
      <c r="F1035"/>
    </row>
    <row r="1036" spans="6:6" x14ac:dyDescent="0.35">
      <c r="F1036"/>
    </row>
    <row r="1037" spans="6:6" x14ac:dyDescent="0.35">
      <c r="F1037"/>
    </row>
    <row r="1038" spans="6:6" x14ac:dyDescent="0.35">
      <c r="F1038"/>
    </row>
    <row r="1039" spans="6:6" x14ac:dyDescent="0.35">
      <c r="F1039"/>
    </row>
    <row r="1040" spans="6:6" x14ac:dyDescent="0.35">
      <c r="F1040"/>
    </row>
    <row r="1041" spans="6:6" x14ac:dyDescent="0.35">
      <c r="F1041"/>
    </row>
    <row r="1042" spans="6:6" x14ac:dyDescent="0.35">
      <c r="F1042"/>
    </row>
    <row r="1043" spans="6:6" x14ac:dyDescent="0.35">
      <c r="F1043"/>
    </row>
    <row r="1044" spans="6:6" x14ac:dyDescent="0.35">
      <c r="F1044"/>
    </row>
    <row r="1045" spans="6:6" x14ac:dyDescent="0.35">
      <c r="F1045"/>
    </row>
    <row r="1046" spans="6:6" x14ac:dyDescent="0.35">
      <c r="F1046"/>
    </row>
    <row r="1047" spans="6:6" x14ac:dyDescent="0.35">
      <c r="F1047"/>
    </row>
    <row r="1048" spans="6:6" x14ac:dyDescent="0.35">
      <c r="F1048"/>
    </row>
    <row r="1049" spans="6:6" x14ac:dyDescent="0.35">
      <c r="F1049"/>
    </row>
    <row r="1050" spans="6:6" x14ac:dyDescent="0.35">
      <c r="F1050"/>
    </row>
    <row r="1051" spans="6:6" x14ac:dyDescent="0.35">
      <c r="F1051"/>
    </row>
    <row r="1052" spans="6:6" x14ac:dyDescent="0.35">
      <c r="F1052"/>
    </row>
    <row r="1053" spans="6:6" x14ac:dyDescent="0.35">
      <c r="F1053"/>
    </row>
    <row r="1054" spans="6:6" x14ac:dyDescent="0.35">
      <c r="F1054"/>
    </row>
    <row r="1055" spans="6:6" x14ac:dyDescent="0.35">
      <c r="F1055"/>
    </row>
    <row r="1056" spans="6:6" x14ac:dyDescent="0.35">
      <c r="F1056"/>
    </row>
    <row r="1057" spans="6:6" x14ac:dyDescent="0.35">
      <c r="F1057"/>
    </row>
    <row r="1058" spans="6:6" x14ac:dyDescent="0.35">
      <c r="F1058"/>
    </row>
    <row r="1059" spans="6:6" x14ac:dyDescent="0.35">
      <c r="F1059"/>
    </row>
    <row r="1060" spans="6:6" x14ac:dyDescent="0.35">
      <c r="F1060"/>
    </row>
    <row r="1061" spans="6:6" x14ac:dyDescent="0.35">
      <c r="F1061"/>
    </row>
    <row r="1062" spans="6:6" x14ac:dyDescent="0.35">
      <c r="F1062"/>
    </row>
    <row r="1063" spans="6:6" x14ac:dyDescent="0.35">
      <c r="F1063"/>
    </row>
    <row r="1064" spans="6:6" x14ac:dyDescent="0.35">
      <c r="F1064"/>
    </row>
    <row r="1065" spans="6:6" x14ac:dyDescent="0.35">
      <c r="F1065"/>
    </row>
    <row r="1066" spans="6:6" x14ac:dyDescent="0.35">
      <c r="F1066"/>
    </row>
    <row r="1067" spans="6:6" x14ac:dyDescent="0.35">
      <c r="F1067"/>
    </row>
    <row r="1068" spans="6:6" x14ac:dyDescent="0.35">
      <c r="F1068"/>
    </row>
    <row r="1069" spans="6:6" x14ac:dyDescent="0.35">
      <c r="F1069"/>
    </row>
    <row r="1070" spans="6:6" x14ac:dyDescent="0.35">
      <c r="F1070"/>
    </row>
    <row r="1071" spans="6:6" x14ac:dyDescent="0.35">
      <c r="F1071"/>
    </row>
    <row r="1072" spans="6:6" x14ac:dyDescent="0.35">
      <c r="F1072"/>
    </row>
    <row r="1073" spans="6:6" x14ac:dyDescent="0.35">
      <c r="F1073"/>
    </row>
    <row r="1074" spans="6:6" x14ac:dyDescent="0.35">
      <c r="F1074"/>
    </row>
    <row r="1075" spans="6:6" x14ac:dyDescent="0.35">
      <c r="F1075"/>
    </row>
    <row r="1076" spans="6:6" x14ac:dyDescent="0.35">
      <c r="F1076"/>
    </row>
    <row r="1077" spans="6:6" x14ac:dyDescent="0.35">
      <c r="F1077"/>
    </row>
    <row r="1078" spans="6:6" x14ac:dyDescent="0.35">
      <c r="F1078"/>
    </row>
    <row r="1079" spans="6:6" x14ac:dyDescent="0.35">
      <c r="F1079"/>
    </row>
    <row r="1080" spans="6:6" x14ac:dyDescent="0.35">
      <c r="F1080"/>
    </row>
    <row r="1081" spans="6:6" x14ac:dyDescent="0.35">
      <c r="F1081"/>
    </row>
    <row r="1082" spans="6:6" x14ac:dyDescent="0.35">
      <c r="F1082"/>
    </row>
    <row r="1083" spans="6:6" x14ac:dyDescent="0.35">
      <c r="F1083"/>
    </row>
    <row r="1084" spans="6:6" x14ac:dyDescent="0.35">
      <c r="F1084"/>
    </row>
    <row r="1085" spans="6:6" x14ac:dyDescent="0.35">
      <c r="F1085"/>
    </row>
    <row r="1086" spans="6:6" x14ac:dyDescent="0.35">
      <c r="F1086"/>
    </row>
    <row r="1087" spans="6:6" x14ac:dyDescent="0.35">
      <c r="F1087"/>
    </row>
    <row r="1088" spans="6:6" x14ac:dyDescent="0.35">
      <c r="F1088"/>
    </row>
    <row r="1089" spans="6:6" x14ac:dyDescent="0.35">
      <c r="F1089"/>
    </row>
    <row r="1090" spans="6:6" x14ac:dyDescent="0.35">
      <c r="F1090"/>
    </row>
    <row r="1091" spans="6:6" x14ac:dyDescent="0.35">
      <c r="F1091"/>
    </row>
    <row r="1092" spans="6:6" x14ac:dyDescent="0.35">
      <c r="F1092"/>
    </row>
    <row r="1093" spans="6:6" x14ac:dyDescent="0.35">
      <c r="F1093"/>
    </row>
    <row r="1094" spans="6:6" x14ac:dyDescent="0.35">
      <c r="F1094"/>
    </row>
    <row r="1095" spans="6:6" x14ac:dyDescent="0.35">
      <c r="F1095"/>
    </row>
    <row r="1096" spans="6:6" x14ac:dyDescent="0.35">
      <c r="F1096"/>
    </row>
    <row r="1097" spans="6:6" x14ac:dyDescent="0.35">
      <c r="F1097"/>
    </row>
    <row r="1098" spans="6:6" x14ac:dyDescent="0.35">
      <c r="F1098"/>
    </row>
    <row r="1099" spans="6:6" x14ac:dyDescent="0.35">
      <c r="F1099"/>
    </row>
    <row r="1100" spans="6:6" x14ac:dyDescent="0.35">
      <c r="F1100"/>
    </row>
    <row r="1101" spans="6:6" x14ac:dyDescent="0.35">
      <c r="F1101"/>
    </row>
    <row r="1102" spans="6:6" x14ac:dyDescent="0.35">
      <c r="F1102"/>
    </row>
    <row r="1103" spans="6:6" x14ac:dyDescent="0.35">
      <c r="F1103"/>
    </row>
    <row r="1104" spans="6:6" x14ac:dyDescent="0.35">
      <c r="F1104"/>
    </row>
    <row r="1105" spans="6:6" x14ac:dyDescent="0.35">
      <c r="F1105"/>
    </row>
    <row r="1106" spans="6:6" x14ac:dyDescent="0.35">
      <c r="F1106"/>
    </row>
    <row r="1107" spans="6:6" x14ac:dyDescent="0.35">
      <c r="F1107"/>
    </row>
    <row r="1108" spans="6:6" x14ac:dyDescent="0.35">
      <c r="F1108"/>
    </row>
    <row r="1109" spans="6:6" x14ac:dyDescent="0.35">
      <c r="F1109"/>
    </row>
    <row r="1110" spans="6:6" x14ac:dyDescent="0.35">
      <c r="F1110"/>
    </row>
    <row r="1111" spans="6:6" x14ac:dyDescent="0.35">
      <c r="F1111"/>
    </row>
    <row r="1112" spans="6:6" x14ac:dyDescent="0.35">
      <c r="F1112"/>
    </row>
    <row r="1113" spans="6:6" x14ac:dyDescent="0.35">
      <c r="F1113"/>
    </row>
    <row r="1114" spans="6:6" x14ac:dyDescent="0.35">
      <c r="F1114"/>
    </row>
    <row r="1115" spans="6:6" x14ac:dyDescent="0.35">
      <c r="F1115"/>
    </row>
    <row r="1116" spans="6:6" x14ac:dyDescent="0.35">
      <c r="F1116"/>
    </row>
    <row r="1117" spans="6:6" x14ac:dyDescent="0.35">
      <c r="F1117"/>
    </row>
    <row r="1118" spans="6:6" x14ac:dyDescent="0.35">
      <c r="F1118"/>
    </row>
    <row r="1119" spans="6:6" x14ac:dyDescent="0.35">
      <c r="F1119"/>
    </row>
    <row r="1120" spans="6:6" x14ac:dyDescent="0.35">
      <c r="F1120"/>
    </row>
    <row r="1121" spans="6:6" x14ac:dyDescent="0.35">
      <c r="F1121"/>
    </row>
    <row r="1122" spans="6:6" x14ac:dyDescent="0.35">
      <c r="F1122"/>
    </row>
    <row r="1123" spans="6:6" x14ac:dyDescent="0.35">
      <c r="F1123"/>
    </row>
    <row r="1124" spans="6:6" x14ac:dyDescent="0.35">
      <c r="F1124"/>
    </row>
    <row r="1125" spans="6:6" x14ac:dyDescent="0.35">
      <c r="F1125"/>
    </row>
    <row r="1126" spans="6:6" x14ac:dyDescent="0.35">
      <c r="F1126"/>
    </row>
    <row r="1127" spans="6:6" x14ac:dyDescent="0.35">
      <c r="F1127"/>
    </row>
    <row r="1128" spans="6:6" x14ac:dyDescent="0.35">
      <c r="F1128"/>
    </row>
    <row r="1129" spans="6:6" x14ac:dyDescent="0.35">
      <c r="F1129"/>
    </row>
    <row r="1130" spans="6:6" x14ac:dyDescent="0.35">
      <c r="F1130"/>
    </row>
    <row r="1131" spans="6:6" x14ac:dyDescent="0.35">
      <c r="F1131"/>
    </row>
    <row r="1132" spans="6:6" x14ac:dyDescent="0.35">
      <c r="F1132"/>
    </row>
    <row r="1133" spans="6:6" x14ac:dyDescent="0.35">
      <c r="F1133"/>
    </row>
    <row r="1134" spans="6:6" x14ac:dyDescent="0.35">
      <c r="F1134"/>
    </row>
    <row r="1135" spans="6:6" x14ac:dyDescent="0.35">
      <c r="F1135"/>
    </row>
    <row r="1136" spans="6:6" x14ac:dyDescent="0.35">
      <c r="F1136"/>
    </row>
    <row r="1137" spans="6:6" x14ac:dyDescent="0.35">
      <c r="F1137"/>
    </row>
    <row r="1138" spans="6:6" x14ac:dyDescent="0.35">
      <c r="F1138"/>
    </row>
    <row r="1139" spans="6:6" x14ac:dyDescent="0.35">
      <c r="F1139"/>
    </row>
    <row r="1140" spans="6:6" x14ac:dyDescent="0.35">
      <c r="F1140"/>
    </row>
    <row r="1141" spans="6:6" x14ac:dyDescent="0.35">
      <c r="F1141"/>
    </row>
    <row r="1142" spans="6:6" x14ac:dyDescent="0.35">
      <c r="F1142"/>
    </row>
    <row r="1143" spans="6:6" x14ac:dyDescent="0.35">
      <c r="F1143"/>
    </row>
    <row r="1144" spans="6:6" x14ac:dyDescent="0.35">
      <c r="F1144"/>
    </row>
    <row r="1145" spans="6:6" x14ac:dyDescent="0.35">
      <c r="F1145"/>
    </row>
    <row r="1146" spans="6:6" x14ac:dyDescent="0.35">
      <c r="F1146"/>
    </row>
    <row r="1147" spans="6:6" x14ac:dyDescent="0.35">
      <c r="F1147"/>
    </row>
    <row r="1148" spans="6:6" x14ac:dyDescent="0.35">
      <c r="F1148"/>
    </row>
    <row r="1149" spans="6:6" x14ac:dyDescent="0.35">
      <c r="F1149"/>
    </row>
    <row r="1150" spans="6:6" x14ac:dyDescent="0.35">
      <c r="F1150"/>
    </row>
    <row r="1151" spans="6:6" x14ac:dyDescent="0.35">
      <c r="F1151"/>
    </row>
    <row r="1152" spans="6:6" x14ac:dyDescent="0.35">
      <c r="F1152"/>
    </row>
    <row r="1153" spans="6:6" x14ac:dyDescent="0.35">
      <c r="F1153"/>
    </row>
    <row r="1154" spans="6:6" x14ac:dyDescent="0.35">
      <c r="F1154"/>
    </row>
    <row r="1155" spans="6:6" x14ac:dyDescent="0.35">
      <c r="F1155"/>
    </row>
    <row r="1156" spans="6:6" x14ac:dyDescent="0.35">
      <c r="F1156"/>
    </row>
    <row r="1157" spans="6:6" x14ac:dyDescent="0.35">
      <c r="F1157"/>
    </row>
    <row r="1158" spans="6:6" x14ac:dyDescent="0.35">
      <c r="F1158"/>
    </row>
    <row r="1159" spans="6:6" x14ac:dyDescent="0.35">
      <c r="F1159"/>
    </row>
    <row r="1160" spans="6:6" x14ac:dyDescent="0.35">
      <c r="F1160"/>
    </row>
    <row r="1161" spans="6:6" x14ac:dyDescent="0.35">
      <c r="F1161"/>
    </row>
    <row r="1162" spans="6:6" x14ac:dyDescent="0.35">
      <c r="F1162"/>
    </row>
    <row r="1163" spans="6:6" x14ac:dyDescent="0.35">
      <c r="F1163"/>
    </row>
    <row r="1164" spans="6:6" x14ac:dyDescent="0.35">
      <c r="F1164"/>
    </row>
    <row r="1165" spans="6:6" x14ac:dyDescent="0.35">
      <c r="F1165"/>
    </row>
    <row r="1166" spans="6:6" x14ac:dyDescent="0.35">
      <c r="F1166"/>
    </row>
    <row r="1167" spans="6:6" x14ac:dyDescent="0.35">
      <c r="F1167"/>
    </row>
    <row r="1168" spans="6:6" x14ac:dyDescent="0.35">
      <c r="F1168"/>
    </row>
    <row r="1169" spans="6:6" x14ac:dyDescent="0.35">
      <c r="F1169"/>
    </row>
    <row r="1170" spans="6:6" x14ac:dyDescent="0.35">
      <c r="F1170"/>
    </row>
    <row r="1171" spans="6:6" x14ac:dyDescent="0.35">
      <c r="F1171"/>
    </row>
    <row r="1172" spans="6:6" x14ac:dyDescent="0.35">
      <c r="F1172"/>
    </row>
    <row r="1173" spans="6:6" x14ac:dyDescent="0.35">
      <c r="F1173"/>
    </row>
    <row r="1174" spans="6:6" x14ac:dyDescent="0.35">
      <c r="F1174"/>
    </row>
    <row r="1175" spans="6:6" x14ac:dyDescent="0.35">
      <c r="F1175"/>
    </row>
    <row r="1176" spans="6:6" x14ac:dyDescent="0.35">
      <c r="F1176"/>
    </row>
    <row r="1177" spans="6:6" x14ac:dyDescent="0.35">
      <c r="F1177"/>
    </row>
    <row r="1178" spans="6:6" x14ac:dyDescent="0.35">
      <c r="F1178"/>
    </row>
    <row r="1179" spans="6:6" x14ac:dyDescent="0.35">
      <c r="F1179"/>
    </row>
    <row r="1180" spans="6:6" x14ac:dyDescent="0.35">
      <c r="F1180"/>
    </row>
    <row r="1181" spans="6:6" x14ac:dyDescent="0.35">
      <c r="F1181"/>
    </row>
    <row r="1182" spans="6:6" x14ac:dyDescent="0.35">
      <c r="F1182"/>
    </row>
    <row r="1183" spans="6:6" x14ac:dyDescent="0.35">
      <c r="F1183"/>
    </row>
    <row r="1184" spans="6:6" x14ac:dyDescent="0.35">
      <c r="F1184"/>
    </row>
    <row r="1185" spans="6:6" x14ac:dyDescent="0.35">
      <c r="F1185"/>
    </row>
    <row r="1186" spans="6:6" x14ac:dyDescent="0.35">
      <c r="F1186"/>
    </row>
    <row r="1187" spans="6:6" x14ac:dyDescent="0.35">
      <c r="F1187"/>
    </row>
    <row r="1188" spans="6:6" x14ac:dyDescent="0.35">
      <c r="F1188"/>
    </row>
    <row r="1189" spans="6:6" x14ac:dyDescent="0.35">
      <c r="F1189"/>
    </row>
    <row r="1190" spans="6:6" x14ac:dyDescent="0.35">
      <c r="F1190"/>
    </row>
    <row r="1191" spans="6:6" x14ac:dyDescent="0.35">
      <c r="F1191"/>
    </row>
    <row r="1192" spans="6:6" x14ac:dyDescent="0.35">
      <c r="F1192"/>
    </row>
    <row r="1193" spans="6:6" x14ac:dyDescent="0.35">
      <c r="F1193"/>
    </row>
    <row r="1194" spans="6:6" x14ac:dyDescent="0.35">
      <c r="F1194"/>
    </row>
    <row r="1195" spans="6:6" x14ac:dyDescent="0.35">
      <c r="F1195"/>
    </row>
    <row r="1196" spans="6:6" x14ac:dyDescent="0.35">
      <c r="F1196"/>
    </row>
    <row r="1197" spans="6:6" x14ac:dyDescent="0.35">
      <c r="F1197"/>
    </row>
    <row r="1198" spans="6:6" x14ac:dyDescent="0.35">
      <c r="F1198"/>
    </row>
    <row r="1199" spans="6:6" x14ac:dyDescent="0.35">
      <c r="F1199"/>
    </row>
    <row r="1200" spans="6:6" x14ac:dyDescent="0.35">
      <c r="F1200"/>
    </row>
    <row r="1201" spans="6:6" x14ac:dyDescent="0.35">
      <c r="F1201"/>
    </row>
    <row r="1202" spans="6:6" x14ac:dyDescent="0.35">
      <c r="F1202"/>
    </row>
    <row r="1203" spans="6:6" x14ac:dyDescent="0.35">
      <c r="F1203"/>
    </row>
    <row r="1204" spans="6:6" x14ac:dyDescent="0.35">
      <c r="F1204"/>
    </row>
    <row r="1205" spans="6:6" x14ac:dyDescent="0.35">
      <c r="F1205"/>
    </row>
    <row r="1206" spans="6:6" x14ac:dyDescent="0.35">
      <c r="F1206"/>
    </row>
    <row r="1207" spans="6:6" x14ac:dyDescent="0.35">
      <c r="F1207"/>
    </row>
    <row r="1208" spans="6:6" x14ac:dyDescent="0.35">
      <c r="F1208"/>
    </row>
    <row r="1209" spans="6:6" x14ac:dyDescent="0.35">
      <c r="F1209"/>
    </row>
    <row r="1210" spans="6:6" x14ac:dyDescent="0.35">
      <c r="F1210"/>
    </row>
    <row r="1211" spans="6:6" x14ac:dyDescent="0.35">
      <c r="F1211"/>
    </row>
    <row r="1212" spans="6:6" x14ac:dyDescent="0.35">
      <c r="F1212"/>
    </row>
    <row r="1213" spans="6:6" x14ac:dyDescent="0.35">
      <c r="F1213"/>
    </row>
    <row r="1214" spans="6:6" x14ac:dyDescent="0.35">
      <c r="F1214"/>
    </row>
    <row r="1215" spans="6:6" x14ac:dyDescent="0.35">
      <c r="F1215"/>
    </row>
    <row r="1216" spans="6:6" x14ac:dyDescent="0.35">
      <c r="F1216"/>
    </row>
    <row r="1217" spans="6:6" x14ac:dyDescent="0.35">
      <c r="F1217"/>
    </row>
    <row r="1218" spans="6:6" x14ac:dyDescent="0.35">
      <c r="F1218"/>
    </row>
    <row r="1219" spans="6:6" x14ac:dyDescent="0.35">
      <c r="F1219"/>
    </row>
    <row r="1220" spans="6:6" x14ac:dyDescent="0.35">
      <c r="F1220"/>
    </row>
    <row r="1221" spans="6:6" x14ac:dyDescent="0.35">
      <c r="F1221"/>
    </row>
    <row r="1222" spans="6:6" x14ac:dyDescent="0.35">
      <c r="F1222"/>
    </row>
    <row r="1223" spans="6:6" x14ac:dyDescent="0.35">
      <c r="F1223"/>
    </row>
    <row r="1224" spans="6:6" x14ac:dyDescent="0.35">
      <c r="F1224"/>
    </row>
    <row r="1225" spans="6:6" x14ac:dyDescent="0.35">
      <c r="F1225"/>
    </row>
    <row r="1226" spans="6:6" x14ac:dyDescent="0.35">
      <c r="F1226"/>
    </row>
    <row r="1227" spans="6:6" x14ac:dyDescent="0.35">
      <c r="F1227"/>
    </row>
    <row r="1228" spans="6:6" x14ac:dyDescent="0.35">
      <c r="F1228"/>
    </row>
    <row r="1229" spans="6:6" x14ac:dyDescent="0.35">
      <c r="F1229"/>
    </row>
    <row r="1230" spans="6:6" x14ac:dyDescent="0.35">
      <c r="F1230"/>
    </row>
    <row r="1231" spans="6:6" x14ac:dyDescent="0.35">
      <c r="F1231"/>
    </row>
    <row r="1232" spans="6:6" x14ac:dyDescent="0.35">
      <c r="F1232"/>
    </row>
    <row r="1233" spans="6:6" x14ac:dyDescent="0.35">
      <c r="F1233"/>
    </row>
    <row r="1234" spans="6:6" x14ac:dyDescent="0.35">
      <c r="F1234"/>
    </row>
    <row r="1235" spans="6:6" x14ac:dyDescent="0.35">
      <c r="F1235"/>
    </row>
    <row r="1236" spans="6:6" x14ac:dyDescent="0.35">
      <c r="F1236"/>
    </row>
    <row r="1237" spans="6:6" x14ac:dyDescent="0.35">
      <c r="F1237"/>
    </row>
    <row r="1238" spans="6:6" x14ac:dyDescent="0.35">
      <c r="F1238"/>
    </row>
    <row r="1239" spans="6:6" x14ac:dyDescent="0.35">
      <c r="F1239"/>
    </row>
    <row r="1240" spans="6:6" x14ac:dyDescent="0.35">
      <c r="F1240"/>
    </row>
    <row r="1241" spans="6:6" x14ac:dyDescent="0.35">
      <c r="F1241"/>
    </row>
    <row r="1242" spans="6:6" x14ac:dyDescent="0.35">
      <c r="F1242"/>
    </row>
    <row r="1243" spans="6:6" x14ac:dyDescent="0.35">
      <c r="F1243"/>
    </row>
    <row r="1244" spans="6:6" x14ac:dyDescent="0.35">
      <c r="F1244"/>
    </row>
    <row r="1245" spans="6:6" x14ac:dyDescent="0.35">
      <c r="F1245"/>
    </row>
    <row r="1246" spans="6:6" x14ac:dyDescent="0.35">
      <c r="F1246"/>
    </row>
    <row r="1247" spans="6:6" x14ac:dyDescent="0.35">
      <c r="F1247"/>
    </row>
    <row r="1248" spans="6:6" x14ac:dyDescent="0.35">
      <c r="F1248"/>
    </row>
    <row r="1249" spans="6:6" x14ac:dyDescent="0.35">
      <c r="F1249"/>
    </row>
    <row r="1250" spans="6:6" x14ac:dyDescent="0.35">
      <c r="F1250"/>
    </row>
    <row r="1251" spans="6:6" x14ac:dyDescent="0.35">
      <c r="F1251"/>
    </row>
    <row r="1252" spans="6:6" x14ac:dyDescent="0.35">
      <c r="F1252"/>
    </row>
    <row r="1253" spans="6:6" x14ac:dyDescent="0.35">
      <c r="F1253"/>
    </row>
    <row r="1254" spans="6:6" x14ac:dyDescent="0.35">
      <c r="F1254"/>
    </row>
    <row r="1255" spans="6:6" x14ac:dyDescent="0.35">
      <c r="F1255"/>
    </row>
    <row r="1256" spans="6:6" x14ac:dyDescent="0.35">
      <c r="F1256"/>
    </row>
    <row r="1257" spans="6:6" x14ac:dyDescent="0.35">
      <c r="F1257"/>
    </row>
    <row r="1258" spans="6:6" x14ac:dyDescent="0.35">
      <c r="F1258"/>
    </row>
    <row r="1259" spans="6:6" x14ac:dyDescent="0.35">
      <c r="F1259"/>
    </row>
    <row r="1260" spans="6:6" x14ac:dyDescent="0.35">
      <c r="F1260"/>
    </row>
    <row r="1261" spans="6:6" x14ac:dyDescent="0.35">
      <c r="F1261"/>
    </row>
    <row r="1262" spans="6:6" x14ac:dyDescent="0.35">
      <c r="F1262"/>
    </row>
    <row r="1263" spans="6:6" x14ac:dyDescent="0.35">
      <c r="F1263"/>
    </row>
    <row r="1264" spans="6:6" x14ac:dyDescent="0.35">
      <c r="F1264"/>
    </row>
    <row r="1265" spans="6:6" x14ac:dyDescent="0.35">
      <c r="F1265"/>
    </row>
    <row r="1266" spans="6:6" x14ac:dyDescent="0.35">
      <c r="F1266"/>
    </row>
    <row r="1267" spans="6:6" x14ac:dyDescent="0.35">
      <c r="F1267"/>
    </row>
    <row r="1268" spans="6:6" x14ac:dyDescent="0.35">
      <c r="F1268"/>
    </row>
    <row r="1269" spans="6:6" x14ac:dyDescent="0.35">
      <c r="F1269"/>
    </row>
    <row r="1270" spans="6:6" x14ac:dyDescent="0.35">
      <c r="F1270"/>
    </row>
    <row r="1271" spans="6:6" x14ac:dyDescent="0.35">
      <c r="F1271"/>
    </row>
    <row r="1272" spans="6:6" x14ac:dyDescent="0.35">
      <c r="F1272"/>
    </row>
    <row r="1273" spans="6:6" x14ac:dyDescent="0.35">
      <c r="F1273"/>
    </row>
    <row r="1274" spans="6:6" x14ac:dyDescent="0.35">
      <c r="F1274"/>
    </row>
    <row r="1275" spans="6:6" x14ac:dyDescent="0.35">
      <c r="F1275"/>
    </row>
    <row r="1276" spans="6:6" x14ac:dyDescent="0.35">
      <c r="F1276"/>
    </row>
    <row r="1277" spans="6:6" x14ac:dyDescent="0.35">
      <c r="F1277"/>
    </row>
    <row r="1278" spans="6:6" x14ac:dyDescent="0.35">
      <c r="F1278"/>
    </row>
    <row r="1279" spans="6:6" x14ac:dyDescent="0.35">
      <c r="F1279"/>
    </row>
    <row r="1280" spans="6:6" x14ac:dyDescent="0.35">
      <c r="F1280"/>
    </row>
    <row r="1281" spans="6:6" x14ac:dyDescent="0.35">
      <c r="F1281"/>
    </row>
    <row r="1282" spans="6:6" x14ac:dyDescent="0.35">
      <c r="F1282"/>
    </row>
    <row r="1283" spans="6:6" x14ac:dyDescent="0.35">
      <c r="F1283"/>
    </row>
    <row r="1284" spans="6:6" x14ac:dyDescent="0.35">
      <c r="F1284"/>
    </row>
    <row r="1285" spans="6:6" x14ac:dyDescent="0.35">
      <c r="F1285"/>
    </row>
    <row r="1286" spans="6:6" x14ac:dyDescent="0.35">
      <c r="F1286"/>
    </row>
    <row r="1287" spans="6:6" x14ac:dyDescent="0.35">
      <c r="F1287"/>
    </row>
    <row r="1288" spans="6:6" x14ac:dyDescent="0.35">
      <c r="F1288"/>
    </row>
    <row r="1289" spans="6:6" x14ac:dyDescent="0.35">
      <c r="F1289"/>
    </row>
    <row r="1290" spans="6:6" x14ac:dyDescent="0.35">
      <c r="F1290"/>
    </row>
    <row r="1291" spans="6:6" x14ac:dyDescent="0.35">
      <c r="F1291"/>
    </row>
    <row r="1292" spans="6:6" x14ac:dyDescent="0.35">
      <c r="F1292"/>
    </row>
    <row r="1293" spans="6:6" x14ac:dyDescent="0.35">
      <c r="F1293"/>
    </row>
    <row r="1294" spans="6:6" x14ac:dyDescent="0.35">
      <c r="F1294"/>
    </row>
    <row r="1295" spans="6:6" x14ac:dyDescent="0.35">
      <c r="F1295"/>
    </row>
    <row r="1296" spans="6:6" x14ac:dyDescent="0.35">
      <c r="F1296"/>
    </row>
    <row r="1297" spans="6:6" x14ac:dyDescent="0.35">
      <c r="F1297"/>
    </row>
    <row r="1298" spans="6:6" x14ac:dyDescent="0.35">
      <c r="F1298"/>
    </row>
    <row r="1299" spans="6:6" x14ac:dyDescent="0.35">
      <c r="F1299"/>
    </row>
    <row r="1300" spans="6:6" x14ac:dyDescent="0.35">
      <c r="F1300"/>
    </row>
    <row r="1301" spans="6:6" x14ac:dyDescent="0.35">
      <c r="F1301"/>
    </row>
    <row r="1302" spans="6:6" x14ac:dyDescent="0.35">
      <c r="F1302"/>
    </row>
    <row r="1303" spans="6:6" x14ac:dyDescent="0.35">
      <c r="F1303"/>
    </row>
    <row r="1304" spans="6:6" x14ac:dyDescent="0.35">
      <c r="F1304"/>
    </row>
    <row r="1305" spans="6:6" x14ac:dyDescent="0.35">
      <c r="F1305"/>
    </row>
    <row r="1306" spans="6:6" x14ac:dyDescent="0.35">
      <c r="F1306"/>
    </row>
    <row r="1307" spans="6:6" x14ac:dyDescent="0.35">
      <c r="F1307"/>
    </row>
    <row r="1308" spans="6:6" x14ac:dyDescent="0.35">
      <c r="F1308"/>
    </row>
    <row r="1309" spans="6:6" x14ac:dyDescent="0.35">
      <c r="F1309"/>
    </row>
    <row r="1310" spans="6:6" x14ac:dyDescent="0.35">
      <c r="F1310"/>
    </row>
    <row r="1311" spans="6:6" x14ac:dyDescent="0.35">
      <c r="F1311"/>
    </row>
    <row r="1312" spans="6:6" x14ac:dyDescent="0.35">
      <c r="F1312"/>
    </row>
    <row r="1313" spans="6:6" x14ac:dyDescent="0.35">
      <c r="F1313"/>
    </row>
    <row r="1314" spans="6:6" x14ac:dyDescent="0.35">
      <c r="F1314"/>
    </row>
    <row r="1315" spans="6:6" x14ac:dyDescent="0.35">
      <c r="F1315"/>
    </row>
    <row r="1316" spans="6:6" x14ac:dyDescent="0.35">
      <c r="F1316"/>
    </row>
    <row r="1317" spans="6:6" x14ac:dyDescent="0.35">
      <c r="F1317"/>
    </row>
    <row r="1318" spans="6:6" x14ac:dyDescent="0.35">
      <c r="F1318"/>
    </row>
    <row r="1319" spans="6:6" x14ac:dyDescent="0.35">
      <c r="F1319"/>
    </row>
    <row r="1320" spans="6:6" x14ac:dyDescent="0.35">
      <c r="F1320"/>
    </row>
    <row r="1321" spans="6:6" x14ac:dyDescent="0.35">
      <c r="F1321"/>
    </row>
    <row r="1322" spans="6:6" x14ac:dyDescent="0.35">
      <c r="F1322"/>
    </row>
    <row r="1323" spans="6:6" x14ac:dyDescent="0.35">
      <c r="F1323"/>
    </row>
    <row r="1324" spans="6:6" x14ac:dyDescent="0.35">
      <c r="F1324"/>
    </row>
    <row r="1325" spans="6:6" x14ac:dyDescent="0.35">
      <c r="F1325"/>
    </row>
    <row r="1326" spans="6:6" x14ac:dyDescent="0.35">
      <c r="F1326"/>
    </row>
    <row r="1327" spans="6:6" x14ac:dyDescent="0.35">
      <c r="F1327"/>
    </row>
    <row r="1328" spans="6:6" x14ac:dyDescent="0.35">
      <c r="F1328"/>
    </row>
    <row r="1329" spans="6:6" x14ac:dyDescent="0.35">
      <c r="F1329"/>
    </row>
    <row r="1330" spans="6:6" x14ac:dyDescent="0.35">
      <c r="F1330"/>
    </row>
    <row r="1331" spans="6:6" x14ac:dyDescent="0.35">
      <c r="F1331"/>
    </row>
    <row r="1332" spans="6:6" x14ac:dyDescent="0.35">
      <c r="F1332"/>
    </row>
    <row r="1333" spans="6:6" x14ac:dyDescent="0.35">
      <c r="F1333"/>
    </row>
    <row r="1334" spans="6:6" x14ac:dyDescent="0.35">
      <c r="F1334"/>
    </row>
    <row r="1335" spans="6:6" x14ac:dyDescent="0.35">
      <c r="F1335"/>
    </row>
    <row r="1336" spans="6:6" x14ac:dyDescent="0.35">
      <c r="F1336"/>
    </row>
    <row r="1337" spans="6:6" x14ac:dyDescent="0.35">
      <c r="F1337"/>
    </row>
    <row r="1338" spans="6:6" x14ac:dyDescent="0.35">
      <c r="F1338"/>
    </row>
    <row r="1339" spans="6:6" x14ac:dyDescent="0.35">
      <c r="F1339"/>
    </row>
    <row r="1340" spans="6:6" x14ac:dyDescent="0.35">
      <c r="F1340"/>
    </row>
    <row r="1341" spans="6:6" x14ac:dyDescent="0.35">
      <c r="F1341"/>
    </row>
    <row r="1342" spans="6:6" x14ac:dyDescent="0.35">
      <c r="F1342"/>
    </row>
    <row r="1343" spans="6:6" x14ac:dyDescent="0.35">
      <c r="F1343"/>
    </row>
    <row r="1344" spans="6:6" x14ac:dyDescent="0.35">
      <c r="F1344"/>
    </row>
    <row r="1345" spans="6:6" x14ac:dyDescent="0.35">
      <c r="F1345"/>
    </row>
    <row r="1346" spans="6:6" x14ac:dyDescent="0.35">
      <c r="F1346"/>
    </row>
    <row r="1347" spans="6:6" x14ac:dyDescent="0.35">
      <c r="F1347"/>
    </row>
    <row r="1348" spans="6:6" x14ac:dyDescent="0.35">
      <c r="F1348"/>
    </row>
    <row r="1349" spans="6:6" x14ac:dyDescent="0.35">
      <c r="F1349"/>
    </row>
    <row r="1350" spans="6:6" x14ac:dyDescent="0.35">
      <c r="F1350"/>
    </row>
    <row r="1351" spans="6:6" x14ac:dyDescent="0.35">
      <c r="F1351"/>
    </row>
    <row r="1352" spans="6:6" x14ac:dyDescent="0.35">
      <c r="F1352"/>
    </row>
    <row r="1353" spans="6:6" x14ac:dyDescent="0.35">
      <c r="F1353"/>
    </row>
    <row r="1354" spans="6:6" x14ac:dyDescent="0.35">
      <c r="F1354"/>
    </row>
    <row r="1355" spans="6:6" x14ac:dyDescent="0.35">
      <c r="F1355"/>
    </row>
    <row r="1356" spans="6:6" x14ac:dyDescent="0.35">
      <c r="F1356"/>
    </row>
    <row r="1357" spans="6:6" x14ac:dyDescent="0.35">
      <c r="F1357"/>
    </row>
    <row r="1358" spans="6:6" x14ac:dyDescent="0.35">
      <c r="F1358"/>
    </row>
    <row r="1359" spans="6:6" x14ac:dyDescent="0.35">
      <c r="F1359"/>
    </row>
    <row r="1360" spans="6:6" x14ac:dyDescent="0.35">
      <c r="F1360"/>
    </row>
    <row r="1361" spans="6:6" x14ac:dyDescent="0.35">
      <c r="F1361"/>
    </row>
    <row r="1362" spans="6:6" x14ac:dyDescent="0.35">
      <c r="F1362"/>
    </row>
    <row r="1363" spans="6:6" x14ac:dyDescent="0.35">
      <c r="F1363"/>
    </row>
    <row r="1364" spans="6:6" x14ac:dyDescent="0.35">
      <c r="F1364"/>
    </row>
    <row r="1365" spans="6:6" x14ac:dyDescent="0.35">
      <c r="F1365"/>
    </row>
    <row r="1366" spans="6:6" x14ac:dyDescent="0.35">
      <c r="F1366"/>
    </row>
    <row r="1367" spans="6:6" x14ac:dyDescent="0.35">
      <c r="F1367"/>
    </row>
    <row r="1368" spans="6:6" x14ac:dyDescent="0.35">
      <c r="F1368"/>
    </row>
    <row r="1369" spans="6:6" x14ac:dyDescent="0.35">
      <c r="F1369"/>
    </row>
    <row r="1370" spans="6:6" x14ac:dyDescent="0.35">
      <c r="F1370"/>
    </row>
    <row r="1371" spans="6:6" x14ac:dyDescent="0.35">
      <c r="F1371"/>
    </row>
    <row r="1372" spans="6:6" x14ac:dyDescent="0.35">
      <c r="F1372"/>
    </row>
    <row r="1373" spans="6:6" x14ac:dyDescent="0.35">
      <c r="F1373"/>
    </row>
    <row r="1374" spans="6:6" x14ac:dyDescent="0.35">
      <c r="F1374"/>
    </row>
    <row r="1375" spans="6:6" x14ac:dyDescent="0.35">
      <c r="F1375"/>
    </row>
    <row r="1376" spans="6:6" x14ac:dyDescent="0.35">
      <c r="F1376"/>
    </row>
    <row r="1377" spans="6:6" x14ac:dyDescent="0.35">
      <c r="F1377"/>
    </row>
    <row r="1378" spans="6:6" x14ac:dyDescent="0.35">
      <c r="F1378"/>
    </row>
    <row r="1379" spans="6:6" x14ac:dyDescent="0.35">
      <c r="F1379"/>
    </row>
    <row r="1380" spans="6:6" x14ac:dyDescent="0.35">
      <c r="F1380"/>
    </row>
    <row r="1381" spans="6:6" x14ac:dyDescent="0.35">
      <c r="F1381"/>
    </row>
    <row r="1382" spans="6:6" x14ac:dyDescent="0.35">
      <c r="F1382"/>
    </row>
    <row r="1383" spans="6:6" x14ac:dyDescent="0.35">
      <c r="F1383"/>
    </row>
    <row r="1384" spans="6:6" x14ac:dyDescent="0.35">
      <c r="F1384"/>
    </row>
    <row r="1385" spans="6:6" x14ac:dyDescent="0.35">
      <c r="F1385"/>
    </row>
    <row r="1386" spans="6:6" x14ac:dyDescent="0.35">
      <c r="F1386"/>
    </row>
    <row r="1387" spans="6:6" x14ac:dyDescent="0.35">
      <c r="F1387"/>
    </row>
    <row r="1388" spans="6:6" x14ac:dyDescent="0.35">
      <c r="F1388"/>
    </row>
    <row r="1389" spans="6:6" x14ac:dyDescent="0.35">
      <c r="F1389"/>
    </row>
    <row r="1390" spans="6:6" x14ac:dyDescent="0.35">
      <c r="F1390"/>
    </row>
    <row r="1391" spans="6:6" x14ac:dyDescent="0.35">
      <c r="F1391"/>
    </row>
    <row r="1392" spans="6:6" x14ac:dyDescent="0.35">
      <c r="F1392"/>
    </row>
    <row r="1393" spans="6:6" x14ac:dyDescent="0.35">
      <c r="F1393"/>
    </row>
    <row r="1394" spans="6:6" x14ac:dyDescent="0.35">
      <c r="F1394"/>
    </row>
    <row r="1395" spans="6:6" x14ac:dyDescent="0.35">
      <c r="F1395"/>
    </row>
    <row r="1396" spans="6:6" x14ac:dyDescent="0.35">
      <c r="F1396"/>
    </row>
    <row r="1397" spans="6:6" x14ac:dyDescent="0.35">
      <c r="F1397"/>
    </row>
    <row r="1398" spans="6:6" x14ac:dyDescent="0.35">
      <c r="F1398"/>
    </row>
    <row r="1399" spans="6:6" x14ac:dyDescent="0.35">
      <c r="F1399"/>
    </row>
    <row r="1400" spans="6:6" x14ac:dyDescent="0.35">
      <c r="F1400"/>
    </row>
    <row r="1401" spans="6:6" x14ac:dyDescent="0.35">
      <c r="F1401"/>
    </row>
    <row r="1402" spans="6:6" x14ac:dyDescent="0.35">
      <c r="F1402"/>
    </row>
    <row r="1403" spans="6:6" x14ac:dyDescent="0.35">
      <c r="F1403"/>
    </row>
    <row r="1404" spans="6:6" x14ac:dyDescent="0.35">
      <c r="F1404"/>
    </row>
    <row r="1405" spans="6:6" x14ac:dyDescent="0.35">
      <c r="F1405"/>
    </row>
    <row r="1406" spans="6:6" x14ac:dyDescent="0.35">
      <c r="F1406"/>
    </row>
    <row r="1407" spans="6:6" x14ac:dyDescent="0.35">
      <c r="F1407"/>
    </row>
    <row r="1408" spans="6:6" x14ac:dyDescent="0.35">
      <c r="F1408"/>
    </row>
    <row r="1409" spans="6:6" x14ac:dyDescent="0.35">
      <c r="F1409"/>
    </row>
    <row r="1410" spans="6:6" x14ac:dyDescent="0.35">
      <c r="F1410"/>
    </row>
    <row r="1411" spans="6:6" x14ac:dyDescent="0.35">
      <c r="F1411"/>
    </row>
    <row r="1412" spans="6:6" x14ac:dyDescent="0.35">
      <c r="F1412"/>
    </row>
    <row r="1413" spans="6:6" x14ac:dyDescent="0.35">
      <c r="F1413"/>
    </row>
    <row r="1414" spans="6:6" x14ac:dyDescent="0.35">
      <c r="F1414"/>
    </row>
    <row r="1415" spans="6:6" x14ac:dyDescent="0.35">
      <c r="F1415"/>
    </row>
    <row r="1416" spans="6:6" x14ac:dyDescent="0.35">
      <c r="F1416"/>
    </row>
    <row r="1417" spans="6:6" x14ac:dyDescent="0.35">
      <c r="F1417"/>
    </row>
    <row r="1418" spans="6:6" x14ac:dyDescent="0.35">
      <c r="F1418"/>
    </row>
    <row r="1419" spans="6:6" x14ac:dyDescent="0.35">
      <c r="F1419"/>
    </row>
    <row r="1420" spans="6:6" x14ac:dyDescent="0.35">
      <c r="F1420"/>
    </row>
    <row r="1421" spans="6:6" x14ac:dyDescent="0.35">
      <c r="F1421"/>
    </row>
    <row r="1422" spans="6:6" x14ac:dyDescent="0.35">
      <c r="F1422"/>
    </row>
    <row r="1423" spans="6:6" x14ac:dyDescent="0.35">
      <c r="F1423"/>
    </row>
    <row r="1424" spans="6:6" x14ac:dyDescent="0.35">
      <c r="F1424"/>
    </row>
    <row r="1425" spans="6:6" x14ac:dyDescent="0.35">
      <c r="F1425"/>
    </row>
    <row r="1426" spans="6:6" x14ac:dyDescent="0.35">
      <c r="F1426"/>
    </row>
    <row r="1427" spans="6:6" x14ac:dyDescent="0.35">
      <c r="F1427"/>
    </row>
    <row r="1428" spans="6:6" x14ac:dyDescent="0.35">
      <c r="F1428"/>
    </row>
    <row r="1429" spans="6:6" x14ac:dyDescent="0.35">
      <c r="F1429"/>
    </row>
    <row r="1430" spans="6:6" x14ac:dyDescent="0.35">
      <c r="F1430"/>
    </row>
    <row r="1431" spans="6:6" x14ac:dyDescent="0.35">
      <c r="F1431"/>
    </row>
    <row r="1432" spans="6:6" x14ac:dyDescent="0.35">
      <c r="F1432"/>
    </row>
    <row r="1433" spans="6:6" x14ac:dyDescent="0.35">
      <c r="F1433"/>
    </row>
    <row r="1434" spans="6:6" x14ac:dyDescent="0.35">
      <c r="F1434"/>
    </row>
    <row r="1435" spans="6:6" x14ac:dyDescent="0.35">
      <c r="F1435"/>
    </row>
    <row r="1436" spans="6:6" x14ac:dyDescent="0.35">
      <c r="F1436"/>
    </row>
    <row r="1437" spans="6:6" x14ac:dyDescent="0.35">
      <c r="F1437"/>
    </row>
    <row r="1438" spans="6:6" x14ac:dyDescent="0.35">
      <c r="F1438"/>
    </row>
    <row r="1439" spans="6:6" x14ac:dyDescent="0.35">
      <c r="F1439"/>
    </row>
    <row r="1440" spans="6:6" x14ac:dyDescent="0.35">
      <c r="F1440"/>
    </row>
    <row r="1441" spans="6:6" x14ac:dyDescent="0.35">
      <c r="F1441"/>
    </row>
    <row r="1442" spans="6:6" x14ac:dyDescent="0.35">
      <c r="F1442"/>
    </row>
    <row r="1443" spans="6:6" x14ac:dyDescent="0.35">
      <c r="F1443"/>
    </row>
    <row r="1444" spans="6:6" x14ac:dyDescent="0.35">
      <c r="F1444"/>
    </row>
    <row r="1445" spans="6:6" x14ac:dyDescent="0.35">
      <c r="F1445"/>
    </row>
    <row r="1446" spans="6:6" x14ac:dyDescent="0.35">
      <c r="F1446"/>
    </row>
    <row r="1447" spans="6:6" x14ac:dyDescent="0.35">
      <c r="F1447"/>
    </row>
    <row r="1448" spans="6:6" x14ac:dyDescent="0.35">
      <c r="F1448"/>
    </row>
    <row r="1449" spans="6:6" x14ac:dyDescent="0.35">
      <c r="F1449"/>
    </row>
    <row r="1450" spans="6:6" x14ac:dyDescent="0.35">
      <c r="F1450"/>
    </row>
    <row r="1451" spans="6:6" x14ac:dyDescent="0.35">
      <c r="F1451"/>
    </row>
    <row r="1452" spans="6:6" x14ac:dyDescent="0.35">
      <c r="F1452"/>
    </row>
    <row r="1453" spans="6:6" x14ac:dyDescent="0.35">
      <c r="F1453"/>
    </row>
    <row r="1454" spans="6:6" x14ac:dyDescent="0.35">
      <c r="F1454"/>
    </row>
    <row r="1455" spans="6:6" x14ac:dyDescent="0.35">
      <c r="F1455"/>
    </row>
    <row r="1456" spans="6:6" x14ac:dyDescent="0.35">
      <c r="F1456"/>
    </row>
    <row r="1457" spans="6:6" x14ac:dyDescent="0.35">
      <c r="F1457"/>
    </row>
    <row r="1458" spans="6:6" x14ac:dyDescent="0.35">
      <c r="F1458"/>
    </row>
    <row r="1459" spans="6:6" x14ac:dyDescent="0.35">
      <c r="F1459"/>
    </row>
    <row r="1460" spans="6:6" x14ac:dyDescent="0.35">
      <c r="F1460"/>
    </row>
    <row r="1461" spans="6:6" x14ac:dyDescent="0.35">
      <c r="F1461"/>
    </row>
    <row r="1462" spans="6:6" x14ac:dyDescent="0.35">
      <c r="F1462"/>
    </row>
    <row r="1463" spans="6:6" x14ac:dyDescent="0.35">
      <c r="F1463"/>
    </row>
    <row r="1464" spans="6:6" x14ac:dyDescent="0.35">
      <c r="F1464"/>
    </row>
    <row r="1465" spans="6:6" x14ac:dyDescent="0.35">
      <c r="F1465"/>
    </row>
    <row r="1466" spans="6:6" x14ac:dyDescent="0.35">
      <c r="F1466"/>
    </row>
    <row r="1467" spans="6:6" x14ac:dyDescent="0.35">
      <c r="F1467"/>
    </row>
    <row r="1468" spans="6:6" x14ac:dyDescent="0.35">
      <c r="F1468"/>
    </row>
    <row r="1469" spans="6:6" x14ac:dyDescent="0.35">
      <c r="F1469"/>
    </row>
    <row r="1470" spans="6:6" x14ac:dyDescent="0.35">
      <c r="F1470"/>
    </row>
    <row r="1471" spans="6:6" x14ac:dyDescent="0.35">
      <c r="F1471"/>
    </row>
    <row r="1472" spans="6:6" x14ac:dyDescent="0.35">
      <c r="F1472"/>
    </row>
    <row r="1473" spans="6:6" x14ac:dyDescent="0.35">
      <c r="F1473"/>
    </row>
    <row r="1474" spans="6:6" x14ac:dyDescent="0.35">
      <c r="F1474"/>
    </row>
    <row r="1475" spans="6:6" x14ac:dyDescent="0.35">
      <c r="F1475"/>
    </row>
    <row r="1476" spans="6:6" x14ac:dyDescent="0.35">
      <c r="F1476"/>
    </row>
    <row r="1477" spans="6:6" x14ac:dyDescent="0.35">
      <c r="F1477"/>
    </row>
    <row r="1478" spans="6:6" x14ac:dyDescent="0.35">
      <c r="F1478"/>
    </row>
    <row r="1479" spans="6:6" x14ac:dyDescent="0.35">
      <c r="F1479"/>
    </row>
    <row r="1480" spans="6:6" x14ac:dyDescent="0.35">
      <c r="F1480"/>
    </row>
    <row r="1481" spans="6:6" x14ac:dyDescent="0.35">
      <c r="F1481"/>
    </row>
    <row r="1482" spans="6:6" x14ac:dyDescent="0.35">
      <c r="F1482"/>
    </row>
    <row r="1483" spans="6:6" x14ac:dyDescent="0.35">
      <c r="F1483"/>
    </row>
    <row r="1484" spans="6:6" x14ac:dyDescent="0.35">
      <c r="F1484"/>
    </row>
    <row r="1485" spans="6:6" x14ac:dyDescent="0.35">
      <c r="F1485"/>
    </row>
    <row r="1486" spans="6:6" x14ac:dyDescent="0.35">
      <c r="F1486"/>
    </row>
    <row r="1487" spans="6:6" x14ac:dyDescent="0.35">
      <c r="F1487"/>
    </row>
    <row r="1488" spans="6:6" x14ac:dyDescent="0.35">
      <c r="F1488"/>
    </row>
    <row r="1489" spans="6:6" x14ac:dyDescent="0.35">
      <c r="F1489"/>
    </row>
    <row r="1490" spans="6:6" x14ac:dyDescent="0.35">
      <c r="F1490"/>
    </row>
    <row r="1491" spans="6:6" x14ac:dyDescent="0.35">
      <c r="F1491"/>
    </row>
    <row r="1492" spans="6:6" x14ac:dyDescent="0.35">
      <c r="F1492"/>
    </row>
    <row r="1493" spans="6:6" x14ac:dyDescent="0.35">
      <c r="F1493"/>
    </row>
    <row r="1494" spans="6:6" x14ac:dyDescent="0.35">
      <c r="F1494"/>
    </row>
    <row r="1495" spans="6:6" x14ac:dyDescent="0.35">
      <c r="F1495"/>
    </row>
    <row r="1496" spans="6:6" x14ac:dyDescent="0.35">
      <c r="F1496"/>
    </row>
    <row r="1497" spans="6:6" x14ac:dyDescent="0.35">
      <c r="F1497"/>
    </row>
    <row r="1498" spans="6:6" x14ac:dyDescent="0.35">
      <c r="F1498"/>
    </row>
    <row r="1499" spans="6:6" x14ac:dyDescent="0.35">
      <c r="F1499"/>
    </row>
    <row r="1500" spans="6:6" x14ac:dyDescent="0.35">
      <c r="F1500"/>
    </row>
    <row r="1501" spans="6:6" x14ac:dyDescent="0.35">
      <c r="F1501"/>
    </row>
    <row r="1502" spans="6:6" x14ac:dyDescent="0.35">
      <c r="F1502"/>
    </row>
    <row r="1503" spans="6:6" x14ac:dyDescent="0.35">
      <c r="F1503"/>
    </row>
    <row r="1504" spans="6:6" x14ac:dyDescent="0.35">
      <c r="F1504"/>
    </row>
    <row r="1505" spans="6:6" x14ac:dyDescent="0.35">
      <c r="F1505"/>
    </row>
    <row r="1506" spans="6:6" x14ac:dyDescent="0.35">
      <c r="F1506"/>
    </row>
    <row r="1507" spans="6:6" x14ac:dyDescent="0.35">
      <c r="F1507"/>
    </row>
    <row r="1508" spans="6:6" x14ac:dyDescent="0.35">
      <c r="F1508"/>
    </row>
    <row r="1509" spans="6:6" x14ac:dyDescent="0.35">
      <c r="F1509"/>
    </row>
    <row r="1510" spans="6:6" x14ac:dyDescent="0.35">
      <c r="F1510"/>
    </row>
    <row r="1511" spans="6:6" x14ac:dyDescent="0.35">
      <c r="F1511"/>
    </row>
    <row r="1512" spans="6:6" x14ac:dyDescent="0.35">
      <c r="F1512"/>
    </row>
    <row r="1513" spans="6:6" x14ac:dyDescent="0.35">
      <c r="F1513"/>
    </row>
    <row r="1514" spans="6:6" x14ac:dyDescent="0.35">
      <c r="F1514"/>
    </row>
    <row r="1515" spans="6:6" x14ac:dyDescent="0.35">
      <c r="F1515"/>
    </row>
    <row r="1516" spans="6:6" x14ac:dyDescent="0.35">
      <c r="F1516"/>
    </row>
    <row r="1517" spans="6:6" x14ac:dyDescent="0.35">
      <c r="F1517"/>
    </row>
    <row r="1518" spans="6:6" x14ac:dyDescent="0.35">
      <c r="F1518"/>
    </row>
    <row r="1519" spans="6:6" x14ac:dyDescent="0.35">
      <c r="F1519"/>
    </row>
    <row r="1520" spans="6:6" x14ac:dyDescent="0.35">
      <c r="F1520"/>
    </row>
    <row r="1521" spans="6:6" x14ac:dyDescent="0.35">
      <c r="F1521"/>
    </row>
    <row r="1522" spans="6:6" x14ac:dyDescent="0.35">
      <c r="F1522"/>
    </row>
    <row r="1523" spans="6:6" x14ac:dyDescent="0.35">
      <c r="F1523"/>
    </row>
    <row r="1524" spans="6:6" x14ac:dyDescent="0.35">
      <c r="F1524"/>
    </row>
    <row r="1525" spans="6:6" x14ac:dyDescent="0.35">
      <c r="F1525"/>
    </row>
    <row r="1526" spans="6:6" x14ac:dyDescent="0.35">
      <c r="F1526"/>
    </row>
    <row r="1527" spans="6:6" x14ac:dyDescent="0.35">
      <c r="F1527"/>
    </row>
    <row r="1528" spans="6:6" x14ac:dyDescent="0.35">
      <c r="F1528"/>
    </row>
    <row r="1529" spans="6:6" x14ac:dyDescent="0.35">
      <c r="F1529"/>
    </row>
    <row r="1530" spans="6:6" x14ac:dyDescent="0.35">
      <c r="F1530"/>
    </row>
    <row r="1531" spans="6:6" x14ac:dyDescent="0.35">
      <c r="F1531"/>
    </row>
    <row r="1532" spans="6:6" x14ac:dyDescent="0.35">
      <c r="F1532"/>
    </row>
    <row r="1533" spans="6:6" x14ac:dyDescent="0.35">
      <c r="F1533"/>
    </row>
    <row r="1534" spans="6:6" x14ac:dyDescent="0.35">
      <c r="F1534"/>
    </row>
    <row r="1535" spans="6:6" x14ac:dyDescent="0.35">
      <c r="F1535"/>
    </row>
    <row r="1536" spans="6:6" x14ac:dyDescent="0.35">
      <c r="F1536"/>
    </row>
    <row r="1537" spans="6:6" x14ac:dyDescent="0.35">
      <c r="F1537"/>
    </row>
    <row r="1538" spans="6:6" x14ac:dyDescent="0.35">
      <c r="F1538"/>
    </row>
    <row r="1539" spans="6:6" x14ac:dyDescent="0.35">
      <c r="F1539"/>
    </row>
    <row r="1540" spans="6:6" x14ac:dyDescent="0.35">
      <c r="F1540"/>
    </row>
    <row r="1541" spans="6:6" x14ac:dyDescent="0.35">
      <c r="F1541"/>
    </row>
    <row r="1542" spans="6:6" x14ac:dyDescent="0.35">
      <c r="F1542"/>
    </row>
    <row r="1543" spans="6:6" x14ac:dyDescent="0.35">
      <c r="F1543"/>
    </row>
    <row r="1544" spans="6:6" x14ac:dyDescent="0.35">
      <c r="F1544"/>
    </row>
    <row r="1545" spans="6:6" x14ac:dyDescent="0.35">
      <c r="F1545"/>
    </row>
    <row r="1546" spans="6:6" x14ac:dyDescent="0.35">
      <c r="F1546"/>
    </row>
    <row r="1547" spans="6:6" x14ac:dyDescent="0.35">
      <c r="F1547"/>
    </row>
    <row r="1548" spans="6:6" x14ac:dyDescent="0.35">
      <c r="F1548"/>
    </row>
    <row r="1549" spans="6:6" x14ac:dyDescent="0.35">
      <c r="F1549"/>
    </row>
    <row r="1550" spans="6:6" x14ac:dyDescent="0.35">
      <c r="F1550"/>
    </row>
    <row r="1551" spans="6:6" x14ac:dyDescent="0.35">
      <c r="F1551"/>
    </row>
    <row r="1552" spans="6:6" x14ac:dyDescent="0.35">
      <c r="F1552"/>
    </row>
    <row r="1553" spans="6:6" x14ac:dyDescent="0.35">
      <c r="F1553"/>
    </row>
    <row r="1554" spans="6:6" x14ac:dyDescent="0.35">
      <c r="F1554"/>
    </row>
    <row r="1555" spans="6:6" x14ac:dyDescent="0.35">
      <c r="F1555"/>
    </row>
    <row r="1556" spans="6:6" x14ac:dyDescent="0.35">
      <c r="F1556"/>
    </row>
    <row r="1557" spans="6:6" x14ac:dyDescent="0.35">
      <c r="F1557"/>
    </row>
    <row r="1558" spans="6:6" x14ac:dyDescent="0.35">
      <c r="F1558"/>
    </row>
    <row r="1559" spans="6:6" x14ac:dyDescent="0.35">
      <c r="F1559"/>
    </row>
    <row r="1560" spans="6:6" x14ac:dyDescent="0.35">
      <c r="F1560"/>
    </row>
    <row r="1561" spans="6:6" x14ac:dyDescent="0.35">
      <c r="F1561"/>
    </row>
    <row r="1562" spans="6:6" x14ac:dyDescent="0.35">
      <c r="F1562"/>
    </row>
    <row r="1563" spans="6:6" x14ac:dyDescent="0.35">
      <c r="F1563"/>
    </row>
    <row r="1564" spans="6:6" x14ac:dyDescent="0.35">
      <c r="F1564"/>
    </row>
    <row r="1565" spans="6:6" x14ac:dyDescent="0.35">
      <c r="F1565"/>
    </row>
    <row r="1566" spans="6:6" x14ac:dyDescent="0.35">
      <c r="F1566"/>
    </row>
    <row r="1567" spans="6:6" x14ac:dyDescent="0.35">
      <c r="F1567"/>
    </row>
    <row r="1568" spans="6:6" x14ac:dyDescent="0.35">
      <c r="F1568"/>
    </row>
    <row r="1569" spans="6:6" x14ac:dyDescent="0.35">
      <c r="F1569"/>
    </row>
    <row r="1570" spans="6:6" x14ac:dyDescent="0.35">
      <c r="F1570"/>
    </row>
    <row r="1571" spans="6:6" x14ac:dyDescent="0.35">
      <c r="F1571"/>
    </row>
    <row r="1572" spans="6:6" x14ac:dyDescent="0.35">
      <c r="F1572"/>
    </row>
    <row r="1573" spans="6:6" x14ac:dyDescent="0.35">
      <c r="F1573"/>
    </row>
    <row r="1574" spans="6:6" x14ac:dyDescent="0.35">
      <c r="F1574"/>
    </row>
    <row r="1575" spans="6:6" x14ac:dyDescent="0.35">
      <c r="F1575"/>
    </row>
    <row r="1576" spans="6:6" x14ac:dyDescent="0.35">
      <c r="F1576"/>
    </row>
    <row r="1577" spans="6:6" x14ac:dyDescent="0.35">
      <c r="F1577"/>
    </row>
    <row r="1578" spans="6:6" x14ac:dyDescent="0.35">
      <c r="F1578"/>
    </row>
    <row r="1579" spans="6:6" x14ac:dyDescent="0.35">
      <c r="F1579"/>
    </row>
    <row r="1580" spans="6:6" x14ac:dyDescent="0.35">
      <c r="F1580"/>
    </row>
    <row r="1581" spans="6:6" x14ac:dyDescent="0.35">
      <c r="F1581"/>
    </row>
    <row r="1582" spans="6:6" x14ac:dyDescent="0.35">
      <c r="F1582"/>
    </row>
    <row r="1583" spans="6:6" x14ac:dyDescent="0.35">
      <c r="F1583"/>
    </row>
    <row r="1584" spans="6:6" x14ac:dyDescent="0.35">
      <c r="F1584"/>
    </row>
    <row r="1585" spans="6:6" x14ac:dyDescent="0.35">
      <c r="F1585"/>
    </row>
    <row r="1586" spans="6:6" x14ac:dyDescent="0.35">
      <c r="F1586"/>
    </row>
    <row r="1587" spans="6:6" x14ac:dyDescent="0.35">
      <c r="F1587"/>
    </row>
    <row r="1588" spans="6:6" x14ac:dyDescent="0.35">
      <c r="F1588"/>
    </row>
    <row r="1589" spans="6:6" x14ac:dyDescent="0.35">
      <c r="F1589"/>
    </row>
    <row r="1590" spans="6:6" x14ac:dyDescent="0.35">
      <c r="F1590"/>
    </row>
    <row r="1591" spans="6:6" x14ac:dyDescent="0.35">
      <c r="F1591"/>
    </row>
    <row r="1592" spans="6:6" x14ac:dyDescent="0.35">
      <c r="F1592"/>
    </row>
    <row r="1593" spans="6:6" x14ac:dyDescent="0.35">
      <c r="F1593"/>
    </row>
    <row r="1594" spans="6:6" x14ac:dyDescent="0.35">
      <c r="F1594"/>
    </row>
    <row r="1595" spans="6:6" x14ac:dyDescent="0.35">
      <c r="F1595"/>
    </row>
    <row r="1596" spans="6:6" x14ac:dyDescent="0.35">
      <c r="F1596"/>
    </row>
    <row r="1597" spans="6:6" x14ac:dyDescent="0.35">
      <c r="F1597"/>
    </row>
    <row r="1598" spans="6:6" x14ac:dyDescent="0.35">
      <c r="F1598"/>
    </row>
    <row r="1599" spans="6:6" x14ac:dyDescent="0.35">
      <c r="F1599"/>
    </row>
    <row r="1600" spans="6:6" x14ac:dyDescent="0.35">
      <c r="F1600"/>
    </row>
    <row r="1601" spans="6:6" x14ac:dyDescent="0.35">
      <c r="F1601"/>
    </row>
    <row r="1602" spans="6:6" x14ac:dyDescent="0.35">
      <c r="F1602"/>
    </row>
    <row r="1603" spans="6:6" x14ac:dyDescent="0.35">
      <c r="F1603"/>
    </row>
    <row r="1604" spans="6:6" x14ac:dyDescent="0.35">
      <c r="F1604"/>
    </row>
    <row r="1605" spans="6:6" x14ac:dyDescent="0.35">
      <c r="F1605"/>
    </row>
    <row r="1606" spans="6:6" x14ac:dyDescent="0.35">
      <c r="F1606"/>
    </row>
    <row r="1607" spans="6:6" x14ac:dyDescent="0.35">
      <c r="F1607"/>
    </row>
    <row r="1608" spans="6:6" x14ac:dyDescent="0.35">
      <c r="F1608"/>
    </row>
    <row r="1609" spans="6:6" x14ac:dyDescent="0.35">
      <c r="F1609"/>
    </row>
    <row r="1610" spans="6:6" x14ac:dyDescent="0.35">
      <c r="F1610"/>
    </row>
    <row r="1611" spans="6:6" x14ac:dyDescent="0.35">
      <c r="F1611"/>
    </row>
    <row r="1612" spans="6:6" x14ac:dyDescent="0.35">
      <c r="F1612"/>
    </row>
    <row r="1613" spans="6:6" x14ac:dyDescent="0.35">
      <c r="F1613"/>
    </row>
    <row r="1614" spans="6:6" x14ac:dyDescent="0.35">
      <c r="F1614"/>
    </row>
    <row r="1615" spans="6:6" x14ac:dyDescent="0.35">
      <c r="F1615"/>
    </row>
    <row r="1616" spans="6:6" x14ac:dyDescent="0.35">
      <c r="F1616"/>
    </row>
    <row r="1617" spans="6:6" x14ac:dyDescent="0.35">
      <c r="F1617"/>
    </row>
    <row r="1618" spans="6:6" x14ac:dyDescent="0.35">
      <c r="F1618"/>
    </row>
    <row r="1619" spans="6:6" x14ac:dyDescent="0.35">
      <c r="F1619"/>
    </row>
    <row r="1620" spans="6:6" x14ac:dyDescent="0.35">
      <c r="F1620"/>
    </row>
    <row r="1621" spans="6:6" x14ac:dyDescent="0.35">
      <c r="F1621"/>
    </row>
    <row r="1622" spans="6:6" x14ac:dyDescent="0.35">
      <c r="F1622"/>
    </row>
    <row r="1623" spans="6:6" x14ac:dyDescent="0.35">
      <c r="F1623"/>
    </row>
    <row r="1624" spans="6:6" x14ac:dyDescent="0.35">
      <c r="F1624"/>
    </row>
    <row r="1625" spans="6:6" x14ac:dyDescent="0.35">
      <c r="F1625"/>
    </row>
    <row r="1626" spans="6:6" x14ac:dyDescent="0.35">
      <c r="F1626"/>
    </row>
    <row r="1627" spans="6:6" x14ac:dyDescent="0.35">
      <c r="F1627"/>
    </row>
    <row r="1628" spans="6:6" x14ac:dyDescent="0.35">
      <c r="F1628"/>
    </row>
    <row r="1629" spans="6:6" x14ac:dyDescent="0.35">
      <c r="F1629"/>
    </row>
    <row r="1630" spans="6:6" x14ac:dyDescent="0.35">
      <c r="F1630"/>
    </row>
    <row r="1631" spans="6:6" x14ac:dyDescent="0.35">
      <c r="F1631"/>
    </row>
    <row r="1632" spans="6:6" x14ac:dyDescent="0.35">
      <c r="F1632"/>
    </row>
    <row r="1633" spans="6:6" x14ac:dyDescent="0.35">
      <c r="F1633"/>
    </row>
    <row r="1634" spans="6:6" x14ac:dyDescent="0.35">
      <c r="F1634"/>
    </row>
    <row r="1635" spans="6:6" x14ac:dyDescent="0.35">
      <c r="F1635"/>
    </row>
    <row r="1636" spans="6:6" x14ac:dyDescent="0.35">
      <c r="F1636"/>
    </row>
    <row r="1637" spans="6:6" x14ac:dyDescent="0.35">
      <c r="F1637"/>
    </row>
    <row r="1638" spans="6:6" x14ac:dyDescent="0.35">
      <c r="F1638"/>
    </row>
    <row r="1639" spans="6:6" x14ac:dyDescent="0.35">
      <c r="F1639"/>
    </row>
    <row r="1640" spans="6:6" x14ac:dyDescent="0.35">
      <c r="F1640"/>
    </row>
    <row r="1641" spans="6:6" x14ac:dyDescent="0.35">
      <c r="F1641"/>
    </row>
    <row r="1642" spans="6:6" x14ac:dyDescent="0.35">
      <c r="F1642"/>
    </row>
    <row r="1643" spans="6:6" x14ac:dyDescent="0.35">
      <c r="F1643"/>
    </row>
    <row r="1644" spans="6:6" x14ac:dyDescent="0.35">
      <c r="F1644"/>
    </row>
    <row r="1645" spans="6:6" x14ac:dyDescent="0.35">
      <c r="F1645"/>
    </row>
    <row r="1646" spans="6:6" x14ac:dyDescent="0.35">
      <c r="F1646"/>
    </row>
    <row r="1647" spans="6:6" x14ac:dyDescent="0.35">
      <c r="F1647"/>
    </row>
    <row r="1648" spans="6:6" x14ac:dyDescent="0.35">
      <c r="F1648"/>
    </row>
    <row r="1649" spans="6:6" x14ac:dyDescent="0.35">
      <c r="F1649"/>
    </row>
    <row r="1650" spans="6:6" x14ac:dyDescent="0.35">
      <c r="F1650"/>
    </row>
    <row r="1651" spans="6:6" x14ac:dyDescent="0.35">
      <c r="F1651"/>
    </row>
    <row r="1652" spans="6:6" x14ac:dyDescent="0.35">
      <c r="F1652"/>
    </row>
    <row r="1653" spans="6:6" x14ac:dyDescent="0.35">
      <c r="F1653"/>
    </row>
    <row r="1654" spans="6:6" x14ac:dyDescent="0.35">
      <c r="F1654"/>
    </row>
    <row r="1655" spans="6:6" x14ac:dyDescent="0.35">
      <c r="F1655"/>
    </row>
    <row r="1656" spans="6:6" x14ac:dyDescent="0.35">
      <c r="F1656"/>
    </row>
    <row r="1657" spans="6:6" x14ac:dyDescent="0.35">
      <c r="F1657"/>
    </row>
    <row r="1658" spans="6:6" x14ac:dyDescent="0.35">
      <c r="F1658"/>
    </row>
    <row r="1659" spans="6:6" x14ac:dyDescent="0.35">
      <c r="F1659"/>
    </row>
    <row r="1660" spans="6:6" x14ac:dyDescent="0.35">
      <c r="F1660"/>
    </row>
    <row r="1661" spans="6:6" x14ac:dyDescent="0.35">
      <c r="F1661"/>
    </row>
    <row r="1662" spans="6:6" x14ac:dyDescent="0.35">
      <c r="F1662"/>
    </row>
    <row r="1663" spans="6:6" x14ac:dyDescent="0.35">
      <c r="F1663"/>
    </row>
    <row r="1664" spans="6:6" x14ac:dyDescent="0.35">
      <c r="F1664"/>
    </row>
    <row r="1665" spans="6:6" x14ac:dyDescent="0.35">
      <c r="F1665"/>
    </row>
    <row r="1666" spans="6:6" x14ac:dyDescent="0.35">
      <c r="F1666"/>
    </row>
    <row r="1667" spans="6:6" x14ac:dyDescent="0.35">
      <c r="F1667"/>
    </row>
    <row r="1668" spans="6:6" x14ac:dyDescent="0.35">
      <c r="F1668"/>
    </row>
    <row r="1669" spans="6:6" x14ac:dyDescent="0.35">
      <c r="F1669"/>
    </row>
    <row r="1670" spans="6:6" x14ac:dyDescent="0.35">
      <c r="F1670"/>
    </row>
    <row r="1671" spans="6:6" x14ac:dyDescent="0.35">
      <c r="F1671"/>
    </row>
    <row r="1672" spans="6:6" x14ac:dyDescent="0.35">
      <c r="F1672"/>
    </row>
    <row r="1673" spans="6:6" x14ac:dyDescent="0.35">
      <c r="F1673"/>
    </row>
    <row r="1674" spans="6:6" x14ac:dyDescent="0.35">
      <c r="F1674"/>
    </row>
    <row r="1675" spans="6:6" x14ac:dyDescent="0.35">
      <c r="F1675"/>
    </row>
    <row r="1676" spans="6:6" x14ac:dyDescent="0.35">
      <c r="F1676"/>
    </row>
    <row r="1677" spans="6:6" x14ac:dyDescent="0.35">
      <c r="F1677"/>
    </row>
    <row r="1678" spans="6:6" x14ac:dyDescent="0.35">
      <c r="F1678"/>
    </row>
    <row r="1679" spans="6:6" x14ac:dyDescent="0.35">
      <c r="F1679"/>
    </row>
    <row r="1680" spans="6:6" x14ac:dyDescent="0.35">
      <c r="F1680"/>
    </row>
    <row r="1681" spans="6:6" x14ac:dyDescent="0.35">
      <c r="F1681"/>
    </row>
    <row r="1682" spans="6:6" x14ac:dyDescent="0.35">
      <c r="F1682"/>
    </row>
    <row r="1683" spans="6:6" x14ac:dyDescent="0.35">
      <c r="F1683"/>
    </row>
    <row r="1684" spans="6:6" x14ac:dyDescent="0.35">
      <c r="F1684"/>
    </row>
    <row r="1685" spans="6:6" x14ac:dyDescent="0.35">
      <c r="F1685"/>
    </row>
    <row r="1686" spans="6:6" x14ac:dyDescent="0.35">
      <c r="F1686"/>
    </row>
    <row r="1687" spans="6:6" x14ac:dyDescent="0.35">
      <c r="F1687"/>
    </row>
    <row r="1688" spans="6:6" x14ac:dyDescent="0.35">
      <c r="F1688"/>
    </row>
    <row r="1689" spans="6:6" x14ac:dyDescent="0.35">
      <c r="F1689"/>
    </row>
    <row r="1690" spans="6:6" x14ac:dyDescent="0.35">
      <c r="F1690"/>
    </row>
    <row r="1691" spans="6:6" x14ac:dyDescent="0.35">
      <c r="F1691"/>
    </row>
    <row r="1692" spans="6:6" x14ac:dyDescent="0.35">
      <c r="F1692"/>
    </row>
    <row r="1693" spans="6:6" x14ac:dyDescent="0.35">
      <c r="F1693"/>
    </row>
    <row r="1694" spans="6:6" x14ac:dyDescent="0.35">
      <c r="F1694"/>
    </row>
    <row r="1695" spans="6:6" x14ac:dyDescent="0.35">
      <c r="F1695"/>
    </row>
    <row r="1696" spans="6:6" x14ac:dyDescent="0.35">
      <c r="F1696"/>
    </row>
    <row r="1697" spans="6:6" x14ac:dyDescent="0.35">
      <c r="F1697"/>
    </row>
    <row r="1698" spans="6:6" x14ac:dyDescent="0.35">
      <c r="F1698"/>
    </row>
    <row r="1699" spans="6:6" x14ac:dyDescent="0.35">
      <c r="F1699"/>
    </row>
    <row r="1700" spans="6:6" x14ac:dyDescent="0.35">
      <c r="F1700"/>
    </row>
    <row r="1701" spans="6:6" x14ac:dyDescent="0.35">
      <c r="F1701"/>
    </row>
    <row r="1702" spans="6:6" x14ac:dyDescent="0.35">
      <c r="F1702"/>
    </row>
    <row r="1703" spans="6:6" x14ac:dyDescent="0.35">
      <c r="F1703"/>
    </row>
    <row r="1704" spans="6:6" x14ac:dyDescent="0.35">
      <c r="F1704"/>
    </row>
    <row r="1705" spans="6:6" x14ac:dyDescent="0.35">
      <c r="F1705"/>
    </row>
    <row r="1706" spans="6:6" x14ac:dyDescent="0.35">
      <c r="F1706"/>
    </row>
    <row r="1707" spans="6:6" x14ac:dyDescent="0.35">
      <c r="F1707"/>
    </row>
    <row r="1708" spans="6:6" x14ac:dyDescent="0.35">
      <c r="F1708"/>
    </row>
    <row r="1709" spans="6:6" x14ac:dyDescent="0.35">
      <c r="F1709"/>
    </row>
    <row r="1710" spans="6:6" x14ac:dyDescent="0.35">
      <c r="F1710"/>
    </row>
    <row r="1711" spans="6:6" x14ac:dyDescent="0.35">
      <c r="F1711"/>
    </row>
    <row r="1712" spans="6:6" x14ac:dyDescent="0.35">
      <c r="F1712"/>
    </row>
    <row r="1713" spans="6:6" x14ac:dyDescent="0.35">
      <c r="F1713"/>
    </row>
    <row r="1714" spans="6:6" x14ac:dyDescent="0.35">
      <c r="F1714"/>
    </row>
    <row r="1715" spans="6:6" x14ac:dyDescent="0.35">
      <c r="F1715"/>
    </row>
    <row r="1716" spans="6:6" x14ac:dyDescent="0.35">
      <c r="F1716"/>
    </row>
    <row r="1717" spans="6:6" x14ac:dyDescent="0.35">
      <c r="F1717"/>
    </row>
    <row r="1718" spans="6:6" x14ac:dyDescent="0.35">
      <c r="F1718"/>
    </row>
    <row r="1719" spans="6:6" x14ac:dyDescent="0.35">
      <c r="F1719"/>
    </row>
    <row r="1720" spans="6:6" x14ac:dyDescent="0.35">
      <c r="F1720"/>
    </row>
    <row r="1721" spans="6:6" x14ac:dyDescent="0.35">
      <c r="F1721"/>
    </row>
    <row r="1722" spans="6:6" x14ac:dyDescent="0.35">
      <c r="F1722"/>
    </row>
    <row r="1723" spans="6:6" x14ac:dyDescent="0.35">
      <c r="F1723"/>
    </row>
    <row r="1724" spans="6:6" x14ac:dyDescent="0.35">
      <c r="F1724"/>
    </row>
    <row r="1725" spans="6:6" x14ac:dyDescent="0.35">
      <c r="F1725"/>
    </row>
    <row r="1726" spans="6:6" x14ac:dyDescent="0.35">
      <c r="F1726"/>
    </row>
    <row r="1727" spans="6:6" x14ac:dyDescent="0.35">
      <c r="F1727"/>
    </row>
    <row r="1728" spans="6:6" x14ac:dyDescent="0.35">
      <c r="F1728"/>
    </row>
    <row r="1729" spans="6:6" x14ac:dyDescent="0.35">
      <c r="F1729"/>
    </row>
    <row r="1730" spans="6:6" x14ac:dyDescent="0.35">
      <c r="F1730"/>
    </row>
    <row r="1731" spans="6:6" x14ac:dyDescent="0.35">
      <c r="F1731"/>
    </row>
    <row r="1732" spans="6:6" x14ac:dyDescent="0.35">
      <c r="F1732"/>
    </row>
    <row r="1733" spans="6:6" x14ac:dyDescent="0.35">
      <c r="F1733"/>
    </row>
    <row r="1734" spans="6:6" x14ac:dyDescent="0.35">
      <c r="F1734"/>
    </row>
    <row r="1735" spans="6:6" x14ac:dyDescent="0.35">
      <c r="F1735"/>
    </row>
    <row r="1736" spans="6:6" x14ac:dyDescent="0.35">
      <c r="F1736"/>
    </row>
    <row r="1737" spans="6:6" x14ac:dyDescent="0.35">
      <c r="F1737"/>
    </row>
    <row r="1738" spans="6:6" x14ac:dyDescent="0.35">
      <c r="F1738"/>
    </row>
    <row r="1739" spans="6:6" x14ac:dyDescent="0.35">
      <c r="F1739"/>
    </row>
    <row r="1740" spans="6:6" x14ac:dyDescent="0.35">
      <c r="F1740"/>
    </row>
    <row r="1741" spans="6:6" x14ac:dyDescent="0.35">
      <c r="F1741"/>
    </row>
    <row r="1742" spans="6:6" x14ac:dyDescent="0.35">
      <c r="F1742"/>
    </row>
    <row r="1743" spans="6:6" x14ac:dyDescent="0.35">
      <c r="F1743"/>
    </row>
    <row r="1744" spans="6:6" x14ac:dyDescent="0.35">
      <c r="F1744"/>
    </row>
    <row r="1745" spans="6:6" x14ac:dyDescent="0.35">
      <c r="F1745"/>
    </row>
    <row r="1746" spans="6:6" x14ac:dyDescent="0.35">
      <c r="F1746"/>
    </row>
    <row r="1747" spans="6:6" x14ac:dyDescent="0.35">
      <c r="F1747"/>
    </row>
    <row r="1748" spans="6:6" x14ac:dyDescent="0.35">
      <c r="F1748"/>
    </row>
    <row r="1749" spans="6:6" x14ac:dyDescent="0.35">
      <c r="F1749"/>
    </row>
    <row r="1750" spans="6:6" x14ac:dyDescent="0.35">
      <c r="F1750"/>
    </row>
    <row r="1751" spans="6:6" x14ac:dyDescent="0.35">
      <c r="F1751"/>
    </row>
    <row r="1752" spans="6:6" x14ac:dyDescent="0.35">
      <c r="F1752"/>
    </row>
    <row r="1753" spans="6:6" x14ac:dyDescent="0.35">
      <c r="F1753"/>
    </row>
    <row r="1754" spans="6:6" x14ac:dyDescent="0.35">
      <c r="F1754"/>
    </row>
    <row r="1755" spans="6:6" x14ac:dyDescent="0.35">
      <c r="F1755"/>
    </row>
    <row r="1756" spans="6:6" x14ac:dyDescent="0.35">
      <c r="F1756"/>
    </row>
    <row r="1757" spans="6:6" x14ac:dyDescent="0.35">
      <c r="F1757"/>
    </row>
    <row r="1758" spans="6:6" x14ac:dyDescent="0.35">
      <c r="F1758"/>
    </row>
    <row r="1759" spans="6:6" x14ac:dyDescent="0.35">
      <c r="F1759"/>
    </row>
    <row r="1760" spans="6:6" x14ac:dyDescent="0.35">
      <c r="F1760"/>
    </row>
    <row r="1761" spans="6:6" x14ac:dyDescent="0.35">
      <c r="F1761"/>
    </row>
    <row r="1762" spans="6:6" x14ac:dyDescent="0.35">
      <c r="F1762"/>
    </row>
    <row r="1763" spans="6:6" x14ac:dyDescent="0.35">
      <c r="F1763"/>
    </row>
    <row r="1764" spans="6:6" x14ac:dyDescent="0.35">
      <c r="F1764"/>
    </row>
    <row r="1765" spans="6:6" x14ac:dyDescent="0.35">
      <c r="F1765"/>
    </row>
    <row r="1766" spans="6:6" x14ac:dyDescent="0.35">
      <c r="F1766"/>
    </row>
    <row r="1767" spans="6:6" x14ac:dyDescent="0.35">
      <c r="F1767"/>
    </row>
    <row r="1768" spans="6:6" x14ac:dyDescent="0.35">
      <c r="F1768"/>
    </row>
    <row r="1769" spans="6:6" x14ac:dyDescent="0.35">
      <c r="F1769"/>
    </row>
    <row r="1770" spans="6:6" x14ac:dyDescent="0.35">
      <c r="F1770"/>
    </row>
    <row r="1771" spans="6:6" x14ac:dyDescent="0.35">
      <c r="F1771"/>
    </row>
    <row r="1772" spans="6:6" x14ac:dyDescent="0.35">
      <c r="F1772"/>
    </row>
    <row r="1773" spans="6:6" x14ac:dyDescent="0.35">
      <c r="F1773"/>
    </row>
    <row r="1774" spans="6:6" x14ac:dyDescent="0.35">
      <c r="F1774"/>
    </row>
    <row r="1775" spans="6:6" x14ac:dyDescent="0.35">
      <c r="F1775"/>
    </row>
    <row r="1776" spans="6:6" x14ac:dyDescent="0.35">
      <c r="F1776"/>
    </row>
    <row r="1777" spans="6:6" x14ac:dyDescent="0.35">
      <c r="F1777"/>
    </row>
    <row r="1778" spans="6:6" x14ac:dyDescent="0.35">
      <c r="F1778"/>
    </row>
    <row r="1779" spans="6:6" x14ac:dyDescent="0.35">
      <c r="F1779"/>
    </row>
    <row r="1780" spans="6:6" x14ac:dyDescent="0.35">
      <c r="F1780"/>
    </row>
    <row r="1781" spans="6:6" x14ac:dyDescent="0.35">
      <c r="F1781"/>
    </row>
    <row r="1782" spans="6:6" x14ac:dyDescent="0.35">
      <c r="F1782"/>
    </row>
    <row r="1783" spans="6:6" x14ac:dyDescent="0.35">
      <c r="F1783"/>
    </row>
    <row r="1784" spans="6:6" x14ac:dyDescent="0.35">
      <c r="F1784"/>
    </row>
    <row r="1785" spans="6:6" x14ac:dyDescent="0.35">
      <c r="F1785"/>
    </row>
    <row r="1786" spans="6:6" x14ac:dyDescent="0.35">
      <c r="F1786"/>
    </row>
    <row r="1787" spans="6:6" x14ac:dyDescent="0.35">
      <c r="F1787"/>
    </row>
    <row r="1788" spans="6:6" x14ac:dyDescent="0.35">
      <c r="F1788"/>
    </row>
    <row r="1789" spans="6:6" x14ac:dyDescent="0.35">
      <c r="F1789"/>
    </row>
    <row r="1790" spans="6:6" x14ac:dyDescent="0.35">
      <c r="F1790"/>
    </row>
    <row r="1791" spans="6:6" x14ac:dyDescent="0.35">
      <c r="F1791"/>
    </row>
    <row r="1792" spans="6:6" x14ac:dyDescent="0.35">
      <c r="F1792"/>
    </row>
    <row r="1793" spans="6:6" x14ac:dyDescent="0.35">
      <c r="F1793"/>
    </row>
    <row r="1794" spans="6:6" x14ac:dyDescent="0.35">
      <c r="F1794"/>
    </row>
    <row r="1795" spans="6:6" x14ac:dyDescent="0.35">
      <c r="F1795"/>
    </row>
    <row r="1796" spans="6:6" x14ac:dyDescent="0.35">
      <c r="F1796"/>
    </row>
    <row r="1797" spans="6:6" x14ac:dyDescent="0.35">
      <c r="F1797"/>
    </row>
    <row r="1798" spans="6:6" x14ac:dyDescent="0.35">
      <c r="F1798"/>
    </row>
    <row r="1799" spans="6:6" x14ac:dyDescent="0.35">
      <c r="F1799"/>
    </row>
    <row r="1800" spans="6:6" x14ac:dyDescent="0.35">
      <c r="F1800"/>
    </row>
    <row r="1801" spans="6:6" x14ac:dyDescent="0.35">
      <c r="F1801"/>
    </row>
    <row r="1802" spans="6:6" x14ac:dyDescent="0.35">
      <c r="F1802"/>
    </row>
    <row r="1803" spans="6:6" x14ac:dyDescent="0.35">
      <c r="F1803"/>
    </row>
    <row r="1804" spans="6:6" x14ac:dyDescent="0.35">
      <c r="F1804"/>
    </row>
    <row r="1805" spans="6:6" x14ac:dyDescent="0.35">
      <c r="F1805"/>
    </row>
    <row r="1806" spans="6:6" x14ac:dyDescent="0.35">
      <c r="F1806"/>
    </row>
    <row r="1807" spans="6:6" x14ac:dyDescent="0.35">
      <c r="F1807"/>
    </row>
    <row r="1808" spans="6:6" x14ac:dyDescent="0.35">
      <c r="F1808"/>
    </row>
    <row r="1809" spans="6:6" x14ac:dyDescent="0.35">
      <c r="F1809"/>
    </row>
    <row r="1810" spans="6:6" x14ac:dyDescent="0.35">
      <c r="F1810"/>
    </row>
    <row r="1811" spans="6:6" x14ac:dyDescent="0.35">
      <c r="F1811"/>
    </row>
    <row r="1812" spans="6:6" x14ac:dyDescent="0.35">
      <c r="F1812"/>
    </row>
    <row r="1813" spans="6:6" x14ac:dyDescent="0.35">
      <c r="F1813"/>
    </row>
    <row r="1814" spans="6:6" x14ac:dyDescent="0.35">
      <c r="F1814"/>
    </row>
    <row r="1815" spans="6:6" x14ac:dyDescent="0.35">
      <c r="F1815"/>
    </row>
    <row r="1816" spans="6:6" x14ac:dyDescent="0.35">
      <c r="F1816"/>
    </row>
    <row r="1817" spans="6:6" x14ac:dyDescent="0.35">
      <c r="F1817"/>
    </row>
    <row r="1818" spans="6:6" x14ac:dyDescent="0.35">
      <c r="F1818"/>
    </row>
    <row r="1819" spans="6:6" x14ac:dyDescent="0.35">
      <c r="F1819"/>
    </row>
    <row r="1820" spans="6:6" x14ac:dyDescent="0.35">
      <c r="F1820"/>
    </row>
    <row r="1821" spans="6:6" x14ac:dyDescent="0.35">
      <c r="F1821"/>
    </row>
    <row r="1822" spans="6:6" x14ac:dyDescent="0.35">
      <c r="F1822"/>
    </row>
    <row r="1823" spans="6:6" x14ac:dyDescent="0.35">
      <c r="F1823"/>
    </row>
    <row r="1824" spans="6:6" x14ac:dyDescent="0.35">
      <c r="F1824"/>
    </row>
    <row r="1825" spans="6:6" x14ac:dyDescent="0.35">
      <c r="F1825"/>
    </row>
    <row r="1826" spans="6:6" x14ac:dyDescent="0.35">
      <c r="F1826"/>
    </row>
    <row r="1827" spans="6:6" x14ac:dyDescent="0.35">
      <c r="F1827"/>
    </row>
    <row r="1828" spans="6:6" x14ac:dyDescent="0.35">
      <c r="F1828"/>
    </row>
    <row r="1829" spans="6:6" x14ac:dyDescent="0.35">
      <c r="F1829"/>
    </row>
    <row r="1830" spans="6:6" x14ac:dyDescent="0.35">
      <c r="F1830"/>
    </row>
    <row r="1831" spans="6:6" x14ac:dyDescent="0.35">
      <c r="F1831"/>
    </row>
    <row r="1832" spans="6:6" x14ac:dyDescent="0.35">
      <c r="F1832"/>
    </row>
    <row r="1833" spans="6:6" x14ac:dyDescent="0.35">
      <c r="F1833"/>
    </row>
    <row r="1834" spans="6:6" x14ac:dyDescent="0.35">
      <c r="F1834"/>
    </row>
    <row r="1835" spans="6:6" x14ac:dyDescent="0.35">
      <c r="F1835"/>
    </row>
    <row r="1836" spans="6:6" x14ac:dyDescent="0.35">
      <c r="F1836"/>
    </row>
    <row r="1837" spans="6:6" x14ac:dyDescent="0.35">
      <c r="F1837"/>
    </row>
    <row r="1838" spans="6:6" x14ac:dyDescent="0.35">
      <c r="F1838"/>
    </row>
    <row r="1839" spans="6:6" x14ac:dyDescent="0.35">
      <c r="F1839"/>
    </row>
    <row r="1840" spans="6:6" x14ac:dyDescent="0.35">
      <c r="F1840"/>
    </row>
    <row r="1841" spans="6:6" x14ac:dyDescent="0.35">
      <c r="F1841"/>
    </row>
    <row r="1842" spans="6:6" x14ac:dyDescent="0.35">
      <c r="F1842"/>
    </row>
    <row r="1843" spans="6:6" x14ac:dyDescent="0.35">
      <c r="F1843"/>
    </row>
    <row r="1844" spans="6:6" x14ac:dyDescent="0.35">
      <c r="F1844"/>
    </row>
    <row r="1845" spans="6:6" x14ac:dyDescent="0.35">
      <c r="F1845"/>
    </row>
    <row r="1846" spans="6:6" x14ac:dyDescent="0.35">
      <c r="F1846"/>
    </row>
    <row r="1847" spans="6:6" x14ac:dyDescent="0.35">
      <c r="F1847"/>
    </row>
    <row r="1848" spans="6:6" x14ac:dyDescent="0.35">
      <c r="F1848"/>
    </row>
    <row r="1849" spans="6:6" x14ac:dyDescent="0.35">
      <c r="F1849"/>
    </row>
    <row r="1850" spans="6:6" x14ac:dyDescent="0.35">
      <c r="F1850"/>
    </row>
    <row r="1851" spans="6:6" x14ac:dyDescent="0.35">
      <c r="F1851"/>
    </row>
    <row r="1852" spans="6:6" x14ac:dyDescent="0.35">
      <c r="F1852"/>
    </row>
    <row r="1853" spans="6:6" x14ac:dyDescent="0.35">
      <c r="F1853"/>
    </row>
    <row r="1854" spans="6:6" x14ac:dyDescent="0.35">
      <c r="F1854"/>
    </row>
    <row r="1855" spans="6:6" x14ac:dyDescent="0.35">
      <c r="F1855"/>
    </row>
    <row r="1856" spans="6:6" x14ac:dyDescent="0.35">
      <c r="F1856"/>
    </row>
    <row r="1857" spans="6:6" x14ac:dyDescent="0.35">
      <c r="F1857"/>
    </row>
    <row r="1858" spans="6:6" x14ac:dyDescent="0.35">
      <c r="F1858"/>
    </row>
    <row r="1859" spans="6:6" x14ac:dyDescent="0.35">
      <c r="F1859"/>
    </row>
    <row r="1860" spans="6:6" x14ac:dyDescent="0.35">
      <c r="F1860"/>
    </row>
    <row r="1861" spans="6:6" x14ac:dyDescent="0.35">
      <c r="F1861"/>
    </row>
    <row r="1862" spans="6:6" x14ac:dyDescent="0.35">
      <c r="F1862"/>
    </row>
    <row r="1863" spans="6:6" x14ac:dyDescent="0.35">
      <c r="F1863"/>
    </row>
    <row r="1864" spans="6:6" x14ac:dyDescent="0.35">
      <c r="F1864"/>
    </row>
    <row r="1865" spans="6:6" x14ac:dyDescent="0.35">
      <c r="F1865"/>
    </row>
    <row r="1866" spans="6:6" x14ac:dyDescent="0.35">
      <c r="F1866"/>
    </row>
    <row r="1867" spans="6:6" x14ac:dyDescent="0.35">
      <c r="F1867"/>
    </row>
    <row r="1868" spans="6:6" x14ac:dyDescent="0.35">
      <c r="F1868"/>
    </row>
    <row r="1869" spans="6:6" x14ac:dyDescent="0.35">
      <c r="F1869"/>
    </row>
    <row r="1870" spans="6:6" x14ac:dyDescent="0.35">
      <c r="F1870"/>
    </row>
    <row r="1871" spans="6:6" x14ac:dyDescent="0.35">
      <c r="F1871"/>
    </row>
    <row r="1872" spans="6:6" x14ac:dyDescent="0.35">
      <c r="F1872"/>
    </row>
    <row r="1873" spans="6:6" x14ac:dyDescent="0.35">
      <c r="F1873"/>
    </row>
    <row r="1874" spans="6:6" x14ac:dyDescent="0.35">
      <c r="F1874"/>
    </row>
    <row r="1875" spans="6:6" x14ac:dyDescent="0.35">
      <c r="F1875"/>
    </row>
    <row r="1876" spans="6:6" x14ac:dyDescent="0.35">
      <c r="F1876"/>
    </row>
    <row r="1877" spans="6:6" x14ac:dyDescent="0.35">
      <c r="F1877"/>
    </row>
    <row r="1878" spans="6:6" x14ac:dyDescent="0.35">
      <c r="F1878"/>
    </row>
    <row r="1879" spans="6:6" x14ac:dyDescent="0.35">
      <c r="F1879"/>
    </row>
    <row r="1880" spans="6:6" x14ac:dyDescent="0.35">
      <c r="F1880"/>
    </row>
    <row r="1881" spans="6:6" x14ac:dyDescent="0.35">
      <c r="F1881"/>
    </row>
    <row r="1882" spans="6:6" x14ac:dyDescent="0.35">
      <c r="F1882"/>
    </row>
    <row r="1883" spans="6:6" x14ac:dyDescent="0.35">
      <c r="F1883"/>
    </row>
    <row r="1884" spans="6:6" x14ac:dyDescent="0.35">
      <c r="F1884"/>
    </row>
    <row r="1885" spans="6:6" x14ac:dyDescent="0.35">
      <c r="F1885"/>
    </row>
    <row r="1886" spans="6:6" x14ac:dyDescent="0.35">
      <c r="F1886"/>
    </row>
    <row r="1887" spans="6:6" x14ac:dyDescent="0.35">
      <c r="F1887"/>
    </row>
    <row r="1888" spans="6:6" x14ac:dyDescent="0.35">
      <c r="F1888"/>
    </row>
    <row r="1889" spans="6:6" x14ac:dyDescent="0.35">
      <c r="F1889"/>
    </row>
    <row r="1890" spans="6:6" x14ac:dyDescent="0.35">
      <c r="F1890"/>
    </row>
    <row r="1891" spans="6:6" x14ac:dyDescent="0.35">
      <c r="F1891"/>
    </row>
    <row r="1892" spans="6:6" x14ac:dyDescent="0.35">
      <c r="F1892"/>
    </row>
    <row r="1893" spans="6:6" x14ac:dyDescent="0.35">
      <c r="F1893"/>
    </row>
    <row r="1894" spans="6:6" x14ac:dyDescent="0.35">
      <c r="F1894"/>
    </row>
    <row r="1895" spans="6:6" x14ac:dyDescent="0.35">
      <c r="F1895"/>
    </row>
    <row r="1896" spans="6:6" x14ac:dyDescent="0.35">
      <c r="F1896"/>
    </row>
    <row r="1897" spans="6:6" x14ac:dyDescent="0.35">
      <c r="F1897"/>
    </row>
    <row r="1898" spans="6:6" x14ac:dyDescent="0.35">
      <c r="F1898"/>
    </row>
    <row r="1899" spans="6:6" x14ac:dyDescent="0.35">
      <c r="F1899"/>
    </row>
    <row r="1900" spans="6:6" x14ac:dyDescent="0.35">
      <c r="F1900"/>
    </row>
    <row r="1901" spans="6:6" x14ac:dyDescent="0.35">
      <c r="F1901"/>
    </row>
    <row r="1902" spans="6:6" x14ac:dyDescent="0.35">
      <c r="F1902"/>
    </row>
    <row r="1903" spans="6:6" x14ac:dyDescent="0.35">
      <c r="F1903"/>
    </row>
    <row r="1904" spans="6:6" x14ac:dyDescent="0.35">
      <c r="F1904"/>
    </row>
    <row r="1905" spans="6:6" x14ac:dyDescent="0.35">
      <c r="F1905"/>
    </row>
    <row r="1906" spans="6:6" x14ac:dyDescent="0.35">
      <c r="F1906"/>
    </row>
    <row r="1907" spans="6:6" x14ac:dyDescent="0.35">
      <c r="F1907"/>
    </row>
    <row r="1908" spans="6:6" x14ac:dyDescent="0.35">
      <c r="F1908"/>
    </row>
    <row r="1909" spans="6:6" x14ac:dyDescent="0.35">
      <c r="F1909"/>
    </row>
    <row r="1910" spans="6:6" x14ac:dyDescent="0.35">
      <c r="F1910"/>
    </row>
    <row r="1911" spans="6:6" x14ac:dyDescent="0.35">
      <c r="F1911"/>
    </row>
    <row r="1912" spans="6:6" x14ac:dyDescent="0.35">
      <c r="F1912"/>
    </row>
    <row r="1913" spans="6:6" x14ac:dyDescent="0.35">
      <c r="F1913"/>
    </row>
    <row r="1914" spans="6:6" x14ac:dyDescent="0.35">
      <c r="F1914"/>
    </row>
    <row r="1915" spans="6:6" x14ac:dyDescent="0.35">
      <c r="F1915"/>
    </row>
    <row r="1916" spans="6:6" x14ac:dyDescent="0.35">
      <c r="F1916"/>
    </row>
    <row r="1917" spans="6:6" x14ac:dyDescent="0.35">
      <c r="F1917"/>
    </row>
    <row r="1918" spans="6:6" x14ac:dyDescent="0.35">
      <c r="F1918"/>
    </row>
    <row r="1919" spans="6:6" x14ac:dyDescent="0.35">
      <c r="F1919"/>
    </row>
    <row r="1920" spans="6:6" x14ac:dyDescent="0.35">
      <c r="F1920"/>
    </row>
    <row r="1921" spans="6:6" x14ac:dyDescent="0.35">
      <c r="F1921"/>
    </row>
    <row r="1922" spans="6:6" x14ac:dyDescent="0.35">
      <c r="F1922"/>
    </row>
    <row r="1923" spans="6:6" x14ac:dyDescent="0.35">
      <c r="F1923"/>
    </row>
    <row r="1924" spans="6:6" x14ac:dyDescent="0.35">
      <c r="F1924"/>
    </row>
    <row r="1925" spans="6:6" x14ac:dyDescent="0.35">
      <c r="F1925"/>
    </row>
    <row r="1926" spans="6:6" x14ac:dyDescent="0.35">
      <c r="F1926"/>
    </row>
    <row r="1927" spans="6:6" x14ac:dyDescent="0.35">
      <c r="F1927"/>
    </row>
    <row r="1928" spans="6:6" x14ac:dyDescent="0.35">
      <c r="F1928"/>
    </row>
    <row r="1929" spans="6:6" x14ac:dyDescent="0.35">
      <c r="F1929"/>
    </row>
    <row r="1930" spans="6:6" x14ac:dyDescent="0.35">
      <c r="F1930"/>
    </row>
    <row r="1931" spans="6:6" x14ac:dyDescent="0.35">
      <c r="F1931"/>
    </row>
    <row r="1932" spans="6:6" x14ac:dyDescent="0.35">
      <c r="F1932"/>
    </row>
    <row r="1933" spans="6:6" x14ac:dyDescent="0.35">
      <c r="F1933"/>
    </row>
    <row r="1934" spans="6:6" x14ac:dyDescent="0.35">
      <c r="F1934"/>
    </row>
    <row r="1935" spans="6:6" x14ac:dyDescent="0.35">
      <c r="F1935"/>
    </row>
    <row r="1936" spans="6:6" x14ac:dyDescent="0.35">
      <c r="F1936"/>
    </row>
    <row r="1937" spans="6:6" x14ac:dyDescent="0.35">
      <c r="F1937"/>
    </row>
    <row r="1938" spans="6:6" x14ac:dyDescent="0.35">
      <c r="F1938"/>
    </row>
    <row r="1939" spans="6:6" x14ac:dyDescent="0.35">
      <c r="F1939"/>
    </row>
    <row r="1940" spans="6:6" x14ac:dyDescent="0.35">
      <c r="F1940"/>
    </row>
    <row r="1941" spans="6:6" x14ac:dyDescent="0.35">
      <c r="F1941"/>
    </row>
    <row r="1942" spans="6:6" x14ac:dyDescent="0.35">
      <c r="F1942"/>
    </row>
    <row r="1943" spans="6:6" x14ac:dyDescent="0.35">
      <c r="F1943"/>
    </row>
    <row r="1944" spans="6:6" x14ac:dyDescent="0.35">
      <c r="F1944"/>
    </row>
    <row r="1945" spans="6:6" x14ac:dyDescent="0.35">
      <c r="F1945"/>
    </row>
    <row r="1946" spans="6:6" x14ac:dyDescent="0.35">
      <c r="F1946"/>
    </row>
    <row r="1947" spans="6:6" x14ac:dyDescent="0.35">
      <c r="F1947"/>
    </row>
    <row r="1948" spans="6:6" x14ac:dyDescent="0.35">
      <c r="F1948"/>
    </row>
    <row r="1949" spans="6:6" x14ac:dyDescent="0.35">
      <c r="F1949"/>
    </row>
    <row r="1950" spans="6:6" x14ac:dyDescent="0.35">
      <c r="F1950"/>
    </row>
    <row r="1951" spans="6:6" x14ac:dyDescent="0.35">
      <c r="F1951"/>
    </row>
    <row r="1952" spans="6:6" x14ac:dyDescent="0.35">
      <c r="F1952"/>
    </row>
    <row r="1953" spans="6:6" x14ac:dyDescent="0.35">
      <c r="F1953"/>
    </row>
    <row r="1954" spans="6:6" x14ac:dyDescent="0.35">
      <c r="F1954"/>
    </row>
    <row r="1955" spans="6:6" x14ac:dyDescent="0.35">
      <c r="F1955"/>
    </row>
    <row r="1956" spans="6:6" x14ac:dyDescent="0.35">
      <c r="F1956"/>
    </row>
    <row r="1957" spans="6:6" x14ac:dyDescent="0.35">
      <c r="F1957"/>
    </row>
    <row r="1958" spans="6:6" x14ac:dyDescent="0.35">
      <c r="F1958"/>
    </row>
    <row r="1959" spans="6:6" x14ac:dyDescent="0.35">
      <c r="F1959"/>
    </row>
    <row r="1960" spans="6:6" x14ac:dyDescent="0.35">
      <c r="F1960"/>
    </row>
    <row r="1961" spans="6:6" x14ac:dyDescent="0.35">
      <c r="F1961"/>
    </row>
    <row r="1962" spans="6:6" x14ac:dyDescent="0.35">
      <c r="F1962"/>
    </row>
    <row r="1963" spans="6:6" x14ac:dyDescent="0.35">
      <c r="F1963"/>
    </row>
    <row r="1964" spans="6:6" x14ac:dyDescent="0.35">
      <c r="F1964"/>
    </row>
    <row r="1965" spans="6:6" x14ac:dyDescent="0.35">
      <c r="F1965"/>
    </row>
    <row r="1966" spans="6:6" x14ac:dyDescent="0.35">
      <c r="F1966"/>
    </row>
    <row r="1967" spans="6:6" x14ac:dyDescent="0.35">
      <c r="F1967"/>
    </row>
    <row r="1968" spans="6:6" x14ac:dyDescent="0.35">
      <c r="F1968"/>
    </row>
    <row r="1969" spans="6:6" x14ac:dyDescent="0.35">
      <c r="F1969"/>
    </row>
    <row r="1970" spans="6:6" x14ac:dyDescent="0.35">
      <c r="F1970"/>
    </row>
    <row r="1971" spans="6:6" x14ac:dyDescent="0.35">
      <c r="F1971"/>
    </row>
    <row r="1972" spans="6:6" x14ac:dyDescent="0.35">
      <c r="F1972"/>
    </row>
    <row r="1973" spans="6:6" x14ac:dyDescent="0.35">
      <c r="F1973"/>
    </row>
    <row r="1974" spans="6:6" x14ac:dyDescent="0.35">
      <c r="F1974"/>
    </row>
    <row r="1975" spans="6:6" x14ac:dyDescent="0.35">
      <c r="F1975"/>
    </row>
    <row r="1976" spans="6:6" x14ac:dyDescent="0.35">
      <c r="F1976"/>
    </row>
    <row r="1977" spans="6:6" x14ac:dyDescent="0.35">
      <c r="F1977"/>
    </row>
    <row r="1978" spans="6:6" x14ac:dyDescent="0.35">
      <c r="F1978"/>
    </row>
    <row r="1979" spans="6:6" x14ac:dyDescent="0.35">
      <c r="F1979"/>
    </row>
    <row r="1980" spans="6:6" x14ac:dyDescent="0.35">
      <c r="F1980"/>
    </row>
    <row r="1981" spans="6:6" x14ac:dyDescent="0.35">
      <c r="F1981"/>
    </row>
    <row r="1982" spans="6:6" x14ac:dyDescent="0.35">
      <c r="F1982"/>
    </row>
    <row r="1983" spans="6:6" x14ac:dyDescent="0.35">
      <c r="F1983"/>
    </row>
    <row r="1984" spans="6:6" x14ac:dyDescent="0.35">
      <c r="F1984"/>
    </row>
    <row r="1985" spans="6:6" x14ac:dyDescent="0.35">
      <c r="F1985"/>
    </row>
    <row r="1986" spans="6:6" x14ac:dyDescent="0.35">
      <c r="F1986"/>
    </row>
    <row r="1987" spans="6:6" x14ac:dyDescent="0.35">
      <c r="F1987"/>
    </row>
    <row r="1988" spans="6:6" x14ac:dyDescent="0.35">
      <c r="F1988"/>
    </row>
    <row r="1989" spans="6:6" x14ac:dyDescent="0.35">
      <c r="F1989"/>
    </row>
    <row r="1990" spans="6:6" x14ac:dyDescent="0.35">
      <c r="F1990"/>
    </row>
    <row r="1991" spans="6:6" x14ac:dyDescent="0.35">
      <c r="F1991"/>
    </row>
    <row r="1992" spans="6:6" x14ac:dyDescent="0.35">
      <c r="F1992"/>
    </row>
    <row r="1993" spans="6:6" x14ac:dyDescent="0.35">
      <c r="F1993"/>
    </row>
    <row r="1994" spans="6:6" x14ac:dyDescent="0.35">
      <c r="F1994"/>
    </row>
    <row r="1995" spans="6:6" x14ac:dyDescent="0.35">
      <c r="F1995"/>
    </row>
    <row r="1996" spans="6:6" x14ac:dyDescent="0.35">
      <c r="F1996"/>
    </row>
    <row r="1997" spans="6:6" x14ac:dyDescent="0.35">
      <c r="F1997"/>
    </row>
    <row r="1998" spans="6:6" x14ac:dyDescent="0.35">
      <c r="F1998"/>
    </row>
    <row r="1999" spans="6:6" x14ac:dyDescent="0.35">
      <c r="F1999"/>
    </row>
    <row r="2000" spans="6:6" x14ac:dyDescent="0.35">
      <c r="F2000"/>
    </row>
    <row r="2001" spans="6:6" x14ac:dyDescent="0.35">
      <c r="F2001"/>
    </row>
    <row r="2002" spans="6:6" x14ac:dyDescent="0.35">
      <c r="F2002"/>
    </row>
    <row r="2003" spans="6:6" x14ac:dyDescent="0.35">
      <c r="F2003"/>
    </row>
    <row r="2004" spans="6:6" x14ac:dyDescent="0.35">
      <c r="F2004"/>
    </row>
    <row r="2005" spans="6:6" x14ac:dyDescent="0.35">
      <c r="F2005"/>
    </row>
    <row r="2006" spans="6:6" x14ac:dyDescent="0.35">
      <c r="F2006"/>
    </row>
    <row r="2007" spans="6:6" x14ac:dyDescent="0.35">
      <c r="F2007"/>
    </row>
    <row r="2008" spans="6:6" x14ac:dyDescent="0.35">
      <c r="F2008"/>
    </row>
    <row r="2009" spans="6:6" x14ac:dyDescent="0.35">
      <c r="F2009"/>
    </row>
    <row r="2010" spans="6:6" x14ac:dyDescent="0.35">
      <c r="F2010"/>
    </row>
    <row r="2011" spans="6:6" x14ac:dyDescent="0.35">
      <c r="F2011"/>
    </row>
    <row r="2012" spans="6:6" x14ac:dyDescent="0.35">
      <c r="F2012"/>
    </row>
    <row r="2013" spans="6:6" x14ac:dyDescent="0.35">
      <c r="F2013"/>
    </row>
    <row r="2014" spans="6:6" x14ac:dyDescent="0.35">
      <c r="F2014"/>
    </row>
    <row r="2015" spans="6:6" x14ac:dyDescent="0.35">
      <c r="F2015"/>
    </row>
    <row r="2016" spans="6:6" x14ac:dyDescent="0.35">
      <c r="F2016"/>
    </row>
    <row r="2017" spans="6:6" x14ac:dyDescent="0.35">
      <c r="F2017"/>
    </row>
    <row r="2018" spans="6:6" x14ac:dyDescent="0.35">
      <c r="F2018"/>
    </row>
    <row r="2019" spans="6:6" x14ac:dyDescent="0.35">
      <c r="F2019"/>
    </row>
    <row r="2020" spans="6:6" x14ac:dyDescent="0.35">
      <c r="F2020"/>
    </row>
    <row r="2021" spans="6:6" x14ac:dyDescent="0.35">
      <c r="F2021"/>
    </row>
    <row r="2022" spans="6:6" x14ac:dyDescent="0.35">
      <c r="F2022"/>
    </row>
    <row r="2023" spans="6:6" x14ac:dyDescent="0.35">
      <c r="F2023"/>
    </row>
    <row r="2024" spans="6:6" x14ac:dyDescent="0.35">
      <c r="F2024"/>
    </row>
    <row r="2025" spans="6:6" x14ac:dyDescent="0.35">
      <c r="F2025"/>
    </row>
    <row r="2026" spans="6:6" x14ac:dyDescent="0.35">
      <c r="F2026"/>
    </row>
    <row r="2027" spans="6:6" x14ac:dyDescent="0.35">
      <c r="F2027"/>
    </row>
    <row r="2028" spans="6:6" x14ac:dyDescent="0.35">
      <c r="F2028"/>
    </row>
    <row r="2029" spans="6:6" x14ac:dyDescent="0.35">
      <c r="F2029"/>
    </row>
    <row r="2030" spans="6:6" x14ac:dyDescent="0.35">
      <c r="F2030"/>
    </row>
    <row r="2031" spans="6:6" x14ac:dyDescent="0.35">
      <c r="F2031"/>
    </row>
    <row r="2032" spans="6:6" x14ac:dyDescent="0.35">
      <c r="F2032"/>
    </row>
    <row r="2033" spans="6:6" x14ac:dyDescent="0.35">
      <c r="F2033"/>
    </row>
    <row r="2034" spans="6:6" x14ac:dyDescent="0.35">
      <c r="F2034"/>
    </row>
    <row r="2035" spans="6:6" x14ac:dyDescent="0.35">
      <c r="F2035"/>
    </row>
    <row r="2036" spans="6:6" x14ac:dyDescent="0.35">
      <c r="F2036"/>
    </row>
    <row r="2037" spans="6:6" x14ac:dyDescent="0.35">
      <c r="F2037"/>
    </row>
    <row r="2038" spans="6:6" x14ac:dyDescent="0.35">
      <c r="F2038"/>
    </row>
    <row r="2039" spans="6:6" x14ac:dyDescent="0.35">
      <c r="F2039"/>
    </row>
    <row r="2040" spans="6:6" x14ac:dyDescent="0.35">
      <c r="F2040"/>
    </row>
    <row r="2041" spans="6:6" x14ac:dyDescent="0.35">
      <c r="F2041"/>
    </row>
    <row r="2042" spans="6:6" x14ac:dyDescent="0.35">
      <c r="F2042"/>
    </row>
    <row r="2043" spans="6:6" x14ac:dyDescent="0.35">
      <c r="F2043"/>
    </row>
    <row r="2044" spans="6:6" x14ac:dyDescent="0.35">
      <c r="F2044"/>
    </row>
    <row r="2045" spans="6:6" x14ac:dyDescent="0.35">
      <c r="F2045"/>
    </row>
    <row r="2046" spans="6:6" x14ac:dyDescent="0.35">
      <c r="F2046"/>
    </row>
    <row r="2047" spans="6:6" x14ac:dyDescent="0.35">
      <c r="F2047"/>
    </row>
    <row r="2048" spans="6:6" x14ac:dyDescent="0.35">
      <c r="F2048"/>
    </row>
    <row r="2049" spans="6:6" x14ac:dyDescent="0.35">
      <c r="F2049"/>
    </row>
    <row r="2050" spans="6:6" x14ac:dyDescent="0.35">
      <c r="F2050"/>
    </row>
    <row r="2051" spans="6:6" x14ac:dyDescent="0.35">
      <c r="F2051"/>
    </row>
    <row r="2052" spans="6:6" x14ac:dyDescent="0.35">
      <c r="F2052"/>
    </row>
    <row r="2053" spans="6:6" x14ac:dyDescent="0.35">
      <c r="F2053"/>
    </row>
    <row r="2054" spans="6:6" x14ac:dyDescent="0.35">
      <c r="F2054"/>
    </row>
    <row r="2055" spans="6:6" x14ac:dyDescent="0.35">
      <c r="F2055"/>
    </row>
    <row r="2056" spans="6:6" x14ac:dyDescent="0.35">
      <c r="F2056"/>
    </row>
    <row r="2057" spans="6:6" x14ac:dyDescent="0.35">
      <c r="F2057"/>
    </row>
    <row r="2058" spans="6:6" x14ac:dyDescent="0.35">
      <c r="F2058"/>
    </row>
    <row r="2059" spans="6:6" x14ac:dyDescent="0.35">
      <c r="F2059"/>
    </row>
    <row r="2060" spans="6:6" x14ac:dyDescent="0.35">
      <c r="F2060"/>
    </row>
    <row r="2061" spans="6:6" x14ac:dyDescent="0.35">
      <c r="F2061"/>
    </row>
    <row r="2062" spans="6:6" x14ac:dyDescent="0.35">
      <c r="F2062"/>
    </row>
    <row r="2063" spans="6:6" x14ac:dyDescent="0.35">
      <c r="F2063"/>
    </row>
    <row r="2064" spans="6:6" x14ac:dyDescent="0.35">
      <c r="F2064"/>
    </row>
    <row r="2065" spans="6:6" x14ac:dyDescent="0.35">
      <c r="F2065"/>
    </row>
    <row r="2066" spans="6:6" x14ac:dyDescent="0.35">
      <c r="F2066"/>
    </row>
    <row r="2067" spans="6:6" x14ac:dyDescent="0.35">
      <c r="F2067"/>
    </row>
    <row r="2068" spans="6:6" x14ac:dyDescent="0.35">
      <c r="F2068"/>
    </row>
    <row r="2069" spans="6:6" x14ac:dyDescent="0.35">
      <c r="F2069"/>
    </row>
    <row r="2070" spans="6:6" x14ac:dyDescent="0.35">
      <c r="F2070"/>
    </row>
    <row r="2071" spans="6:6" x14ac:dyDescent="0.35">
      <c r="F2071"/>
    </row>
    <row r="2072" spans="6:6" x14ac:dyDescent="0.35">
      <c r="F2072"/>
    </row>
    <row r="2073" spans="6:6" x14ac:dyDescent="0.35">
      <c r="F2073"/>
    </row>
    <row r="2074" spans="6:6" x14ac:dyDescent="0.35">
      <c r="F2074"/>
    </row>
    <row r="2075" spans="6:6" x14ac:dyDescent="0.35">
      <c r="F2075"/>
    </row>
    <row r="2076" spans="6:6" x14ac:dyDescent="0.35">
      <c r="F2076"/>
    </row>
    <row r="2077" spans="6:6" x14ac:dyDescent="0.35">
      <c r="F2077"/>
    </row>
    <row r="2078" spans="6:6" x14ac:dyDescent="0.35">
      <c r="F2078"/>
    </row>
    <row r="2079" spans="6:6" x14ac:dyDescent="0.35">
      <c r="F2079"/>
    </row>
    <row r="2080" spans="6:6" x14ac:dyDescent="0.35">
      <c r="F2080"/>
    </row>
    <row r="2081" spans="6:6" x14ac:dyDescent="0.35">
      <c r="F2081"/>
    </row>
    <row r="2082" spans="6:6" x14ac:dyDescent="0.35">
      <c r="F2082"/>
    </row>
    <row r="2083" spans="6:6" x14ac:dyDescent="0.35">
      <c r="F2083"/>
    </row>
    <row r="2084" spans="6:6" x14ac:dyDescent="0.35">
      <c r="F2084"/>
    </row>
    <row r="2085" spans="6:6" x14ac:dyDescent="0.35">
      <c r="F2085"/>
    </row>
    <row r="2086" spans="6:6" x14ac:dyDescent="0.35">
      <c r="F2086"/>
    </row>
    <row r="2087" spans="6:6" x14ac:dyDescent="0.35">
      <c r="F2087"/>
    </row>
    <row r="2088" spans="6:6" x14ac:dyDescent="0.35">
      <c r="F2088"/>
    </row>
    <row r="2089" spans="6:6" x14ac:dyDescent="0.35">
      <c r="F2089"/>
    </row>
    <row r="2090" spans="6:6" x14ac:dyDescent="0.35">
      <c r="F2090"/>
    </row>
    <row r="2091" spans="6:6" x14ac:dyDescent="0.35">
      <c r="F2091"/>
    </row>
    <row r="2092" spans="6:6" x14ac:dyDescent="0.35">
      <c r="F2092"/>
    </row>
    <row r="2093" spans="6:6" x14ac:dyDescent="0.35">
      <c r="F2093"/>
    </row>
    <row r="2094" spans="6:6" x14ac:dyDescent="0.35">
      <c r="F2094"/>
    </row>
    <row r="2095" spans="6:6" x14ac:dyDescent="0.35">
      <c r="F2095"/>
    </row>
    <row r="2096" spans="6:6" x14ac:dyDescent="0.35">
      <c r="F2096"/>
    </row>
    <row r="2097" spans="6:6" x14ac:dyDescent="0.35">
      <c r="F2097"/>
    </row>
    <row r="2098" spans="6:6" x14ac:dyDescent="0.35">
      <c r="F2098"/>
    </row>
    <row r="2099" spans="6:6" x14ac:dyDescent="0.35">
      <c r="F2099"/>
    </row>
    <row r="2100" spans="6:6" x14ac:dyDescent="0.35">
      <c r="F2100"/>
    </row>
    <row r="2101" spans="6:6" x14ac:dyDescent="0.35">
      <c r="F2101"/>
    </row>
    <row r="2102" spans="6:6" x14ac:dyDescent="0.35">
      <c r="F2102"/>
    </row>
    <row r="2103" spans="6:6" x14ac:dyDescent="0.35">
      <c r="F2103"/>
    </row>
    <row r="2104" spans="6:6" x14ac:dyDescent="0.35">
      <c r="F2104"/>
    </row>
    <row r="2105" spans="6:6" x14ac:dyDescent="0.35">
      <c r="F2105"/>
    </row>
    <row r="2106" spans="6:6" x14ac:dyDescent="0.35">
      <c r="F2106"/>
    </row>
    <row r="2107" spans="6:6" x14ac:dyDescent="0.35">
      <c r="F2107"/>
    </row>
    <row r="2108" spans="6:6" x14ac:dyDescent="0.35">
      <c r="F2108"/>
    </row>
    <row r="2109" spans="6:6" x14ac:dyDescent="0.35">
      <c r="F2109"/>
    </row>
    <row r="2110" spans="6:6" x14ac:dyDescent="0.35">
      <c r="F2110"/>
    </row>
    <row r="2111" spans="6:6" x14ac:dyDescent="0.35">
      <c r="F2111"/>
    </row>
    <row r="2112" spans="6:6" x14ac:dyDescent="0.35">
      <c r="F2112"/>
    </row>
    <row r="2113" spans="6:6" x14ac:dyDescent="0.35">
      <c r="F2113"/>
    </row>
    <row r="2114" spans="6:6" x14ac:dyDescent="0.35">
      <c r="F2114"/>
    </row>
    <row r="2115" spans="6:6" x14ac:dyDescent="0.35">
      <c r="F2115"/>
    </row>
    <row r="2116" spans="6:6" x14ac:dyDescent="0.35">
      <c r="F2116"/>
    </row>
    <row r="2117" spans="6:6" x14ac:dyDescent="0.35">
      <c r="F2117"/>
    </row>
    <row r="2118" spans="6:6" x14ac:dyDescent="0.35">
      <c r="F2118"/>
    </row>
    <row r="2119" spans="6:6" x14ac:dyDescent="0.35">
      <c r="F2119"/>
    </row>
    <row r="2120" spans="6:6" x14ac:dyDescent="0.35">
      <c r="F2120"/>
    </row>
    <row r="2121" spans="6:6" x14ac:dyDescent="0.35">
      <c r="F2121"/>
    </row>
    <row r="2122" spans="6:6" x14ac:dyDescent="0.35">
      <c r="F2122"/>
    </row>
    <row r="2123" spans="6:6" x14ac:dyDescent="0.35">
      <c r="F2123"/>
    </row>
    <row r="2124" spans="6:6" x14ac:dyDescent="0.35">
      <c r="F2124"/>
    </row>
    <row r="2125" spans="6:6" x14ac:dyDescent="0.35">
      <c r="F2125"/>
    </row>
    <row r="2126" spans="6:6" x14ac:dyDescent="0.35">
      <c r="F2126"/>
    </row>
    <row r="2127" spans="6:6" x14ac:dyDescent="0.35">
      <c r="F2127"/>
    </row>
    <row r="2128" spans="6:6" x14ac:dyDescent="0.35">
      <c r="F2128"/>
    </row>
    <row r="2129" spans="6:6" x14ac:dyDescent="0.35">
      <c r="F2129"/>
    </row>
    <row r="2130" spans="6:6" x14ac:dyDescent="0.35">
      <c r="F2130"/>
    </row>
    <row r="2131" spans="6:6" x14ac:dyDescent="0.35">
      <c r="F2131"/>
    </row>
    <row r="2132" spans="6:6" x14ac:dyDescent="0.35">
      <c r="F2132"/>
    </row>
    <row r="2133" spans="6:6" x14ac:dyDescent="0.35">
      <c r="F2133"/>
    </row>
    <row r="2134" spans="6:6" x14ac:dyDescent="0.35">
      <c r="F2134"/>
    </row>
    <row r="2135" spans="6:6" x14ac:dyDescent="0.35">
      <c r="F2135"/>
    </row>
    <row r="2136" spans="6:6" x14ac:dyDescent="0.35">
      <c r="F2136"/>
    </row>
    <row r="2137" spans="6:6" x14ac:dyDescent="0.35">
      <c r="F2137"/>
    </row>
    <row r="2138" spans="6:6" x14ac:dyDescent="0.35">
      <c r="F2138"/>
    </row>
    <row r="2139" spans="6:6" x14ac:dyDescent="0.35">
      <c r="F2139"/>
    </row>
    <row r="2140" spans="6:6" x14ac:dyDescent="0.35">
      <c r="F2140"/>
    </row>
    <row r="2141" spans="6:6" x14ac:dyDescent="0.35">
      <c r="F2141"/>
    </row>
    <row r="2142" spans="6:6" x14ac:dyDescent="0.35">
      <c r="F2142"/>
    </row>
    <row r="2143" spans="6:6" x14ac:dyDescent="0.35">
      <c r="F2143"/>
    </row>
    <row r="2144" spans="6:6" x14ac:dyDescent="0.35">
      <c r="F2144"/>
    </row>
    <row r="2145" spans="6:6" x14ac:dyDescent="0.35">
      <c r="F2145"/>
    </row>
    <row r="2146" spans="6:6" x14ac:dyDescent="0.35">
      <c r="F2146"/>
    </row>
    <row r="2147" spans="6:6" x14ac:dyDescent="0.35">
      <c r="F2147"/>
    </row>
    <row r="2148" spans="6:6" x14ac:dyDescent="0.35">
      <c r="F2148"/>
    </row>
    <row r="2149" spans="6:6" x14ac:dyDescent="0.35">
      <c r="F2149"/>
    </row>
    <row r="2150" spans="6:6" x14ac:dyDescent="0.35">
      <c r="F2150"/>
    </row>
    <row r="2151" spans="6:6" x14ac:dyDescent="0.35">
      <c r="F2151"/>
    </row>
    <row r="2152" spans="6:6" x14ac:dyDescent="0.35">
      <c r="F2152"/>
    </row>
    <row r="2153" spans="6:6" x14ac:dyDescent="0.35">
      <c r="F2153"/>
    </row>
    <row r="2154" spans="6:6" x14ac:dyDescent="0.35">
      <c r="F2154"/>
    </row>
    <row r="2155" spans="6:6" x14ac:dyDescent="0.35">
      <c r="F2155"/>
    </row>
    <row r="2156" spans="6:6" x14ac:dyDescent="0.35">
      <c r="F2156"/>
    </row>
    <row r="2157" spans="6:6" x14ac:dyDescent="0.35">
      <c r="F2157"/>
    </row>
    <row r="2158" spans="6:6" x14ac:dyDescent="0.35">
      <c r="F2158"/>
    </row>
    <row r="2159" spans="6:6" x14ac:dyDescent="0.35">
      <c r="F2159"/>
    </row>
    <row r="2160" spans="6:6" x14ac:dyDescent="0.35">
      <c r="F2160"/>
    </row>
    <row r="2161" spans="6:6" x14ac:dyDescent="0.35">
      <c r="F2161"/>
    </row>
    <row r="2162" spans="6:6" x14ac:dyDescent="0.35">
      <c r="F2162"/>
    </row>
    <row r="2163" spans="6:6" x14ac:dyDescent="0.35">
      <c r="F2163"/>
    </row>
    <row r="2164" spans="6:6" x14ac:dyDescent="0.35">
      <c r="F2164"/>
    </row>
    <row r="2165" spans="6:6" x14ac:dyDescent="0.35">
      <c r="F2165"/>
    </row>
    <row r="2166" spans="6:6" x14ac:dyDescent="0.35">
      <c r="F2166"/>
    </row>
    <row r="2167" spans="6:6" x14ac:dyDescent="0.35">
      <c r="F2167"/>
    </row>
    <row r="2168" spans="6:6" x14ac:dyDescent="0.35">
      <c r="F2168"/>
    </row>
    <row r="2169" spans="6:6" x14ac:dyDescent="0.35">
      <c r="F2169"/>
    </row>
    <row r="2170" spans="6:6" x14ac:dyDescent="0.35">
      <c r="F2170"/>
    </row>
    <row r="2171" spans="6:6" x14ac:dyDescent="0.35">
      <c r="F2171"/>
    </row>
    <row r="2172" spans="6:6" x14ac:dyDescent="0.35">
      <c r="F2172"/>
    </row>
    <row r="2173" spans="6:6" x14ac:dyDescent="0.35">
      <c r="F2173"/>
    </row>
    <row r="2174" spans="6:6" x14ac:dyDescent="0.35">
      <c r="F2174"/>
    </row>
    <row r="2175" spans="6:6" x14ac:dyDescent="0.35">
      <c r="F2175"/>
    </row>
    <row r="2176" spans="6:6" x14ac:dyDescent="0.35">
      <c r="F2176"/>
    </row>
    <row r="2177" spans="6:6" x14ac:dyDescent="0.35">
      <c r="F2177"/>
    </row>
    <row r="2178" spans="6:6" x14ac:dyDescent="0.35">
      <c r="F2178"/>
    </row>
    <row r="2179" spans="6:6" x14ac:dyDescent="0.35">
      <c r="F2179"/>
    </row>
    <row r="2180" spans="6:6" x14ac:dyDescent="0.35">
      <c r="F2180"/>
    </row>
    <row r="2181" spans="6:6" x14ac:dyDescent="0.35">
      <c r="F2181"/>
    </row>
    <row r="2182" spans="6:6" x14ac:dyDescent="0.35">
      <c r="F2182"/>
    </row>
    <row r="2183" spans="6:6" x14ac:dyDescent="0.35">
      <c r="F2183"/>
    </row>
    <row r="2184" spans="6:6" x14ac:dyDescent="0.35">
      <c r="F2184"/>
    </row>
    <row r="2185" spans="6:6" x14ac:dyDescent="0.35">
      <c r="F2185"/>
    </row>
    <row r="2186" spans="6:6" x14ac:dyDescent="0.35">
      <c r="F2186"/>
    </row>
    <row r="2187" spans="6:6" x14ac:dyDescent="0.35">
      <c r="F2187"/>
    </row>
    <row r="2188" spans="6:6" x14ac:dyDescent="0.35">
      <c r="F2188"/>
    </row>
    <row r="2189" spans="6:6" x14ac:dyDescent="0.35">
      <c r="F2189"/>
    </row>
    <row r="2190" spans="6:6" x14ac:dyDescent="0.35">
      <c r="F2190"/>
    </row>
    <row r="2191" spans="6:6" x14ac:dyDescent="0.35">
      <c r="F2191"/>
    </row>
    <row r="2192" spans="6:6" x14ac:dyDescent="0.35">
      <c r="F2192"/>
    </row>
    <row r="2193" spans="6:6" x14ac:dyDescent="0.35">
      <c r="F2193"/>
    </row>
    <row r="2194" spans="6:6" x14ac:dyDescent="0.35">
      <c r="F2194"/>
    </row>
    <row r="2195" spans="6:6" x14ac:dyDescent="0.35">
      <c r="F2195"/>
    </row>
    <row r="2196" spans="6:6" x14ac:dyDescent="0.35">
      <c r="F2196"/>
    </row>
    <row r="2197" spans="6:6" x14ac:dyDescent="0.35">
      <c r="F2197"/>
    </row>
    <row r="2198" spans="6:6" x14ac:dyDescent="0.35">
      <c r="F2198"/>
    </row>
    <row r="2199" spans="6:6" x14ac:dyDescent="0.35">
      <c r="F2199"/>
    </row>
    <row r="2200" spans="6:6" x14ac:dyDescent="0.35">
      <c r="F2200"/>
    </row>
    <row r="2201" spans="6:6" x14ac:dyDescent="0.35">
      <c r="F2201"/>
    </row>
    <row r="2202" spans="6:6" x14ac:dyDescent="0.35">
      <c r="F2202"/>
    </row>
    <row r="2203" spans="6:6" x14ac:dyDescent="0.35">
      <c r="F2203"/>
    </row>
    <row r="2204" spans="6:6" x14ac:dyDescent="0.35">
      <c r="F2204"/>
    </row>
    <row r="2205" spans="6:6" x14ac:dyDescent="0.35">
      <c r="F2205"/>
    </row>
    <row r="2206" spans="6:6" x14ac:dyDescent="0.35">
      <c r="F2206"/>
    </row>
    <row r="2207" spans="6:6" x14ac:dyDescent="0.35">
      <c r="F2207"/>
    </row>
    <row r="2208" spans="6:6" x14ac:dyDescent="0.35">
      <c r="F2208"/>
    </row>
    <row r="2209" spans="6:6" x14ac:dyDescent="0.35">
      <c r="F2209"/>
    </row>
    <row r="2210" spans="6:6" x14ac:dyDescent="0.35">
      <c r="F2210"/>
    </row>
    <row r="2211" spans="6:6" x14ac:dyDescent="0.35">
      <c r="F2211"/>
    </row>
    <row r="2212" spans="6:6" x14ac:dyDescent="0.35">
      <c r="F2212"/>
    </row>
    <row r="2213" spans="6:6" x14ac:dyDescent="0.35">
      <c r="F2213"/>
    </row>
    <row r="2214" spans="6:6" x14ac:dyDescent="0.35">
      <c r="F2214"/>
    </row>
    <row r="2215" spans="6:6" x14ac:dyDescent="0.35">
      <c r="F2215"/>
    </row>
    <row r="2216" spans="6:6" x14ac:dyDescent="0.35">
      <c r="F2216"/>
    </row>
    <row r="2217" spans="6:6" x14ac:dyDescent="0.35">
      <c r="F2217"/>
    </row>
    <row r="2218" spans="6:6" x14ac:dyDescent="0.35">
      <c r="F2218"/>
    </row>
    <row r="2219" spans="6:6" x14ac:dyDescent="0.35">
      <c r="F2219"/>
    </row>
    <row r="2220" spans="6:6" x14ac:dyDescent="0.35">
      <c r="F2220"/>
    </row>
    <row r="2221" spans="6:6" x14ac:dyDescent="0.35">
      <c r="F2221"/>
    </row>
    <row r="2222" spans="6:6" x14ac:dyDescent="0.35">
      <c r="F2222"/>
    </row>
    <row r="2223" spans="6:6" x14ac:dyDescent="0.35">
      <c r="F2223"/>
    </row>
    <row r="2224" spans="6:6" x14ac:dyDescent="0.35">
      <c r="F2224"/>
    </row>
    <row r="2225" spans="6:6" x14ac:dyDescent="0.35">
      <c r="F2225"/>
    </row>
    <row r="2226" spans="6:6" x14ac:dyDescent="0.35">
      <c r="F2226"/>
    </row>
    <row r="2227" spans="6:6" x14ac:dyDescent="0.35">
      <c r="F2227"/>
    </row>
    <row r="2228" spans="6:6" x14ac:dyDescent="0.35">
      <c r="F2228"/>
    </row>
    <row r="2229" spans="6:6" x14ac:dyDescent="0.35">
      <c r="F2229"/>
    </row>
    <row r="2230" spans="6:6" x14ac:dyDescent="0.35">
      <c r="F2230"/>
    </row>
    <row r="2231" spans="6:6" x14ac:dyDescent="0.35">
      <c r="F2231"/>
    </row>
    <row r="2232" spans="6:6" x14ac:dyDescent="0.35">
      <c r="F2232"/>
    </row>
    <row r="2233" spans="6:6" x14ac:dyDescent="0.35">
      <c r="F2233"/>
    </row>
    <row r="2234" spans="6:6" x14ac:dyDescent="0.35">
      <c r="F2234"/>
    </row>
    <row r="2235" spans="6:6" x14ac:dyDescent="0.35">
      <c r="F2235"/>
    </row>
    <row r="2236" spans="6:6" x14ac:dyDescent="0.35">
      <c r="F2236"/>
    </row>
    <row r="2237" spans="6:6" x14ac:dyDescent="0.35">
      <c r="F2237"/>
    </row>
    <row r="2238" spans="6:6" x14ac:dyDescent="0.35">
      <c r="F2238"/>
    </row>
    <row r="2239" spans="6:6" x14ac:dyDescent="0.35">
      <c r="F2239"/>
    </row>
    <row r="2240" spans="6:6" x14ac:dyDescent="0.35">
      <c r="F2240"/>
    </row>
    <row r="2241" spans="6:6" x14ac:dyDescent="0.35">
      <c r="F2241"/>
    </row>
    <row r="2242" spans="6:6" x14ac:dyDescent="0.35">
      <c r="F2242"/>
    </row>
    <row r="2243" spans="6:6" x14ac:dyDescent="0.35">
      <c r="F2243"/>
    </row>
    <row r="2244" spans="6:6" x14ac:dyDescent="0.35">
      <c r="F2244"/>
    </row>
    <row r="2245" spans="6:6" x14ac:dyDescent="0.35">
      <c r="F2245"/>
    </row>
    <row r="2246" spans="6:6" x14ac:dyDescent="0.35">
      <c r="F2246"/>
    </row>
    <row r="2247" spans="6:6" x14ac:dyDescent="0.35">
      <c r="F2247"/>
    </row>
    <row r="2248" spans="6:6" x14ac:dyDescent="0.35">
      <c r="F2248"/>
    </row>
    <row r="2249" spans="6:6" x14ac:dyDescent="0.35">
      <c r="F2249"/>
    </row>
    <row r="2250" spans="6:6" x14ac:dyDescent="0.35">
      <c r="F2250"/>
    </row>
    <row r="2251" spans="6:6" x14ac:dyDescent="0.35">
      <c r="F2251"/>
    </row>
    <row r="2252" spans="6:6" x14ac:dyDescent="0.35">
      <c r="F2252"/>
    </row>
    <row r="2253" spans="6:6" x14ac:dyDescent="0.35">
      <c r="F2253"/>
    </row>
    <row r="2254" spans="6:6" x14ac:dyDescent="0.35">
      <c r="F2254"/>
    </row>
    <row r="2255" spans="6:6" x14ac:dyDescent="0.35">
      <c r="F2255"/>
    </row>
    <row r="2256" spans="6:6" x14ac:dyDescent="0.35">
      <c r="F2256"/>
    </row>
    <row r="2257" spans="6:6" x14ac:dyDescent="0.35">
      <c r="F2257"/>
    </row>
    <row r="2258" spans="6:6" x14ac:dyDescent="0.35">
      <c r="F2258"/>
    </row>
    <row r="2259" spans="6:6" x14ac:dyDescent="0.35">
      <c r="F2259"/>
    </row>
    <row r="2260" spans="6:6" x14ac:dyDescent="0.35">
      <c r="F2260"/>
    </row>
    <row r="2261" spans="6:6" x14ac:dyDescent="0.35">
      <c r="F2261"/>
    </row>
    <row r="2262" spans="6:6" x14ac:dyDescent="0.35">
      <c r="F2262"/>
    </row>
    <row r="2263" spans="6:6" x14ac:dyDescent="0.35">
      <c r="F2263"/>
    </row>
    <row r="2264" spans="6:6" x14ac:dyDescent="0.35">
      <c r="F2264"/>
    </row>
    <row r="2265" spans="6:6" x14ac:dyDescent="0.35">
      <c r="F2265"/>
    </row>
    <row r="2266" spans="6:6" x14ac:dyDescent="0.35">
      <c r="F2266"/>
    </row>
    <row r="2267" spans="6:6" x14ac:dyDescent="0.35">
      <c r="F2267"/>
    </row>
    <row r="2268" spans="6:6" x14ac:dyDescent="0.35">
      <c r="F2268"/>
    </row>
    <row r="2269" spans="6:6" x14ac:dyDescent="0.35">
      <c r="F2269"/>
    </row>
    <row r="2270" spans="6:6" x14ac:dyDescent="0.35">
      <c r="F2270"/>
    </row>
    <row r="2271" spans="6:6" x14ac:dyDescent="0.35">
      <c r="F2271"/>
    </row>
    <row r="2272" spans="6:6" x14ac:dyDescent="0.35">
      <c r="F2272"/>
    </row>
    <row r="2273" spans="6:6" x14ac:dyDescent="0.35">
      <c r="F2273"/>
    </row>
    <row r="2274" spans="6:6" x14ac:dyDescent="0.35">
      <c r="F2274"/>
    </row>
    <row r="2275" spans="6:6" x14ac:dyDescent="0.35">
      <c r="F2275"/>
    </row>
    <row r="2276" spans="6:6" x14ac:dyDescent="0.35">
      <c r="F2276"/>
    </row>
    <row r="2277" spans="6:6" x14ac:dyDescent="0.35">
      <c r="F2277"/>
    </row>
    <row r="2278" spans="6:6" x14ac:dyDescent="0.35">
      <c r="F2278"/>
    </row>
    <row r="2279" spans="6:6" x14ac:dyDescent="0.35">
      <c r="F2279"/>
    </row>
    <row r="2280" spans="6:6" x14ac:dyDescent="0.35">
      <c r="F2280"/>
    </row>
    <row r="2281" spans="6:6" x14ac:dyDescent="0.35">
      <c r="F2281"/>
    </row>
    <row r="2282" spans="6:6" x14ac:dyDescent="0.35">
      <c r="F2282"/>
    </row>
    <row r="2283" spans="6:6" x14ac:dyDescent="0.35">
      <c r="F2283"/>
    </row>
    <row r="2284" spans="6:6" x14ac:dyDescent="0.35">
      <c r="F2284"/>
    </row>
    <row r="2285" spans="6:6" x14ac:dyDescent="0.35">
      <c r="F2285"/>
    </row>
    <row r="2286" spans="6:6" x14ac:dyDescent="0.35">
      <c r="F2286"/>
    </row>
    <row r="2287" spans="6:6" x14ac:dyDescent="0.35">
      <c r="F2287"/>
    </row>
    <row r="2288" spans="6:6" x14ac:dyDescent="0.35">
      <c r="F2288"/>
    </row>
    <row r="2289" spans="6:6" x14ac:dyDescent="0.35">
      <c r="F2289"/>
    </row>
    <row r="2290" spans="6:6" x14ac:dyDescent="0.35">
      <c r="F2290"/>
    </row>
    <row r="2291" spans="6:6" x14ac:dyDescent="0.35">
      <c r="F2291"/>
    </row>
    <row r="2292" spans="6:6" x14ac:dyDescent="0.35">
      <c r="F2292"/>
    </row>
    <row r="2293" spans="6:6" x14ac:dyDescent="0.35">
      <c r="F2293"/>
    </row>
    <row r="2294" spans="6:6" x14ac:dyDescent="0.35">
      <c r="F2294"/>
    </row>
    <row r="2295" spans="6:6" x14ac:dyDescent="0.35">
      <c r="F2295"/>
    </row>
    <row r="2296" spans="6:6" x14ac:dyDescent="0.35">
      <c r="F2296"/>
    </row>
    <row r="2297" spans="6:6" x14ac:dyDescent="0.35">
      <c r="F2297"/>
    </row>
    <row r="2298" spans="6:6" x14ac:dyDescent="0.35">
      <c r="F2298"/>
    </row>
    <row r="2299" spans="6:6" x14ac:dyDescent="0.35">
      <c r="F2299"/>
    </row>
    <row r="2300" spans="6:6" x14ac:dyDescent="0.35">
      <c r="F2300"/>
    </row>
    <row r="2301" spans="6:6" x14ac:dyDescent="0.35">
      <c r="F2301"/>
    </row>
    <row r="2302" spans="6:6" x14ac:dyDescent="0.35">
      <c r="F2302"/>
    </row>
    <row r="2303" spans="6:6" x14ac:dyDescent="0.35">
      <c r="F2303"/>
    </row>
    <row r="2304" spans="6:6" x14ac:dyDescent="0.35">
      <c r="F2304"/>
    </row>
    <row r="2305" spans="6:6" x14ac:dyDescent="0.35">
      <c r="F2305"/>
    </row>
    <row r="2306" spans="6:6" x14ac:dyDescent="0.35">
      <c r="F2306"/>
    </row>
    <row r="2307" spans="6:6" x14ac:dyDescent="0.35">
      <c r="F2307"/>
    </row>
    <row r="2308" spans="6:6" x14ac:dyDescent="0.35">
      <c r="F2308"/>
    </row>
    <row r="2309" spans="6:6" x14ac:dyDescent="0.35">
      <c r="F2309"/>
    </row>
    <row r="2310" spans="6:6" x14ac:dyDescent="0.35">
      <c r="F2310"/>
    </row>
    <row r="2311" spans="6:6" x14ac:dyDescent="0.35">
      <c r="F2311"/>
    </row>
    <row r="2312" spans="6:6" x14ac:dyDescent="0.35">
      <c r="F2312"/>
    </row>
    <row r="2313" spans="6:6" x14ac:dyDescent="0.35">
      <c r="F2313"/>
    </row>
    <row r="2314" spans="6:6" x14ac:dyDescent="0.35">
      <c r="F2314"/>
    </row>
    <row r="2315" spans="6:6" x14ac:dyDescent="0.35">
      <c r="F2315"/>
    </row>
    <row r="2316" spans="6:6" x14ac:dyDescent="0.35">
      <c r="F2316"/>
    </row>
    <row r="2317" spans="6:6" x14ac:dyDescent="0.35">
      <c r="F2317"/>
    </row>
    <row r="2318" spans="6:6" x14ac:dyDescent="0.35">
      <c r="F2318"/>
    </row>
    <row r="2319" spans="6:6" x14ac:dyDescent="0.35">
      <c r="F2319"/>
    </row>
    <row r="2320" spans="6:6" x14ac:dyDescent="0.35">
      <c r="F2320"/>
    </row>
    <row r="2321" spans="6:6" x14ac:dyDescent="0.35">
      <c r="F2321"/>
    </row>
    <row r="2322" spans="6:6" x14ac:dyDescent="0.35">
      <c r="F2322"/>
    </row>
    <row r="2323" spans="6:6" x14ac:dyDescent="0.35">
      <c r="F2323"/>
    </row>
    <row r="2324" spans="6:6" x14ac:dyDescent="0.35">
      <c r="F2324"/>
    </row>
    <row r="2325" spans="6:6" x14ac:dyDescent="0.35">
      <c r="F2325"/>
    </row>
    <row r="2326" spans="6:6" x14ac:dyDescent="0.35">
      <c r="F2326"/>
    </row>
    <row r="2327" spans="6:6" x14ac:dyDescent="0.35">
      <c r="F2327"/>
    </row>
    <row r="2328" spans="6:6" x14ac:dyDescent="0.35">
      <c r="F2328"/>
    </row>
    <row r="2329" spans="6:6" x14ac:dyDescent="0.35">
      <c r="F2329"/>
    </row>
    <row r="2330" spans="6:6" x14ac:dyDescent="0.35">
      <c r="F2330"/>
    </row>
    <row r="2331" spans="6:6" x14ac:dyDescent="0.35">
      <c r="F2331"/>
    </row>
    <row r="2332" spans="6:6" x14ac:dyDescent="0.35">
      <c r="F2332"/>
    </row>
    <row r="2333" spans="6:6" x14ac:dyDescent="0.35">
      <c r="F2333"/>
    </row>
    <row r="2334" spans="6:6" x14ac:dyDescent="0.35">
      <c r="F2334"/>
    </row>
    <row r="2335" spans="6:6" x14ac:dyDescent="0.35">
      <c r="F2335"/>
    </row>
    <row r="2336" spans="6:6" x14ac:dyDescent="0.35">
      <c r="F2336"/>
    </row>
    <row r="2337" spans="6:6" x14ac:dyDescent="0.35">
      <c r="F2337"/>
    </row>
    <row r="2338" spans="6:6" x14ac:dyDescent="0.35">
      <c r="F2338"/>
    </row>
    <row r="2339" spans="6:6" x14ac:dyDescent="0.35">
      <c r="F2339"/>
    </row>
    <row r="2340" spans="6:6" x14ac:dyDescent="0.35">
      <c r="F2340"/>
    </row>
    <row r="2341" spans="6:6" x14ac:dyDescent="0.35">
      <c r="F2341"/>
    </row>
    <row r="2342" spans="6:6" x14ac:dyDescent="0.35">
      <c r="F2342"/>
    </row>
    <row r="2343" spans="6:6" x14ac:dyDescent="0.35">
      <c r="F2343"/>
    </row>
    <row r="2344" spans="6:6" x14ac:dyDescent="0.35">
      <c r="F2344"/>
    </row>
    <row r="2345" spans="6:6" x14ac:dyDescent="0.35">
      <c r="F2345"/>
    </row>
    <row r="2346" spans="6:6" x14ac:dyDescent="0.35">
      <c r="F2346"/>
    </row>
    <row r="2347" spans="6:6" x14ac:dyDescent="0.35">
      <c r="F2347"/>
    </row>
    <row r="2348" spans="6:6" x14ac:dyDescent="0.35">
      <c r="F2348"/>
    </row>
    <row r="2349" spans="6:6" x14ac:dyDescent="0.35">
      <c r="F2349"/>
    </row>
    <row r="2350" spans="6:6" x14ac:dyDescent="0.35">
      <c r="F2350"/>
    </row>
    <row r="2351" spans="6:6" x14ac:dyDescent="0.35">
      <c r="F2351"/>
    </row>
    <row r="2352" spans="6:6" x14ac:dyDescent="0.35">
      <c r="F2352"/>
    </row>
    <row r="2353" spans="6:6" x14ac:dyDescent="0.35">
      <c r="F2353"/>
    </row>
    <row r="2354" spans="6:6" x14ac:dyDescent="0.35">
      <c r="F2354"/>
    </row>
    <row r="2355" spans="6:6" x14ac:dyDescent="0.35">
      <c r="F2355"/>
    </row>
    <row r="2356" spans="6:6" x14ac:dyDescent="0.35">
      <c r="F2356"/>
    </row>
    <row r="2357" spans="6:6" x14ac:dyDescent="0.35">
      <c r="F2357"/>
    </row>
    <row r="2358" spans="6:6" x14ac:dyDescent="0.35">
      <c r="F2358"/>
    </row>
    <row r="2359" spans="6:6" x14ac:dyDescent="0.35">
      <c r="F2359"/>
    </row>
    <row r="2360" spans="6:6" x14ac:dyDescent="0.35">
      <c r="F2360"/>
    </row>
    <row r="2361" spans="6:6" x14ac:dyDescent="0.35">
      <c r="F2361"/>
    </row>
    <row r="2362" spans="6:6" x14ac:dyDescent="0.35">
      <c r="F2362"/>
    </row>
    <row r="2363" spans="6:6" x14ac:dyDescent="0.35">
      <c r="F2363"/>
    </row>
    <row r="2364" spans="6:6" x14ac:dyDescent="0.35">
      <c r="F2364"/>
    </row>
    <row r="2365" spans="6:6" x14ac:dyDescent="0.35">
      <c r="F2365"/>
    </row>
    <row r="2366" spans="6:6" x14ac:dyDescent="0.35">
      <c r="F2366"/>
    </row>
    <row r="2367" spans="6:6" x14ac:dyDescent="0.35">
      <c r="F2367"/>
    </row>
    <row r="2368" spans="6:6" x14ac:dyDescent="0.35">
      <c r="F2368"/>
    </row>
    <row r="2369" spans="6:6" x14ac:dyDescent="0.35">
      <c r="F2369"/>
    </row>
    <row r="2370" spans="6:6" x14ac:dyDescent="0.35">
      <c r="F2370"/>
    </row>
    <row r="2371" spans="6:6" x14ac:dyDescent="0.35">
      <c r="F2371"/>
    </row>
    <row r="2372" spans="6:6" x14ac:dyDescent="0.35">
      <c r="F2372"/>
    </row>
    <row r="2373" spans="6:6" x14ac:dyDescent="0.35">
      <c r="F2373"/>
    </row>
    <row r="2374" spans="6:6" x14ac:dyDescent="0.35">
      <c r="F2374"/>
    </row>
    <row r="2375" spans="6:6" x14ac:dyDescent="0.35">
      <c r="F2375"/>
    </row>
    <row r="2376" spans="6:6" x14ac:dyDescent="0.35">
      <c r="F2376"/>
    </row>
    <row r="2377" spans="6:6" x14ac:dyDescent="0.35">
      <c r="F2377"/>
    </row>
    <row r="2378" spans="6:6" x14ac:dyDescent="0.35">
      <c r="F2378"/>
    </row>
    <row r="2379" spans="6:6" x14ac:dyDescent="0.35">
      <c r="F2379"/>
    </row>
    <row r="2380" spans="6:6" x14ac:dyDescent="0.35">
      <c r="F2380"/>
    </row>
    <row r="2381" spans="6:6" x14ac:dyDescent="0.35">
      <c r="F2381"/>
    </row>
    <row r="2382" spans="6:6" x14ac:dyDescent="0.35">
      <c r="F2382"/>
    </row>
    <row r="2383" spans="6:6" x14ac:dyDescent="0.35">
      <c r="F2383"/>
    </row>
    <row r="2384" spans="6:6" x14ac:dyDescent="0.35">
      <c r="F2384"/>
    </row>
    <row r="2385" spans="6:6" x14ac:dyDescent="0.35">
      <c r="F2385"/>
    </row>
    <row r="2386" spans="6:6" x14ac:dyDescent="0.35">
      <c r="F2386"/>
    </row>
    <row r="2387" spans="6:6" x14ac:dyDescent="0.35">
      <c r="F2387"/>
    </row>
    <row r="2388" spans="6:6" x14ac:dyDescent="0.35">
      <c r="F2388"/>
    </row>
    <row r="2389" spans="6:6" x14ac:dyDescent="0.35">
      <c r="F2389"/>
    </row>
    <row r="2390" spans="6:6" x14ac:dyDescent="0.35">
      <c r="F2390"/>
    </row>
    <row r="2391" spans="6:6" x14ac:dyDescent="0.35">
      <c r="F2391"/>
    </row>
    <row r="2392" spans="6:6" x14ac:dyDescent="0.35">
      <c r="F2392"/>
    </row>
    <row r="2393" spans="6:6" x14ac:dyDescent="0.35">
      <c r="F2393"/>
    </row>
    <row r="2394" spans="6:6" x14ac:dyDescent="0.35">
      <c r="F2394"/>
    </row>
    <row r="2395" spans="6:6" x14ac:dyDescent="0.35">
      <c r="F2395"/>
    </row>
    <row r="2396" spans="6:6" x14ac:dyDescent="0.35">
      <c r="F2396"/>
    </row>
    <row r="2397" spans="6:6" x14ac:dyDescent="0.35">
      <c r="F2397"/>
    </row>
    <row r="2398" spans="6:6" x14ac:dyDescent="0.35">
      <c r="F2398"/>
    </row>
    <row r="2399" spans="6:6" x14ac:dyDescent="0.35">
      <c r="F2399"/>
    </row>
    <row r="2400" spans="6:6" x14ac:dyDescent="0.35">
      <c r="F2400"/>
    </row>
    <row r="2401" spans="6:6" x14ac:dyDescent="0.35">
      <c r="F2401"/>
    </row>
    <row r="2402" spans="6:6" x14ac:dyDescent="0.35">
      <c r="F2402"/>
    </row>
    <row r="2403" spans="6:6" x14ac:dyDescent="0.35">
      <c r="F2403"/>
    </row>
    <row r="2404" spans="6:6" x14ac:dyDescent="0.35">
      <c r="F2404"/>
    </row>
    <row r="2405" spans="6:6" x14ac:dyDescent="0.35">
      <c r="F2405"/>
    </row>
    <row r="2406" spans="6:6" x14ac:dyDescent="0.35">
      <c r="F2406"/>
    </row>
    <row r="2407" spans="6:6" x14ac:dyDescent="0.35">
      <c r="F2407"/>
    </row>
    <row r="2408" spans="6:6" x14ac:dyDescent="0.35">
      <c r="F2408"/>
    </row>
    <row r="2409" spans="6:6" x14ac:dyDescent="0.35">
      <c r="F2409"/>
    </row>
    <row r="2410" spans="6:6" x14ac:dyDescent="0.35">
      <c r="F2410"/>
    </row>
    <row r="2411" spans="6:6" x14ac:dyDescent="0.35">
      <c r="F2411"/>
    </row>
    <row r="2412" spans="6:6" x14ac:dyDescent="0.35">
      <c r="F2412"/>
    </row>
    <row r="2413" spans="6:6" x14ac:dyDescent="0.35">
      <c r="F2413"/>
    </row>
    <row r="2414" spans="6:6" x14ac:dyDescent="0.35">
      <c r="F2414"/>
    </row>
    <row r="2415" spans="6:6" x14ac:dyDescent="0.35">
      <c r="F2415"/>
    </row>
    <row r="2416" spans="6:6" x14ac:dyDescent="0.35">
      <c r="F2416"/>
    </row>
    <row r="2417" spans="6:6" x14ac:dyDescent="0.35">
      <c r="F2417"/>
    </row>
    <row r="2418" spans="6:6" x14ac:dyDescent="0.35">
      <c r="F2418"/>
    </row>
    <row r="2419" spans="6:6" x14ac:dyDescent="0.35">
      <c r="F2419"/>
    </row>
    <row r="2420" spans="6:6" x14ac:dyDescent="0.35">
      <c r="F2420"/>
    </row>
    <row r="2421" spans="6:6" x14ac:dyDescent="0.35">
      <c r="F2421"/>
    </row>
    <row r="2422" spans="6:6" x14ac:dyDescent="0.35">
      <c r="F2422"/>
    </row>
    <row r="2423" spans="6:6" x14ac:dyDescent="0.35">
      <c r="F2423"/>
    </row>
    <row r="2424" spans="6:6" x14ac:dyDescent="0.35">
      <c r="F2424"/>
    </row>
    <row r="2425" spans="6:6" x14ac:dyDescent="0.35">
      <c r="F2425"/>
    </row>
    <row r="2426" spans="6:6" x14ac:dyDescent="0.35">
      <c r="F2426"/>
    </row>
    <row r="2427" spans="6:6" x14ac:dyDescent="0.35">
      <c r="F2427"/>
    </row>
    <row r="2428" spans="6:6" x14ac:dyDescent="0.35">
      <c r="F2428"/>
    </row>
    <row r="2429" spans="6:6" x14ac:dyDescent="0.35">
      <c r="F2429"/>
    </row>
    <row r="2430" spans="6:6" x14ac:dyDescent="0.35">
      <c r="F2430"/>
    </row>
    <row r="2431" spans="6:6" x14ac:dyDescent="0.35">
      <c r="F2431"/>
    </row>
    <row r="2432" spans="6:6" x14ac:dyDescent="0.35">
      <c r="F2432"/>
    </row>
    <row r="2433" spans="6:6" x14ac:dyDescent="0.35">
      <c r="F2433"/>
    </row>
    <row r="2434" spans="6:6" x14ac:dyDescent="0.35">
      <c r="F2434"/>
    </row>
    <row r="2435" spans="6:6" x14ac:dyDescent="0.35">
      <c r="F2435"/>
    </row>
    <row r="2436" spans="6:6" x14ac:dyDescent="0.35">
      <c r="F2436"/>
    </row>
    <row r="2437" spans="6:6" x14ac:dyDescent="0.35">
      <c r="F2437"/>
    </row>
    <row r="2438" spans="6:6" x14ac:dyDescent="0.35">
      <c r="F2438"/>
    </row>
    <row r="2439" spans="6:6" x14ac:dyDescent="0.35">
      <c r="F2439"/>
    </row>
    <row r="2440" spans="6:6" x14ac:dyDescent="0.35">
      <c r="F2440"/>
    </row>
    <row r="2441" spans="6:6" x14ac:dyDescent="0.35">
      <c r="F2441"/>
    </row>
    <row r="2442" spans="6:6" x14ac:dyDescent="0.35">
      <c r="F2442"/>
    </row>
    <row r="2443" spans="6:6" x14ac:dyDescent="0.35">
      <c r="F2443"/>
    </row>
    <row r="2444" spans="6:6" x14ac:dyDescent="0.35">
      <c r="F2444"/>
    </row>
    <row r="2445" spans="6:6" x14ac:dyDescent="0.35">
      <c r="F2445"/>
    </row>
    <row r="2446" spans="6:6" x14ac:dyDescent="0.35">
      <c r="F2446"/>
    </row>
    <row r="2447" spans="6:6" x14ac:dyDescent="0.35">
      <c r="F2447"/>
    </row>
    <row r="2448" spans="6:6" x14ac:dyDescent="0.35">
      <c r="F2448"/>
    </row>
    <row r="2449" spans="6:6" x14ac:dyDescent="0.35">
      <c r="F2449"/>
    </row>
    <row r="2450" spans="6:6" x14ac:dyDescent="0.35">
      <c r="F2450"/>
    </row>
    <row r="2451" spans="6:6" x14ac:dyDescent="0.35">
      <c r="F2451"/>
    </row>
    <row r="2452" spans="6:6" x14ac:dyDescent="0.35">
      <c r="F2452"/>
    </row>
    <row r="2453" spans="6:6" x14ac:dyDescent="0.35">
      <c r="F2453"/>
    </row>
    <row r="2454" spans="6:6" x14ac:dyDescent="0.35">
      <c r="F2454"/>
    </row>
    <row r="2455" spans="6:6" x14ac:dyDescent="0.35">
      <c r="F2455"/>
    </row>
    <row r="2456" spans="6:6" x14ac:dyDescent="0.35">
      <c r="F2456"/>
    </row>
    <row r="2457" spans="6:6" x14ac:dyDescent="0.35">
      <c r="F2457"/>
    </row>
    <row r="2458" spans="6:6" x14ac:dyDescent="0.35">
      <c r="F2458"/>
    </row>
    <row r="2459" spans="6:6" x14ac:dyDescent="0.35">
      <c r="F2459"/>
    </row>
    <row r="2460" spans="6:6" x14ac:dyDescent="0.35">
      <c r="F2460"/>
    </row>
    <row r="2461" spans="6:6" x14ac:dyDescent="0.35">
      <c r="F2461"/>
    </row>
    <row r="2462" spans="6:6" x14ac:dyDescent="0.35">
      <c r="F2462"/>
    </row>
    <row r="2463" spans="6:6" x14ac:dyDescent="0.35">
      <c r="F2463"/>
    </row>
    <row r="2464" spans="6:6" x14ac:dyDescent="0.35">
      <c r="F2464"/>
    </row>
    <row r="2465" spans="6:6" x14ac:dyDescent="0.35">
      <c r="F2465"/>
    </row>
    <row r="2466" spans="6:6" x14ac:dyDescent="0.35">
      <c r="F2466"/>
    </row>
    <row r="2467" spans="6:6" x14ac:dyDescent="0.35">
      <c r="F2467"/>
    </row>
    <row r="2468" spans="6:6" x14ac:dyDescent="0.35">
      <c r="F2468"/>
    </row>
    <row r="2469" spans="6:6" x14ac:dyDescent="0.35">
      <c r="F2469"/>
    </row>
    <row r="2470" spans="6:6" x14ac:dyDescent="0.35">
      <c r="F2470"/>
    </row>
    <row r="2471" spans="6:6" x14ac:dyDescent="0.35">
      <c r="F2471"/>
    </row>
    <row r="2472" spans="6:6" x14ac:dyDescent="0.35">
      <c r="F2472"/>
    </row>
    <row r="2473" spans="6:6" x14ac:dyDescent="0.35">
      <c r="F2473"/>
    </row>
    <row r="2474" spans="6:6" x14ac:dyDescent="0.35">
      <c r="F2474"/>
    </row>
    <row r="2475" spans="6:6" x14ac:dyDescent="0.35">
      <c r="F2475"/>
    </row>
    <row r="2476" spans="6:6" x14ac:dyDescent="0.35">
      <c r="F2476"/>
    </row>
    <row r="2477" spans="6:6" x14ac:dyDescent="0.35">
      <c r="F2477"/>
    </row>
    <row r="2478" spans="6:6" x14ac:dyDescent="0.35">
      <c r="F2478"/>
    </row>
    <row r="2479" spans="6:6" x14ac:dyDescent="0.35">
      <c r="F2479"/>
    </row>
    <row r="2480" spans="6:6" x14ac:dyDescent="0.35">
      <c r="F2480"/>
    </row>
    <row r="2481" spans="6:6" x14ac:dyDescent="0.35">
      <c r="F2481"/>
    </row>
    <row r="2482" spans="6:6" x14ac:dyDescent="0.35">
      <c r="F2482"/>
    </row>
    <row r="2483" spans="6:6" x14ac:dyDescent="0.35">
      <c r="F2483"/>
    </row>
    <row r="2484" spans="6:6" x14ac:dyDescent="0.35">
      <c r="F2484"/>
    </row>
    <row r="2485" spans="6:6" x14ac:dyDescent="0.35">
      <c r="F2485"/>
    </row>
    <row r="2486" spans="6:6" x14ac:dyDescent="0.35">
      <c r="F2486"/>
    </row>
    <row r="2487" spans="6:6" x14ac:dyDescent="0.35">
      <c r="F2487"/>
    </row>
    <row r="2488" spans="6:6" x14ac:dyDescent="0.35">
      <c r="F2488"/>
    </row>
    <row r="2489" spans="6:6" x14ac:dyDescent="0.35">
      <c r="F2489"/>
    </row>
    <row r="2490" spans="6:6" x14ac:dyDescent="0.35">
      <c r="F2490"/>
    </row>
    <row r="2491" spans="6:6" x14ac:dyDescent="0.35">
      <c r="F2491"/>
    </row>
    <row r="2492" spans="6:6" x14ac:dyDescent="0.35">
      <c r="F2492"/>
    </row>
    <row r="2493" spans="6:6" x14ac:dyDescent="0.35">
      <c r="F2493"/>
    </row>
    <row r="2494" spans="6:6" x14ac:dyDescent="0.35">
      <c r="F2494"/>
    </row>
    <row r="2495" spans="6:6" x14ac:dyDescent="0.35">
      <c r="F2495"/>
    </row>
    <row r="2496" spans="6:6" x14ac:dyDescent="0.35">
      <c r="F2496"/>
    </row>
    <row r="2497" spans="6:6" x14ac:dyDescent="0.35">
      <c r="F2497"/>
    </row>
    <row r="2498" spans="6:6" x14ac:dyDescent="0.35">
      <c r="F2498"/>
    </row>
    <row r="2499" spans="6:6" x14ac:dyDescent="0.35">
      <c r="F2499"/>
    </row>
    <row r="2500" spans="6:6" x14ac:dyDescent="0.35">
      <c r="F2500"/>
    </row>
    <row r="2501" spans="6:6" x14ac:dyDescent="0.35">
      <c r="F2501"/>
    </row>
    <row r="2502" spans="6:6" x14ac:dyDescent="0.35">
      <c r="F2502"/>
    </row>
    <row r="2503" spans="6:6" x14ac:dyDescent="0.35">
      <c r="F2503"/>
    </row>
    <row r="2504" spans="6:6" x14ac:dyDescent="0.35">
      <c r="F2504"/>
    </row>
    <row r="2505" spans="6:6" x14ac:dyDescent="0.35">
      <c r="F2505"/>
    </row>
    <row r="2506" spans="6:6" x14ac:dyDescent="0.35">
      <c r="F2506"/>
    </row>
    <row r="2507" spans="6:6" x14ac:dyDescent="0.35">
      <c r="F2507"/>
    </row>
    <row r="2508" spans="6:6" x14ac:dyDescent="0.35">
      <c r="F2508"/>
    </row>
    <row r="2509" spans="6:6" x14ac:dyDescent="0.35">
      <c r="F2509"/>
    </row>
    <row r="2510" spans="6:6" x14ac:dyDescent="0.35">
      <c r="F2510"/>
    </row>
    <row r="2511" spans="6:6" x14ac:dyDescent="0.35">
      <c r="F2511"/>
    </row>
    <row r="2512" spans="6:6" x14ac:dyDescent="0.35">
      <c r="F2512"/>
    </row>
    <row r="2513" spans="6:6" x14ac:dyDescent="0.35">
      <c r="F2513"/>
    </row>
    <row r="2514" spans="6:6" x14ac:dyDescent="0.35">
      <c r="F2514"/>
    </row>
    <row r="2515" spans="6:6" x14ac:dyDescent="0.35">
      <c r="F2515"/>
    </row>
    <row r="2516" spans="6:6" x14ac:dyDescent="0.35">
      <c r="F2516"/>
    </row>
    <row r="2517" spans="6:6" x14ac:dyDescent="0.35">
      <c r="F2517"/>
    </row>
    <row r="2518" spans="6:6" x14ac:dyDescent="0.35">
      <c r="F2518"/>
    </row>
    <row r="2519" spans="6:6" x14ac:dyDescent="0.35">
      <c r="F2519"/>
    </row>
    <row r="2520" spans="6:6" x14ac:dyDescent="0.35">
      <c r="F2520"/>
    </row>
    <row r="2521" spans="6:6" x14ac:dyDescent="0.35">
      <c r="F2521"/>
    </row>
    <row r="2522" spans="6:6" x14ac:dyDescent="0.35">
      <c r="F2522"/>
    </row>
    <row r="2523" spans="6:6" x14ac:dyDescent="0.35">
      <c r="F2523"/>
    </row>
    <row r="2524" spans="6:6" x14ac:dyDescent="0.35">
      <c r="F2524"/>
    </row>
    <row r="2525" spans="6:6" x14ac:dyDescent="0.35">
      <c r="F2525"/>
    </row>
    <row r="2526" spans="6:6" x14ac:dyDescent="0.35">
      <c r="F2526"/>
    </row>
    <row r="2527" spans="6:6" x14ac:dyDescent="0.35">
      <c r="F2527"/>
    </row>
    <row r="2528" spans="6:6" x14ac:dyDescent="0.35">
      <c r="F2528"/>
    </row>
    <row r="2529" spans="6:6" x14ac:dyDescent="0.35">
      <c r="F2529"/>
    </row>
    <row r="2530" spans="6:6" x14ac:dyDescent="0.35">
      <c r="F2530"/>
    </row>
    <row r="2531" spans="6:6" x14ac:dyDescent="0.35">
      <c r="F2531"/>
    </row>
    <row r="2532" spans="6:6" x14ac:dyDescent="0.35">
      <c r="F2532"/>
    </row>
    <row r="2533" spans="6:6" x14ac:dyDescent="0.35">
      <c r="F2533"/>
    </row>
    <row r="2534" spans="6:6" x14ac:dyDescent="0.35">
      <c r="F2534"/>
    </row>
    <row r="2535" spans="6:6" x14ac:dyDescent="0.35">
      <c r="F2535"/>
    </row>
    <row r="2536" spans="6:6" x14ac:dyDescent="0.35">
      <c r="F2536"/>
    </row>
    <row r="2537" spans="6:6" x14ac:dyDescent="0.35">
      <c r="F2537"/>
    </row>
    <row r="2538" spans="6:6" x14ac:dyDescent="0.35">
      <c r="F2538"/>
    </row>
    <row r="2539" spans="6:6" x14ac:dyDescent="0.35">
      <c r="F2539"/>
    </row>
    <row r="2540" spans="6:6" x14ac:dyDescent="0.35">
      <c r="F2540"/>
    </row>
    <row r="2541" spans="6:6" x14ac:dyDescent="0.35">
      <c r="F2541"/>
    </row>
    <row r="2542" spans="6:6" x14ac:dyDescent="0.35">
      <c r="F2542"/>
    </row>
    <row r="2543" spans="6:6" x14ac:dyDescent="0.35">
      <c r="F2543"/>
    </row>
    <row r="2544" spans="6:6" x14ac:dyDescent="0.35">
      <c r="F2544"/>
    </row>
    <row r="2545" spans="6:6" x14ac:dyDescent="0.35">
      <c r="F2545"/>
    </row>
    <row r="2546" spans="6:6" x14ac:dyDescent="0.35">
      <c r="F2546"/>
    </row>
    <row r="2547" spans="6:6" x14ac:dyDescent="0.35">
      <c r="F2547"/>
    </row>
    <row r="2548" spans="6:6" x14ac:dyDescent="0.35">
      <c r="F2548"/>
    </row>
    <row r="2549" spans="6:6" x14ac:dyDescent="0.35">
      <c r="F2549"/>
    </row>
    <row r="2550" spans="6:6" x14ac:dyDescent="0.35">
      <c r="F2550"/>
    </row>
    <row r="2551" spans="6:6" x14ac:dyDescent="0.35">
      <c r="F2551"/>
    </row>
    <row r="2552" spans="6:6" x14ac:dyDescent="0.35">
      <c r="F2552"/>
    </row>
    <row r="2553" spans="6:6" x14ac:dyDescent="0.35">
      <c r="F2553"/>
    </row>
    <row r="2554" spans="6:6" x14ac:dyDescent="0.35">
      <c r="F2554"/>
    </row>
    <row r="2555" spans="6:6" x14ac:dyDescent="0.35">
      <c r="F2555"/>
    </row>
    <row r="2556" spans="6:6" x14ac:dyDescent="0.35">
      <c r="F2556"/>
    </row>
    <row r="2557" spans="6:6" x14ac:dyDescent="0.35">
      <c r="F2557"/>
    </row>
    <row r="2558" spans="6:6" x14ac:dyDescent="0.35">
      <c r="F2558"/>
    </row>
    <row r="2559" spans="6:6" x14ac:dyDescent="0.35">
      <c r="F2559"/>
    </row>
    <row r="2560" spans="6:6" x14ac:dyDescent="0.35">
      <c r="F2560"/>
    </row>
    <row r="2561" spans="6:6" x14ac:dyDescent="0.35">
      <c r="F2561"/>
    </row>
    <row r="2562" spans="6:6" x14ac:dyDescent="0.35">
      <c r="F2562"/>
    </row>
    <row r="2563" spans="6:6" x14ac:dyDescent="0.35">
      <c r="F2563"/>
    </row>
    <row r="2564" spans="6:6" x14ac:dyDescent="0.35">
      <c r="F2564"/>
    </row>
    <row r="2565" spans="6:6" x14ac:dyDescent="0.35">
      <c r="F2565"/>
    </row>
    <row r="2566" spans="6:6" x14ac:dyDescent="0.35">
      <c r="F2566"/>
    </row>
    <row r="2567" spans="6:6" x14ac:dyDescent="0.35">
      <c r="F2567"/>
    </row>
    <row r="2568" spans="6:6" x14ac:dyDescent="0.35">
      <c r="F2568"/>
    </row>
    <row r="2569" spans="6:6" x14ac:dyDescent="0.35">
      <c r="F2569"/>
    </row>
    <row r="2570" spans="6:6" x14ac:dyDescent="0.35">
      <c r="F2570"/>
    </row>
    <row r="2571" spans="6:6" x14ac:dyDescent="0.35">
      <c r="F2571"/>
    </row>
    <row r="2572" spans="6:6" x14ac:dyDescent="0.35">
      <c r="F2572"/>
    </row>
    <row r="2573" spans="6:6" x14ac:dyDescent="0.35">
      <c r="F2573"/>
    </row>
    <row r="2574" spans="6:6" x14ac:dyDescent="0.35">
      <c r="F2574"/>
    </row>
    <row r="2575" spans="6:6" x14ac:dyDescent="0.35">
      <c r="F2575"/>
    </row>
    <row r="2576" spans="6:6" x14ac:dyDescent="0.35">
      <c r="F2576"/>
    </row>
    <row r="2577" spans="6:6" x14ac:dyDescent="0.35">
      <c r="F2577"/>
    </row>
    <row r="2578" spans="6:6" x14ac:dyDescent="0.35">
      <c r="F2578"/>
    </row>
    <row r="2579" spans="6:6" x14ac:dyDescent="0.35">
      <c r="F2579"/>
    </row>
    <row r="2580" spans="6:6" x14ac:dyDescent="0.35">
      <c r="F2580"/>
    </row>
    <row r="2581" spans="6:6" x14ac:dyDescent="0.35">
      <c r="F2581"/>
    </row>
    <row r="2582" spans="6:6" x14ac:dyDescent="0.35">
      <c r="F2582"/>
    </row>
    <row r="2583" spans="6:6" x14ac:dyDescent="0.35">
      <c r="F2583"/>
    </row>
    <row r="2584" spans="6:6" x14ac:dyDescent="0.35">
      <c r="F2584"/>
    </row>
    <row r="2585" spans="6:6" x14ac:dyDescent="0.35">
      <c r="F2585"/>
    </row>
    <row r="2586" spans="6:6" x14ac:dyDescent="0.35">
      <c r="F2586"/>
    </row>
    <row r="2587" spans="6:6" x14ac:dyDescent="0.35">
      <c r="F2587"/>
    </row>
    <row r="2588" spans="6:6" x14ac:dyDescent="0.35">
      <c r="F2588"/>
    </row>
    <row r="2589" spans="6:6" x14ac:dyDescent="0.35">
      <c r="F2589"/>
    </row>
    <row r="2590" spans="6:6" x14ac:dyDescent="0.35">
      <c r="F2590"/>
    </row>
    <row r="2591" spans="6:6" x14ac:dyDescent="0.35">
      <c r="F2591"/>
    </row>
    <row r="2592" spans="6:6" x14ac:dyDescent="0.35">
      <c r="F2592"/>
    </row>
    <row r="2593" spans="6:6" x14ac:dyDescent="0.35">
      <c r="F2593"/>
    </row>
    <row r="2594" spans="6:6" x14ac:dyDescent="0.35">
      <c r="F2594"/>
    </row>
    <row r="2595" spans="6:6" x14ac:dyDescent="0.35">
      <c r="F2595"/>
    </row>
    <row r="2596" spans="6:6" x14ac:dyDescent="0.35">
      <c r="F2596"/>
    </row>
    <row r="2597" spans="6:6" x14ac:dyDescent="0.35">
      <c r="F2597"/>
    </row>
    <row r="2598" spans="6:6" x14ac:dyDescent="0.35">
      <c r="F2598"/>
    </row>
    <row r="2599" spans="6:6" x14ac:dyDescent="0.35">
      <c r="F2599"/>
    </row>
    <row r="2600" spans="6:6" x14ac:dyDescent="0.35">
      <c r="F2600"/>
    </row>
    <row r="2601" spans="6:6" x14ac:dyDescent="0.35">
      <c r="F2601"/>
    </row>
    <row r="2602" spans="6:6" x14ac:dyDescent="0.35">
      <c r="F2602"/>
    </row>
    <row r="2603" spans="6:6" x14ac:dyDescent="0.35">
      <c r="F2603"/>
    </row>
    <row r="2604" spans="6:6" x14ac:dyDescent="0.35">
      <c r="F2604"/>
    </row>
    <row r="2605" spans="6:6" x14ac:dyDescent="0.35">
      <c r="F2605"/>
    </row>
    <row r="2606" spans="6:6" x14ac:dyDescent="0.35">
      <c r="F2606"/>
    </row>
    <row r="2607" spans="6:6" x14ac:dyDescent="0.35">
      <c r="F2607"/>
    </row>
    <row r="2608" spans="6:6" x14ac:dyDescent="0.35">
      <c r="F2608"/>
    </row>
    <row r="2609" spans="6:6" x14ac:dyDescent="0.35">
      <c r="F2609"/>
    </row>
    <row r="2610" spans="6:6" x14ac:dyDescent="0.35">
      <c r="F2610"/>
    </row>
    <row r="2611" spans="6:6" x14ac:dyDescent="0.35">
      <c r="F2611"/>
    </row>
    <row r="2612" spans="6:6" x14ac:dyDescent="0.35">
      <c r="F2612"/>
    </row>
    <row r="2613" spans="6:6" x14ac:dyDescent="0.35">
      <c r="F2613"/>
    </row>
    <row r="2614" spans="6:6" x14ac:dyDescent="0.35">
      <c r="F2614"/>
    </row>
    <row r="2615" spans="6:6" x14ac:dyDescent="0.35">
      <c r="F2615"/>
    </row>
    <row r="2616" spans="6:6" x14ac:dyDescent="0.35">
      <c r="F2616"/>
    </row>
    <row r="2617" spans="6:6" x14ac:dyDescent="0.35">
      <c r="F2617"/>
    </row>
    <row r="2618" spans="6:6" x14ac:dyDescent="0.35">
      <c r="F2618"/>
    </row>
    <row r="2619" spans="6:6" x14ac:dyDescent="0.35">
      <c r="F2619"/>
    </row>
    <row r="2620" spans="6:6" x14ac:dyDescent="0.35">
      <c r="F2620"/>
    </row>
    <row r="2621" spans="6:6" x14ac:dyDescent="0.35">
      <c r="F2621"/>
    </row>
    <row r="2622" spans="6:6" x14ac:dyDescent="0.35">
      <c r="F2622"/>
    </row>
    <row r="2623" spans="6:6" x14ac:dyDescent="0.35">
      <c r="F2623"/>
    </row>
    <row r="2624" spans="6:6" x14ac:dyDescent="0.35">
      <c r="F2624"/>
    </row>
    <row r="2625" spans="6:6" x14ac:dyDescent="0.35">
      <c r="F2625"/>
    </row>
    <row r="2626" spans="6:6" x14ac:dyDescent="0.35">
      <c r="F2626"/>
    </row>
    <row r="2627" spans="6:6" x14ac:dyDescent="0.35">
      <c r="F2627"/>
    </row>
    <row r="2628" spans="6:6" x14ac:dyDescent="0.35">
      <c r="F2628"/>
    </row>
    <row r="2629" spans="6:6" x14ac:dyDescent="0.35">
      <c r="F2629"/>
    </row>
    <row r="2630" spans="6:6" x14ac:dyDescent="0.35">
      <c r="F2630"/>
    </row>
    <row r="2631" spans="6:6" x14ac:dyDescent="0.35">
      <c r="F2631"/>
    </row>
    <row r="2632" spans="6:6" x14ac:dyDescent="0.35">
      <c r="F2632"/>
    </row>
    <row r="2633" spans="6:6" x14ac:dyDescent="0.35">
      <c r="F2633"/>
    </row>
    <row r="2634" spans="6:6" x14ac:dyDescent="0.35">
      <c r="F2634"/>
    </row>
    <row r="2635" spans="6:6" x14ac:dyDescent="0.35">
      <c r="F2635"/>
    </row>
    <row r="2636" spans="6:6" x14ac:dyDescent="0.35">
      <c r="F2636"/>
    </row>
    <row r="2637" spans="6:6" x14ac:dyDescent="0.35">
      <c r="F2637"/>
    </row>
    <row r="2638" spans="6:6" x14ac:dyDescent="0.35">
      <c r="F2638"/>
    </row>
    <row r="2639" spans="6:6" x14ac:dyDescent="0.35">
      <c r="F2639"/>
    </row>
    <row r="2640" spans="6:6" x14ac:dyDescent="0.35">
      <c r="F2640"/>
    </row>
    <row r="2641" spans="6:6" x14ac:dyDescent="0.35">
      <c r="F2641"/>
    </row>
    <row r="2642" spans="6:6" x14ac:dyDescent="0.35">
      <c r="F2642"/>
    </row>
    <row r="2643" spans="6:6" x14ac:dyDescent="0.35">
      <c r="F2643"/>
    </row>
    <row r="2644" spans="6:6" x14ac:dyDescent="0.35">
      <c r="F2644"/>
    </row>
    <row r="2645" spans="6:6" x14ac:dyDescent="0.35">
      <c r="F2645"/>
    </row>
    <row r="2646" spans="6:6" x14ac:dyDescent="0.35">
      <c r="F2646"/>
    </row>
    <row r="2647" spans="6:6" x14ac:dyDescent="0.35">
      <c r="F2647"/>
    </row>
    <row r="2648" spans="6:6" x14ac:dyDescent="0.35">
      <c r="F2648"/>
    </row>
    <row r="2649" spans="6:6" x14ac:dyDescent="0.35">
      <c r="F2649"/>
    </row>
    <row r="2650" spans="6:6" x14ac:dyDescent="0.35">
      <c r="F2650"/>
    </row>
    <row r="2651" spans="6:6" x14ac:dyDescent="0.35">
      <c r="F2651"/>
    </row>
    <row r="2652" spans="6:6" x14ac:dyDescent="0.35">
      <c r="F2652"/>
    </row>
    <row r="2653" spans="6:6" x14ac:dyDescent="0.35">
      <c r="F2653"/>
    </row>
    <row r="2654" spans="6:6" x14ac:dyDescent="0.35">
      <c r="F2654"/>
    </row>
    <row r="2655" spans="6:6" x14ac:dyDescent="0.35">
      <c r="F2655"/>
    </row>
    <row r="2656" spans="6:6" x14ac:dyDescent="0.35">
      <c r="F2656"/>
    </row>
    <row r="2657" spans="6:6" x14ac:dyDescent="0.35">
      <c r="F2657"/>
    </row>
    <row r="2658" spans="6:6" x14ac:dyDescent="0.35">
      <c r="F2658"/>
    </row>
    <row r="2659" spans="6:6" x14ac:dyDescent="0.35">
      <c r="F2659"/>
    </row>
    <row r="2660" spans="6:6" x14ac:dyDescent="0.35">
      <c r="F2660"/>
    </row>
    <row r="2661" spans="6:6" x14ac:dyDescent="0.35">
      <c r="F2661"/>
    </row>
    <row r="2662" spans="6:6" x14ac:dyDescent="0.35">
      <c r="F2662"/>
    </row>
    <row r="2663" spans="6:6" x14ac:dyDescent="0.35">
      <c r="F2663"/>
    </row>
    <row r="2664" spans="6:6" x14ac:dyDescent="0.35">
      <c r="F2664"/>
    </row>
    <row r="2665" spans="6:6" x14ac:dyDescent="0.35">
      <c r="F2665"/>
    </row>
    <row r="2666" spans="6:6" x14ac:dyDescent="0.35">
      <c r="F2666"/>
    </row>
    <row r="2667" spans="6:6" x14ac:dyDescent="0.35">
      <c r="F2667"/>
    </row>
    <row r="2668" spans="6:6" x14ac:dyDescent="0.35">
      <c r="F2668"/>
    </row>
    <row r="2669" spans="6:6" x14ac:dyDescent="0.35">
      <c r="F2669"/>
    </row>
    <row r="2670" spans="6:6" x14ac:dyDescent="0.35">
      <c r="F2670"/>
    </row>
    <row r="2671" spans="6:6" x14ac:dyDescent="0.35">
      <c r="F2671"/>
    </row>
    <row r="2672" spans="6:6" x14ac:dyDescent="0.35">
      <c r="F2672"/>
    </row>
    <row r="2673" spans="6:6" x14ac:dyDescent="0.35">
      <c r="F2673"/>
    </row>
    <row r="2674" spans="6:6" x14ac:dyDescent="0.35">
      <c r="F2674"/>
    </row>
    <row r="2675" spans="6:6" x14ac:dyDescent="0.35">
      <c r="F2675"/>
    </row>
    <row r="2676" spans="6:6" x14ac:dyDescent="0.35">
      <c r="F2676"/>
    </row>
    <row r="2677" spans="6:6" x14ac:dyDescent="0.35">
      <c r="F2677"/>
    </row>
    <row r="2678" spans="6:6" x14ac:dyDescent="0.35">
      <c r="F2678"/>
    </row>
    <row r="2679" spans="6:6" x14ac:dyDescent="0.35">
      <c r="F2679"/>
    </row>
    <row r="2680" spans="6:6" x14ac:dyDescent="0.35">
      <c r="F2680"/>
    </row>
    <row r="2681" spans="6:6" x14ac:dyDescent="0.35">
      <c r="F2681"/>
    </row>
    <row r="2682" spans="6:6" x14ac:dyDescent="0.35">
      <c r="F2682"/>
    </row>
    <row r="2683" spans="6:6" x14ac:dyDescent="0.35">
      <c r="F2683"/>
    </row>
    <row r="2684" spans="6:6" x14ac:dyDescent="0.35">
      <c r="F2684"/>
    </row>
    <row r="2685" spans="6:6" x14ac:dyDescent="0.35">
      <c r="F2685"/>
    </row>
    <row r="2686" spans="6:6" x14ac:dyDescent="0.35">
      <c r="F2686"/>
    </row>
    <row r="2687" spans="6:6" x14ac:dyDescent="0.35">
      <c r="F2687"/>
    </row>
    <row r="2688" spans="6:6" x14ac:dyDescent="0.35">
      <c r="F2688"/>
    </row>
    <row r="2689" spans="6:6" x14ac:dyDescent="0.35">
      <c r="F2689"/>
    </row>
    <row r="2690" spans="6:6" x14ac:dyDescent="0.35">
      <c r="F2690"/>
    </row>
    <row r="2691" spans="6:6" x14ac:dyDescent="0.35">
      <c r="F2691"/>
    </row>
    <row r="2692" spans="6:6" x14ac:dyDescent="0.35">
      <c r="F2692"/>
    </row>
    <row r="2693" spans="6:6" x14ac:dyDescent="0.35">
      <c r="F2693"/>
    </row>
    <row r="2694" spans="6:6" x14ac:dyDescent="0.35">
      <c r="F2694"/>
    </row>
    <row r="2695" spans="6:6" x14ac:dyDescent="0.35">
      <c r="F2695"/>
    </row>
    <row r="2696" spans="6:6" x14ac:dyDescent="0.35">
      <c r="F2696"/>
    </row>
    <row r="2697" spans="6:6" x14ac:dyDescent="0.35">
      <c r="F2697"/>
    </row>
    <row r="2698" spans="6:6" x14ac:dyDescent="0.35">
      <c r="F2698"/>
    </row>
    <row r="2699" spans="6:6" x14ac:dyDescent="0.35">
      <c r="F2699"/>
    </row>
    <row r="2700" spans="6:6" x14ac:dyDescent="0.35">
      <c r="F2700"/>
    </row>
    <row r="2701" spans="6:6" x14ac:dyDescent="0.35">
      <c r="F2701"/>
    </row>
    <row r="2702" spans="6:6" x14ac:dyDescent="0.35">
      <c r="F2702"/>
    </row>
    <row r="2703" spans="6:6" x14ac:dyDescent="0.35">
      <c r="F2703"/>
    </row>
    <row r="2704" spans="6:6" x14ac:dyDescent="0.35">
      <c r="F2704"/>
    </row>
    <row r="2705" spans="6:6" x14ac:dyDescent="0.35">
      <c r="F2705"/>
    </row>
    <row r="2706" spans="6:6" x14ac:dyDescent="0.35">
      <c r="F2706"/>
    </row>
    <row r="2707" spans="6:6" x14ac:dyDescent="0.35">
      <c r="F2707"/>
    </row>
    <row r="2708" spans="6:6" x14ac:dyDescent="0.35">
      <c r="F2708"/>
    </row>
    <row r="2709" spans="6:6" x14ac:dyDescent="0.35">
      <c r="F2709"/>
    </row>
    <row r="2710" spans="6:6" x14ac:dyDescent="0.35">
      <c r="F2710"/>
    </row>
    <row r="2711" spans="6:6" x14ac:dyDescent="0.35">
      <c r="F2711"/>
    </row>
    <row r="2712" spans="6:6" x14ac:dyDescent="0.35">
      <c r="F2712"/>
    </row>
    <row r="2713" spans="6:6" x14ac:dyDescent="0.35">
      <c r="F2713"/>
    </row>
    <row r="2714" spans="6:6" x14ac:dyDescent="0.35">
      <c r="F2714"/>
    </row>
    <row r="2715" spans="6:6" x14ac:dyDescent="0.35">
      <c r="F2715"/>
    </row>
    <row r="2716" spans="6:6" x14ac:dyDescent="0.35">
      <c r="F2716"/>
    </row>
    <row r="2717" spans="6:6" x14ac:dyDescent="0.35">
      <c r="F2717"/>
    </row>
    <row r="2718" spans="6:6" x14ac:dyDescent="0.35">
      <c r="F2718"/>
    </row>
    <row r="2719" spans="6:6" x14ac:dyDescent="0.35">
      <c r="F2719"/>
    </row>
    <row r="2720" spans="6:6" x14ac:dyDescent="0.35">
      <c r="F2720"/>
    </row>
    <row r="2721" spans="6:6" x14ac:dyDescent="0.35">
      <c r="F2721"/>
    </row>
    <row r="2722" spans="6:6" x14ac:dyDescent="0.35">
      <c r="F2722"/>
    </row>
    <row r="2723" spans="6:6" x14ac:dyDescent="0.35">
      <c r="F2723"/>
    </row>
    <row r="2724" spans="6:6" x14ac:dyDescent="0.35">
      <c r="F2724"/>
    </row>
    <row r="2725" spans="6:6" x14ac:dyDescent="0.35">
      <c r="F2725"/>
    </row>
    <row r="2726" spans="6:6" x14ac:dyDescent="0.35">
      <c r="F2726"/>
    </row>
    <row r="2727" spans="6:6" x14ac:dyDescent="0.35">
      <c r="F2727"/>
    </row>
    <row r="2728" spans="6:6" x14ac:dyDescent="0.35">
      <c r="F2728"/>
    </row>
    <row r="2729" spans="6:6" x14ac:dyDescent="0.35">
      <c r="F2729"/>
    </row>
    <row r="2730" spans="6:6" x14ac:dyDescent="0.35">
      <c r="F2730"/>
    </row>
    <row r="2731" spans="6:6" x14ac:dyDescent="0.35">
      <c r="F2731"/>
    </row>
    <row r="2732" spans="6:6" x14ac:dyDescent="0.35">
      <c r="F2732"/>
    </row>
    <row r="2733" spans="6:6" x14ac:dyDescent="0.35">
      <c r="F2733"/>
    </row>
    <row r="2734" spans="6:6" x14ac:dyDescent="0.35">
      <c r="F2734"/>
    </row>
    <row r="2735" spans="6:6" x14ac:dyDescent="0.35">
      <c r="F2735"/>
    </row>
    <row r="2736" spans="6:6" x14ac:dyDescent="0.35">
      <c r="F2736"/>
    </row>
    <row r="2737" spans="6:6" x14ac:dyDescent="0.35">
      <c r="F2737"/>
    </row>
    <row r="2738" spans="6:6" x14ac:dyDescent="0.35">
      <c r="F2738"/>
    </row>
    <row r="2739" spans="6:6" x14ac:dyDescent="0.35">
      <c r="F2739"/>
    </row>
    <row r="2740" spans="6:6" x14ac:dyDescent="0.35">
      <c r="F2740"/>
    </row>
    <row r="2741" spans="6:6" x14ac:dyDescent="0.35">
      <c r="F2741"/>
    </row>
    <row r="2742" spans="6:6" x14ac:dyDescent="0.35">
      <c r="F2742"/>
    </row>
    <row r="2743" spans="6:6" x14ac:dyDescent="0.35">
      <c r="F2743"/>
    </row>
    <row r="2744" spans="6:6" x14ac:dyDescent="0.35">
      <c r="F2744"/>
    </row>
    <row r="2745" spans="6:6" x14ac:dyDescent="0.35">
      <c r="F2745"/>
    </row>
    <row r="2746" spans="6:6" x14ac:dyDescent="0.35">
      <c r="F2746"/>
    </row>
    <row r="2747" spans="6:6" x14ac:dyDescent="0.35">
      <c r="F2747"/>
    </row>
    <row r="2748" spans="6:6" x14ac:dyDescent="0.35">
      <c r="F2748"/>
    </row>
    <row r="2749" spans="6:6" x14ac:dyDescent="0.35">
      <c r="F2749"/>
    </row>
    <row r="2750" spans="6:6" x14ac:dyDescent="0.35">
      <c r="F2750"/>
    </row>
    <row r="2751" spans="6:6" x14ac:dyDescent="0.35">
      <c r="F2751"/>
    </row>
    <row r="2752" spans="6:6" x14ac:dyDescent="0.35">
      <c r="F2752"/>
    </row>
    <row r="2753" spans="6:6" x14ac:dyDescent="0.35">
      <c r="F2753"/>
    </row>
    <row r="2754" spans="6:6" x14ac:dyDescent="0.35">
      <c r="F2754"/>
    </row>
    <row r="2755" spans="6:6" x14ac:dyDescent="0.35">
      <c r="F2755"/>
    </row>
    <row r="2756" spans="6:6" x14ac:dyDescent="0.35">
      <c r="F2756"/>
    </row>
    <row r="2757" spans="6:6" x14ac:dyDescent="0.35">
      <c r="F2757"/>
    </row>
    <row r="2758" spans="6:6" x14ac:dyDescent="0.35">
      <c r="F2758"/>
    </row>
    <row r="2759" spans="6:6" x14ac:dyDescent="0.35">
      <c r="F2759"/>
    </row>
    <row r="2760" spans="6:6" x14ac:dyDescent="0.35">
      <c r="F2760"/>
    </row>
    <row r="2761" spans="6:6" x14ac:dyDescent="0.35">
      <c r="F2761"/>
    </row>
    <row r="2762" spans="6:6" x14ac:dyDescent="0.35">
      <c r="F2762"/>
    </row>
    <row r="2763" spans="6:6" x14ac:dyDescent="0.35">
      <c r="F2763"/>
    </row>
    <row r="2764" spans="6:6" x14ac:dyDescent="0.35">
      <c r="F2764"/>
    </row>
    <row r="2765" spans="6:6" x14ac:dyDescent="0.35">
      <c r="F2765"/>
    </row>
    <row r="2766" spans="6:6" x14ac:dyDescent="0.35">
      <c r="F2766"/>
    </row>
    <row r="2767" spans="6:6" x14ac:dyDescent="0.35">
      <c r="F2767"/>
    </row>
    <row r="2768" spans="6:6" x14ac:dyDescent="0.35">
      <c r="F2768"/>
    </row>
    <row r="2769" spans="6:6" x14ac:dyDescent="0.35">
      <c r="F2769"/>
    </row>
    <row r="2770" spans="6:6" x14ac:dyDescent="0.35">
      <c r="F2770"/>
    </row>
    <row r="2771" spans="6:6" x14ac:dyDescent="0.35">
      <c r="F2771"/>
    </row>
    <row r="2772" spans="6:6" x14ac:dyDescent="0.35">
      <c r="F2772"/>
    </row>
    <row r="2773" spans="6:6" x14ac:dyDescent="0.35">
      <c r="F2773"/>
    </row>
    <row r="2774" spans="6:6" x14ac:dyDescent="0.35">
      <c r="F2774"/>
    </row>
    <row r="2775" spans="6:6" x14ac:dyDescent="0.35">
      <c r="F2775"/>
    </row>
    <row r="2776" spans="6:6" x14ac:dyDescent="0.35">
      <c r="F2776"/>
    </row>
    <row r="2777" spans="6:6" x14ac:dyDescent="0.35">
      <c r="F2777"/>
    </row>
    <row r="2778" spans="6:6" x14ac:dyDescent="0.35">
      <c r="F2778"/>
    </row>
    <row r="2779" spans="6:6" x14ac:dyDescent="0.35">
      <c r="F2779"/>
    </row>
    <row r="2780" spans="6:6" x14ac:dyDescent="0.35">
      <c r="F2780"/>
    </row>
    <row r="2781" spans="6:6" x14ac:dyDescent="0.35">
      <c r="F2781"/>
    </row>
    <row r="2782" spans="6:6" x14ac:dyDescent="0.35">
      <c r="F2782"/>
    </row>
    <row r="2783" spans="6:6" x14ac:dyDescent="0.35">
      <c r="F2783"/>
    </row>
    <row r="2784" spans="6:6" x14ac:dyDescent="0.35">
      <c r="F2784"/>
    </row>
    <row r="2785" spans="6:6" x14ac:dyDescent="0.35">
      <c r="F2785"/>
    </row>
    <row r="2786" spans="6:6" x14ac:dyDescent="0.35">
      <c r="F2786"/>
    </row>
    <row r="2787" spans="6:6" x14ac:dyDescent="0.35">
      <c r="F2787"/>
    </row>
    <row r="2788" spans="6:6" x14ac:dyDescent="0.35">
      <c r="F2788"/>
    </row>
    <row r="2789" spans="6:6" x14ac:dyDescent="0.35">
      <c r="F2789"/>
    </row>
    <row r="2790" spans="6:6" x14ac:dyDescent="0.35">
      <c r="F2790"/>
    </row>
    <row r="2791" spans="6:6" x14ac:dyDescent="0.35">
      <c r="F2791"/>
    </row>
    <row r="2792" spans="6:6" x14ac:dyDescent="0.35">
      <c r="F2792"/>
    </row>
    <row r="2793" spans="6:6" x14ac:dyDescent="0.35">
      <c r="F2793"/>
    </row>
    <row r="2794" spans="6:6" x14ac:dyDescent="0.35">
      <c r="F2794"/>
    </row>
    <row r="2795" spans="6:6" x14ac:dyDescent="0.35">
      <c r="F2795"/>
    </row>
    <row r="2796" spans="6:6" x14ac:dyDescent="0.35">
      <c r="F2796"/>
    </row>
    <row r="2797" spans="6:6" x14ac:dyDescent="0.35">
      <c r="F2797"/>
    </row>
    <row r="2798" spans="6:6" x14ac:dyDescent="0.35">
      <c r="F2798"/>
    </row>
    <row r="2799" spans="6:6" x14ac:dyDescent="0.35">
      <c r="F2799"/>
    </row>
    <row r="2800" spans="6:6" x14ac:dyDescent="0.35">
      <c r="F2800"/>
    </row>
    <row r="2801" spans="6:6" x14ac:dyDescent="0.35">
      <c r="F2801"/>
    </row>
    <row r="2802" spans="6:6" x14ac:dyDescent="0.35">
      <c r="F2802"/>
    </row>
    <row r="2803" spans="6:6" x14ac:dyDescent="0.35">
      <c r="F2803"/>
    </row>
    <row r="2804" spans="6:6" x14ac:dyDescent="0.35">
      <c r="F2804"/>
    </row>
    <row r="2805" spans="6:6" x14ac:dyDescent="0.35">
      <c r="F2805"/>
    </row>
    <row r="2806" spans="6:6" x14ac:dyDescent="0.35">
      <c r="F2806"/>
    </row>
    <row r="2807" spans="6:6" x14ac:dyDescent="0.35">
      <c r="F2807"/>
    </row>
    <row r="2808" spans="6:6" x14ac:dyDescent="0.35">
      <c r="F2808"/>
    </row>
    <row r="2809" spans="6:6" x14ac:dyDescent="0.35">
      <c r="F2809"/>
    </row>
    <row r="2810" spans="6:6" x14ac:dyDescent="0.35">
      <c r="F2810"/>
    </row>
    <row r="2811" spans="6:6" x14ac:dyDescent="0.35">
      <c r="F2811"/>
    </row>
    <row r="2812" spans="6:6" x14ac:dyDescent="0.35">
      <c r="F2812"/>
    </row>
    <row r="2813" spans="6:6" x14ac:dyDescent="0.35">
      <c r="F2813"/>
    </row>
    <row r="2814" spans="6:6" x14ac:dyDescent="0.35">
      <c r="F2814"/>
    </row>
    <row r="2815" spans="6:6" x14ac:dyDescent="0.35">
      <c r="F2815"/>
    </row>
    <row r="2816" spans="6:6" x14ac:dyDescent="0.35">
      <c r="F2816"/>
    </row>
    <row r="2817" spans="6:6" x14ac:dyDescent="0.35">
      <c r="F2817"/>
    </row>
    <row r="2818" spans="6:6" x14ac:dyDescent="0.35">
      <c r="F2818"/>
    </row>
    <row r="2819" spans="6:6" x14ac:dyDescent="0.35">
      <c r="F2819"/>
    </row>
    <row r="2820" spans="6:6" x14ac:dyDescent="0.35">
      <c r="F2820"/>
    </row>
    <row r="2821" spans="6:6" x14ac:dyDescent="0.35">
      <c r="F2821"/>
    </row>
    <row r="2822" spans="6:6" x14ac:dyDescent="0.35">
      <c r="F2822"/>
    </row>
    <row r="2823" spans="6:6" x14ac:dyDescent="0.35">
      <c r="F2823"/>
    </row>
    <row r="2824" spans="6:6" x14ac:dyDescent="0.35">
      <c r="F2824"/>
    </row>
    <row r="2825" spans="6:6" x14ac:dyDescent="0.35">
      <c r="F2825"/>
    </row>
    <row r="2826" spans="6:6" x14ac:dyDescent="0.35">
      <c r="F2826"/>
    </row>
    <row r="2827" spans="6:6" x14ac:dyDescent="0.35">
      <c r="F2827"/>
    </row>
    <row r="2828" spans="6:6" x14ac:dyDescent="0.35">
      <c r="F2828"/>
    </row>
    <row r="2829" spans="6:6" x14ac:dyDescent="0.35">
      <c r="F2829"/>
    </row>
    <row r="2830" spans="6:6" x14ac:dyDescent="0.35">
      <c r="F2830"/>
    </row>
    <row r="2831" spans="6:6" x14ac:dyDescent="0.35">
      <c r="F2831"/>
    </row>
    <row r="2832" spans="6:6" x14ac:dyDescent="0.35">
      <c r="F2832"/>
    </row>
    <row r="2833" spans="6:6" x14ac:dyDescent="0.35">
      <c r="F2833"/>
    </row>
    <row r="2834" spans="6:6" x14ac:dyDescent="0.35">
      <c r="F2834"/>
    </row>
    <row r="2835" spans="6:6" x14ac:dyDescent="0.35">
      <c r="F2835"/>
    </row>
    <row r="2836" spans="6:6" x14ac:dyDescent="0.35">
      <c r="F2836"/>
    </row>
    <row r="2837" spans="6:6" x14ac:dyDescent="0.35">
      <c r="F2837"/>
    </row>
    <row r="2838" spans="6:6" x14ac:dyDescent="0.35">
      <c r="F2838"/>
    </row>
    <row r="2839" spans="6:6" x14ac:dyDescent="0.35">
      <c r="F2839"/>
    </row>
    <row r="2840" spans="6:6" x14ac:dyDescent="0.35">
      <c r="F2840"/>
    </row>
    <row r="2841" spans="6:6" x14ac:dyDescent="0.35">
      <c r="F2841"/>
    </row>
    <row r="2842" spans="6:6" x14ac:dyDescent="0.35">
      <c r="F2842"/>
    </row>
    <row r="2843" spans="6:6" x14ac:dyDescent="0.35">
      <c r="F2843"/>
    </row>
    <row r="2844" spans="6:6" x14ac:dyDescent="0.35">
      <c r="F2844"/>
    </row>
    <row r="2845" spans="6:6" x14ac:dyDescent="0.35">
      <c r="F2845"/>
    </row>
    <row r="2846" spans="6:6" x14ac:dyDescent="0.35">
      <c r="F2846"/>
    </row>
    <row r="2847" spans="6:6" x14ac:dyDescent="0.35">
      <c r="F2847"/>
    </row>
    <row r="2848" spans="6:6" x14ac:dyDescent="0.35">
      <c r="F2848"/>
    </row>
    <row r="2849" spans="6:6" x14ac:dyDescent="0.35">
      <c r="F2849"/>
    </row>
    <row r="2850" spans="6:6" x14ac:dyDescent="0.35">
      <c r="F2850"/>
    </row>
    <row r="2851" spans="6:6" x14ac:dyDescent="0.35">
      <c r="F2851"/>
    </row>
    <row r="2852" spans="6:6" x14ac:dyDescent="0.35">
      <c r="F2852"/>
    </row>
    <row r="2853" spans="6:6" x14ac:dyDescent="0.35">
      <c r="F2853"/>
    </row>
    <row r="2854" spans="6:6" x14ac:dyDescent="0.35">
      <c r="F2854"/>
    </row>
    <row r="2855" spans="6:6" x14ac:dyDescent="0.35">
      <c r="F2855"/>
    </row>
    <row r="2856" spans="6:6" x14ac:dyDescent="0.35">
      <c r="F2856"/>
    </row>
    <row r="2857" spans="6:6" x14ac:dyDescent="0.35">
      <c r="F2857"/>
    </row>
    <row r="2858" spans="6:6" x14ac:dyDescent="0.35">
      <c r="F2858"/>
    </row>
    <row r="2859" spans="6:6" x14ac:dyDescent="0.35">
      <c r="F2859"/>
    </row>
    <row r="2860" spans="6:6" x14ac:dyDescent="0.35">
      <c r="F2860"/>
    </row>
    <row r="2861" spans="6:6" x14ac:dyDescent="0.35">
      <c r="F2861"/>
    </row>
    <row r="2862" spans="6:6" x14ac:dyDescent="0.35">
      <c r="F2862"/>
    </row>
    <row r="2863" spans="6:6" x14ac:dyDescent="0.35">
      <c r="F2863"/>
    </row>
    <row r="2864" spans="6:6" x14ac:dyDescent="0.35">
      <c r="F2864"/>
    </row>
    <row r="2865" spans="6:6" x14ac:dyDescent="0.35">
      <c r="F2865"/>
    </row>
    <row r="2866" spans="6:6" x14ac:dyDescent="0.35">
      <c r="F2866"/>
    </row>
    <row r="2867" spans="6:6" x14ac:dyDescent="0.35">
      <c r="F2867"/>
    </row>
    <row r="2868" spans="6:6" x14ac:dyDescent="0.35">
      <c r="F2868"/>
    </row>
    <row r="2869" spans="6:6" x14ac:dyDescent="0.35">
      <c r="F2869"/>
    </row>
    <row r="2870" spans="6:6" x14ac:dyDescent="0.35">
      <c r="F2870"/>
    </row>
    <row r="2871" spans="6:6" x14ac:dyDescent="0.35">
      <c r="F2871"/>
    </row>
    <row r="2872" spans="6:6" x14ac:dyDescent="0.35">
      <c r="F2872"/>
    </row>
    <row r="2873" spans="6:6" x14ac:dyDescent="0.35">
      <c r="F2873"/>
    </row>
    <row r="2874" spans="6:6" x14ac:dyDescent="0.35">
      <c r="F2874"/>
    </row>
    <row r="2875" spans="6:6" x14ac:dyDescent="0.35">
      <c r="F2875"/>
    </row>
    <row r="2876" spans="6:6" x14ac:dyDescent="0.35">
      <c r="F2876"/>
    </row>
    <row r="2877" spans="6:6" x14ac:dyDescent="0.35">
      <c r="F2877"/>
    </row>
    <row r="2878" spans="6:6" x14ac:dyDescent="0.35">
      <c r="F2878"/>
    </row>
    <row r="2879" spans="6:6" x14ac:dyDescent="0.35">
      <c r="F2879"/>
    </row>
    <row r="2880" spans="6:6" x14ac:dyDescent="0.35">
      <c r="F2880"/>
    </row>
    <row r="2881" spans="6:6" x14ac:dyDescent="0.35">
      <c r="F2881"/>
    </row>
    <row r="2882" spans="6:6" x14ac:dyDescent="0.35">
      <c r="F2882"/>
    </row>
    <row r="2883" spans="6:6" x14ac:dyDescent="0.35">
      <c r="F2883"/>
    </row>
    <row r="2884" spans="6:6" x14ac:dyDescent="0.35">
      <c r="F2884"/>
    </row>
    <row r="2885" spans="6:6" x14ac:dyDescent="0.35">
      <c r="F2885"/>
    </row>
    <row r="2886" spans="6:6" x14ac:dyDescent="0.35">
      <c r="F2886"/>
    </row>
    <row r="2887" spans="6:6" x14ac:dyDescent="0.35">
      <c r="F2887"/>
    </row>
    <row r="2888" spans="6:6" x14ac:dyDescent="0.35">
      <c r="F2888"/>
    </row>
    <row r="2889" spans="6:6" x14ac:dyDescent="0.35">
      <c r="F2889"/>
    </row>
    <row r="2890" spans="6:6" x14ac:dyDescent="0.35">
      <c r="F2890"/>
    </row>
    <row r="2891" spans="6:6" x14ac:dyDescent="0.35">
      <c r="F2891"/>
    </row>
    <row r="2892" spans="6:6" x14ac:dyDescent="0.35">
      <c r="F2892"/>
    </row>
    <row r="2893" spans="6:6" x14ac:dyDescent="0.35">
      <c r="F2893"/>
    </row>
    <row r="2894" spans="6:6" x14ac:dyDescent="0.35">
      <c r="F2894"/>
    </row>
    <row r="2895" spans="6:6" x14ac:dyDescent="0.35">
      <c r="F2895"/>
    </row>
    <row r="2896" spans="6:6" x14ac:dyDescent="0.35">
      <c r="F2896"/>
    </row>
    <row r="2897" spans="6:6" x14ac:dyDescent="0.35">
      <c r="F2897"/>
    </row>
    <row r="2898" spans="6:6" x14ac:dyDescent="0.35">
      <c r="F2898"/>
    </row>
    <row r="2899" spans="6:6" x14ac:dyDescent="0.35">
      <c r="F2899"/>
    </row>
    <row r="2900" spans="6:6" x14ac:dyDescent="0.35">
      <c r="F2900"/>
    </row>
    <row r="2901" spans="6:6" x14ac:dyDescent="0.35">
      <c r="F2901"/>
    </row>
    <row r="2902" spans="6:6" x14ac:dyDescent="0.35">
      <c r="F2902"/>
    </row>
    <row r="2903" spans="6:6" x14ac:dyDescent="0.35">
      <c r="F2903"/>
    </row>
    <row r="2904" spans="6:6" x14ac:dyDescent="0.35">
      <c r="F2904"/>
    </row>
    <row r="2905" spans="6:6" x14ac:dyDescent="0.35">
      <c r="F2905"/>
    </row>
    <row r="2906" spans="6:6" x14ac:dyDescent="0.35">
      <c r="F2906"/>
    </row>
    <row r="2907" spans="6:6" x14ac:dyDescent="0.35">
      <c r="F2907"/>
    </row>
    <row r="2908" spans="6:6" x14ac:dyDescent="0.35">
      <c r="F2908"/>
    </row>
    <row r="2909" spans="6:6" x14ac:dyDescent="0.35">
      <c r="F2909"/>
    </row>
    <row r="2910" spans="6:6" x14ac:dyDescent="0.35">
      <c r="F2910"/>
    </row>
    <row r="2911" spans="6:6" x14ac:dyDescent="0.35">
      <c r="F2911"/>
    </row>
    <row r="2912" spans="6:6" x14ac:dyDescent="0.35">
      <c r="F2912"/>
    </row>
    <row r="2913" spans="6:6" x14ac:dyDescent="0.35">
      <c r="F2913"/>
    </row>
    <row r="2914" spans="6:6" x14ac:dyDescent="0.35">
      <c r="F2914"/>
    </row>
    <row r="2915" spans="6:6" x14ac:dyDescent="0.35">
      <c r="F2915"/>
    </row>
    <row r="2916" spans="6:6" x14ac:dyDescent="0.35">
      <c r="F2916"/>
    </row>
    <row r="2917" spans="6:6" x14ac:dyDescent="0.35">
      <c r="F2917"/>
    </row>
    <row r="2918" spans="6:6" x14ac:dyDescent="0.35">
      <c r="F2918"/>
    </row>
    <row r="2919" spans="6:6" x14ac:dyDescent="0.35">
      <c r="F2919"/>
    </row>
    <row r="2920" spans="6:6" x14ac:dyDescent="0.35">
      <c r="F2920"/>
    </row>
    <row r="2921" spans="6:6" x14ac:dyDescent="0.35">
      <c r="F2921"/>
    </row>
    <row r="2922" spans="6:6" x14ac:dyDescent="0.35">
      <c r="F2922"/>
    </row>
    <row r="2923" spans="6:6" x14ac:dyDescent="0.35">
      <c r="F2923"/>
    </row>
    <row r="2924" spans="6:6" x14ac:dyDescent="0.35">
      <c r="F2924"/>
    </row>
    <row r="2925" spans="6:6" x14ac:dyDescent="0.35">
      <c r="F2925"/>
    </row>
    <row r="2926" spans="6:6" x14ac:dyDescent="0.35">
      <c r="F2926"/>
    </row>
    <row r="2927" spans="6:6" x14ac:dyDescent="0.35">
      <c r="F2927"/>
    </row>
    <row r="2928" spans="6:6" x14ac:dyDescent="0.35">
      <c r="F2928"/>
    </row>
    <row r="2929" spans="6:6" x14ac:dyDescent="0.35">
      <c r="F2929"/>
    </row>
    <row r="2930" spans="6:6" x14ac:dyDescent="0.35">
      <c r="F2930"/>
    </row>
    <row r="2931" spans="6:6" x14ac:dyDescent="0.35">
      <c r="F2931"/>
    </row>
    <row r="2932" spans="6:6" x14ac:dyDescent="0.35">
      <c r="F2932"/>
    </row>
    <row r="2933" spans="6:6" x14ac:dyDescent="0.35">
      <c r="F2933"/>
    </row>
    <row r="2934" spans="6:6" x14ac:dyDescent="0.35">
      <c r="F2934"/>
    </row>
    <row r="2935" spans="6:6" x14ac:dyDescent="0.35">
      <c r="F2935"/>
    </row>
    <row r="2936" spans="6:6" x14ac:dyDescent="0.35">
      <c r="F2936"/>
    </row>
    <row r="2937" spans="6:6" x14ac:dyDescent="0.35">
      <c r="F2937"/>
    </row>
    <row r="2938" spans="6:6" x14ac:dyDescent="0.35">
      <c r="F2938"/>
    </row>
    <row r="2939" spans="6:6" x14ac:dyDescent="0.35">
      <c r="F2939"/>
    </row>
    <row r="2940" spans="6:6" x14ac:dyDescent="0.35">
      <c r="F2940"/>
    </row>
    <row r="2941" spans="6:6" x14ac:dyDescent="0.35">
      <c r="F2941"/>
    </row>
    <row r="2942" spans="6:6" x14ac:dyDescent="0.35">
      <c r="F2942"/>
    </row>
    <row r="2943" spans="6:6" x14ac:dyDescent="0.35">
      <c r="F2943"/>
    </row>
    <row r="2944" spans="6:6" x14ac:dyDescent="0.35">
      <c r="F2944"/>
    </row>
    <row r="2945" spans="6:6" x14ac:dyDescent="0.35">
      <c r="F2945"/>
    </row>
    <row r="2946" spans="6:6" x14ac:dyDescent="0.35">
      <c r="F2946"/>
    </row>
    <row r="2947" spans="6:6" x14ac:dyDescent="0.35">
      <c r="F2947"/>
    </row>
    <row r="2948" spans="6:6" x14ac:dyDescent="0.35">
      <c r="F2948"/>
    </row>
    <row r="2949" spans="6:6" x14ac:dyDescent="0.35">
      <c r="F2949"/>
    </row>
    <row r="2950" spans="6:6" x14ac:dyDescent="0.35">
      <c r="F2950"/>
    </row>
    <row r="2951" spans="6:6" x14ac:dyDescent="0.35">
      <c r="F2951"/>
    </row>
    <row r="2952" spans="6:6" x14ac:dyDescent="0.35">
      <c r="F2952"/>
    </row>
    <row r="2953" spans="6:6" x14ac:dyDescent="0.35">
      <c r="F2953"/>
    </row>
    <row r="2954" spans="6:6" x14ac:dyDescent="0.35">
      <c r="F2954"/>
    </row>
    <row r="2955" spans="6:6" x14ac:dyDescent="0.35">
      <c r="F2955"/>
    </row>
    <row r="2956" spans="6:6" x14ac:dyDescent="0.35">
      <c r="F2956"/>
    </row>
    <row r="2957" spans="6:6" x14ac:dyDescent="0.35">
      <c r="F2957"/>
    </row>
    <row r="2958" spans="6:6" x14ac:dyDescent="0.35">
      <c r="F2958"/>
    </row>
    <row r="2959" spans="6:6" x14ac:dyDescent="0.35">
      <c r="F2959"/>
    </row>
    <row r="2960" spans="6:6" x14ac:dyDescent="0.35">
      <c r="F2960"/>
    </row>
    <row r="2961" spans="6:6" x14ac:dyDescent="0.35">
      <c r="F2961"/>
    </row>
    <row r="2962" spans="6:6" x14ac:dyDescent="0.35">
      <c r="F2962"/>
    </row>
    <row r="2963" spans="6:6" x14ac:dyDescent="0.35">
      <c r="F2963"/>
    </row>
    <row r="2964" spans="6:6" x14ac:dyDescent="0.35">
      <c r="F2964"/>
    </row>
    <row r="2965" spans="6:6" x14ac:dyDescent="0.35">
      <c r="F2965"/>
    </row>
    <row r="2966" spans="6:6" x14ac:dyDescent="0.35">
      <c r="F2966"/>
    </row>
    <row r="2967" spans="6:6" x14ac:dyDescent="0.35">
      <c r="F2967"/>
    </row>
    <row r="2968" spans="6:6" x14ac:dyDescent="0.35">
      <c r="F2968"/>
    </row>
    <row r="2969" spans="6:6" x14ac:dyDescent="0.35">
      <c r="F2969"/>
    </row>
    <row r="2970" spans="6:6" x14ac:dyDescent="0.35">
      <c r="F2970"/>
    </row>
    <row r="2971" spans="6:6" x14ac:dyDescent="0.35">
      <c r="F2971"/>
    </row>
    <row r="2972" spans="6:6" x14ac:dyDescent="0.35">
      <c r="F2972"/>
    </row>
    <row r="2973" spans="6:6" x14ac:dyDescent="0.35">
      <c r="F2973"/>
    </row>
    <row r="2974" spans="6:6" x14ac:dyDescent="0.35">
      <c r="F2974"/>
    </row>
    <row r="2975" spans="6:6" x14ac:dyDescent="0.35">
      <c r="F2975"/>
    </row>
    <row r="2976" spans="6:6" x14ac:dyDescent="0.35">
      <c r="F2976"/>
    </row>
    <row r="2977" spans="6:6" x14ac:dyDescent="0.35">
      <c r="F2977"/>
    </row>
    <row r="2978" spans="6:6" x14ac:dyDescent="0.35">
      <c r="F2978"/>
    </row>
    <row r="2979" spans="6:6" x14ac:dyDescent="0.35">
      <c r="F2979"/>
    </row>
    <row r="2980" spans="6:6" x14ac:dyDescent="0.35">
      <c r="F2980"/>
    </row>
    <row r="2981" spans="6:6" x14ac:dyDescent="0.35">
      <c r="F2981"/>
    </row>
    <row r="2982" spans="6:6" x14ac:dyDescent="0.35">
      <c r="F2982"/>
    </row>
    <row r="2983" spans="6:6" x14ac:dyDescent="0.35">
      <c r="F2983"/>
    </row>
    <row r="2984" spans="6:6" x14ac:dyDescent="0.35">
      <c r="F2984"/>
    </row>
    <row r="2985" spans="6:6" x14ac:dyDescent="0.35">
      <c r="F2985"/>
    </row>
    <row r="2986" spans="6:6" x14ac:dyDescent="0.35">
      <c r="F2986"/>
    </row>
    <row r="2987" spans="6:6" x14ac:dyDescent="0.35">
      <c r="F2987"/>
    </row>
    <row r="2988" spans="6:6" x14ac:dyDescent="0.35">
      <c r="F2988"/>
    </row>
    <row r="2989" spans="6:6" x14ac:dyDescent="0.35">
      <c r="F2989"/>
    </row>
    <row r="2990" spans="6:6" x14ac:dyDescent="0.35">
      <c r="F2990"/>
    </row>
    <row r="2991" spans="6:6" x14ac:dyDescent="0.35">
      <c r="F2991"/>
    </row>
    <row r="2992" spans="6:6" x14ac:dyDescent="0.35">
      <c r="F2992"/>
    </row>
    <row r="2993" spans="6:6" x14ac:dyDescent="0.35">
      <c r="F2993"/>
    </row>
    <row r="2994" spans="6:6" x14ac:dyDescent="0.35">
      <c r="F2994"/>
    </row>
    <row r="2995" spans="6:6" x14ac:dyDescent="0.35">
      <c r="F2995"/>
    </row>
    <row r="2996" spans="6:6" x14ac:dyDescent="0.35">
      <c r="F2996"/>
    </row>
    <row r="2997" spans="6:6" x14ac:dyDescent="0.35">
      <c r="F2997"/>
    </row>
    <row r="2998" spans="6:6" x14ac:dyDescent="0.35">
      <c r="F2998"/>
    </row>
    <row r="2999" spans="6:6" x14ac:dyDescent="0.35">
      <c r="F2999"/>
    </row>
    <row r="3000" spans="6:6" x14ac:dyDescent="0.35">
      <c r="F3000"/>
    </row>
    <row r="3001" spans="6:6" x14ac:dyDescent="0.35">
      <c r="F3001"/>
    </row>
    <row r="3002" spans="6:6" x14ac:dyDescent="0.35">
      <c r="F3002"/>
    </row>
    <row r="3003" spans="6:6" x14ac:dyDescent="0.35">
      <c r="F3003"/>
    </row>
    <row r="3004" spans="6:6" x14ac:dyDescent="0.35">
      <c r="F3004"/>
    </row>
    <row r="3005" spans="6:6" x14ac:dyDescent="0.35">
      <c r="F3005"/>
    </row>
    <row r="3006" spans="6:6" x14ac:dyDescent="0.35">
      <c r="F3006"/>
    </row>
    <row r="3007" spans="6:6" x14ac:dyDescent="0.35">
      <c r="F3007"/>
    </row>
    <row r="3008" spans="6:6" x14ac:dyDescent="0.35">
      <c r="F3008"/>
    </row>
    <row r="3009" spans="6:6" x14ac:dyDescent="0.35">
      <c r="F3009"/>
    </row>
    <row r="3010" spans="6:6" x14ac:dyDescent="0.35">
      <c r="F3010"/>
    </row>
    <row r="3011" spans="6:6" x14ac:dyDescent="0.35">
      <c r="F3011"/>
    </row>
    <row r="3012" spans="6:6" x14ac:dyDescent="0.35">
      <c r="F3012"/>
    </row>
    <row r="3013" spans="6:6" x14ac:dyDescent="0.35">
      <c r="F3013"/>
    </row>
    <row r="3014" spans="6:6" x14ac:dyDescent="0.35">
      <c r="F3014"/>
    </row>
    <row r="3015" spans="6:6" x14ac:dyDescent="0.35">
      <c r="F3015"/>
    </row>
    <row r="3016" spans="6:6" x14ac:dyDescent="0.35">
      <c r="F3016"/>
    </row>
    <row r="3017" spans="6:6" x14ac:dyDescent="0.35">
      <c r="F3017"/>
    </row>
    <row r="3018" spans="6:6" x14ac:dyDescent="0.35">
      <c r="F3018"/>
    </row>
    <row r="3019" spans="6:6" x14ac:dyDescent="0.35">
      <c r="F3019"/>
    </row>
    <row r="3020" spans="6:6" x14ac:dyDescent="0.35">
      <c r="F3020"/>
    </row>
    <row r="3021" spans="6:6" x14ac:dyDescent="0.35">
      <c r="F3021"/>
    </row>
    <row r="3022" spans="6:6" x14ac:dyDescent="0.35">
      <c r="F3022"/>
    </row>
    <row r="3023" spans="6:6" x14ac:dyDescent="0.35">
      <c r="F3023"/>
    </row>
    <row r="3024" spans="6:6" x14ac:dyDescent="0.35">
      <c r="F3024"/>
    </row>
    <row r="3025" spans="6:6" x14ac:dyDescent="0.35">
      <c r="F3025"/>
    </row>
    <row r="3026" spans="6:6" x14ac:dyDescent="0.35">
      <c r="F3026"/>
    </row>
    <row r="3027" spans="6:6" x14ac:dyDescent="0.35">
      <c r="F3027"/>
    </row>
    <row r="3028" spans="6:6" x14ac:dyDescent="0.35">
      <c r="F3028"/>
    </row>
    <row r="3029" spans="6:6" x14ac:dyDescent="0.35">
      <c r="F3029"/>
    </row>
    <row r="3030" spans="6:6" x14ac:dyDescent="0.35">
      <c r="F3030"/>
    </row>
    <row r="3031" spans="6:6" x14ac:dyDescent="0.35">
      <c r="F3031"/>
    </row>
    <row r="3032" spans="6:6" x14ac:dyDescent="0.35">
      <c r="F3032"/>
    </row>
    <row r="3033" spans="6:6" x14ac:dyDescent="0.35">
      <c r="F3033"/>
    </row>
    <row r="3034" spans="6:6" x14ac:dyDescent="0.35">
      <c r="F3034"/>
    </row>
    <row r="3035" spans="6:6" x14ac:dyDescent="0.35">
      <c r="F3035"/>
    </row>
    <row r="3036" spans="6:6" x14ac:dyDescent="0.35">
      <c r="F3036"/>
    </row>
    <row r="3037" spans="6:6" x14ac:dyDescent="0.35">
      <c r="F3037"/>
    </row>
    <row r="3038" spans="6:6" x14ac:dyDescent="0.35">
      <c r="F3038"/>
    </row>
    <row r="3039" spans="6:6" x14ac:dyDescent="0.35">
      <c r="F3039"/>
    </row>
    <row r="3040" spans="6:6" x14ac:dyDescent="0.35">
      <c r="F3040"/>
    </row>
    <row r="3041" spans="6:6" x14ac:dyDescent="0.35">
      <c r="F3041"/>
    </row>
    <row r="3042" spans="6:6" x14ac:dyDescent="0.35">
      <c r="F3042"/>
    </row>
    <row r="3043" spans="6:6" x14ac:dyDescent="0.35">
      <c r="F3043"/>
    </row>
    <row r="3044" spans="6:6" x14ac:dyDescent="0.35">
      <c r="F3044"/>
    </row>
    <row r="3045" spans="6:6" x14ac:dyDescent="0.35">
      <c r="F3045"/>
    </row>
    <row r="3046" spans="6:6" x14ac:dyDescent="0.35">
      <c r="F3046"/>
    </row>
    <row r="3047" spans="6:6" x14ac:dyDescent="0.35">
      <c r="F3047"/>
    </row>
    <row r="3048" spans="6:6" x14ac:dyDescent="0.35">
      <c r="F3048"/>
    </row>
    <row r="3049" spans="6:6" x14ac:dyDescent="0.35">
      <c r="F3049"/>
    </row>
    <row r="3050" spans="6:6" x14ac:dyDescent="0.35">
      <c r="F3050"/>
    </row>
    <row r="3051" spans="6:6" x14ac:dyDescent="0.35">
      <c r="F3051"/>
    </row>
    <row r="3052" spans="6:6" x14ac:dyDescent="0.35">
      <c r="F3052"/>
    </row>
    <row r="3053" spans="6:6" x14ac:dyDescent="0.35">
      <c r="F3053"/>
    </row>
    <row r="3054" spans="6:6" x14ac:dyDescent="0.35">
      <c r="F3054"/>
    </row>
    <row r="3055" spans="6:6" x14ac:dyDescent="0.35">
      <c r="F3055"/>
    </row>
    <row r="3056" spans="6:6" x14ac:dyDescent="0.35">
      <c r="F3056"/>
    </row>
    <row r="3057" spans="6:6" x14ac:dyDescent="0.35">
      <c r="F3057"/>
    </row>
    <row r="3058" spans="6:6" x14ac:dyDescent="0.35">
      <c r="F3058"/>
    </row>
    <row r="3059" spans="6:6" x14ac:dyDescent="0.35">
      <c r="F3059"/>
    </row>
    <row r="3060" spans="6:6" x14ac:dyDescent="0.35">
      <c r="F3060"/>
    </row>
    <row r="3061" spans="6:6" x14ac:dyDescent="0.35">
      <c r="F3061"/>
    </row>
    <row r="3062" spans="6:6" x14ac:dyDescent="0.35">
      <c r="F3062"/>
    </row>
    <row r="3063" spans="6:6" x14ac:dyDescent="0.35">
      <c r="F3063"/>
    </row>
    <row r="3064" spans="6:6" x14ac:dyDescent="0.35">
      <c r="F3064"/>
    </row>
    <row r="3065" spans="6:6" x14ac:dyDescent="0.35">
      <c r="F3065"/>
    </row>
    <row r="3066" spans="6:6" x14ac:dyDescent="0.35">
      <c r="F3066"/>
    </row>
    <row r="3067" spans="6:6" x14ac:dyDescent="0.35">
      <c r="F3067"/>
    </row>
    <row r="3068" spans="6:6" x14ac:dyDescent="0.35">
      <c r="F3068"/>
    </row>
    <row r="3069" spans="6:6" x14ac:dyDescent="0.35">
      <c r="F3069"/>
    </row>
    <row r="3070" spans="6:6" x14ac:dyDescent="0.35">
      <c r="F3070"/>
    </row>
    <row r="3071" spans="6:6" x14ac:dyDescent="0.35">
      <c r="F3071"/>
    </row>
    <row r="3072" spans="6:6" x14ac:dyDescent="0.35">
      <c r="F3072"/>
    </row>
    <row r="3073" spans="6:6" x14ac:dyDescent="0.35">
      <c r="F3073"/>
    </row>
    <row r="3074" spans="6:6" x14ac:dyDescent="0.35">
      <c r="F3074"/>
    </row>
    <row r="3075" spans="6:6" x14ac:dyDescent="0.35">
      <c r="F3075"/>
    </row>
    <row r="3076" spans="6:6" x14ac:dyDescent="0.35">
      <c r="F3076"/>
    </row>
    <row r="3077" spans="6:6" x14ac:dyDescent="0.35">
      <c r="F3077"/>
    </row>
    <row r="3078" spans="6:6" x14ac:dyDescent="0.35">
      <c r="F3078"/>
    </row>
    <row r="3079" spans="6:6" x14ac:dyDescent="0.35">
      <c r="F3079"/>
    </row>
    <row r="3080" spans="6:6" x14ac:dyDescent="0.35">
      <c r="F3080"/>
    </row>
    <row r="3081" spans="6:6" x14ac:dyDescent="0.35">
      <c r="F3081"/>
    </row>
    <row r="3082" spans="6:6" x14ac:dyDescent="0.35">
      <c r="F3082"/>
    </row>
    <row r="3083" spans="6:6" x14ac:dyDescent="0.35">
      <c r="F3083"/>
    </row>
    <row r="3084" spans="6:6" x14ac:dyDescent="0.35">
      <c r="F3084"/>
    </row>
    <row r="3085" spans="6:6" x14ac:dyDescent="0.35">
      <c r="F3085"/>
    </row>
    <row r="3086" spans="6:6" x14ac:dyDescent="0.35">
      <c r="F3086"/>
    </row>
    <row r="3087" spans="6:6" x14ac:dyDescent="0.35">
      <c r="F3087"/>
    </row>
    <row r="3088" spans="6:6" x14ac:dyDescent="0.35">
      <c r="F3088"/>
    </row>
    <row r="3089" spans="6:6" x14ac:dyDescent="0.35">
      <c r="F3089"/>
    </row>
    <row r="3090" spans="6:6" x14ac:dyDescent="0.35">
      <c r="F3090"/>
    </row>
    <row r="3091" spans="6:6" x14ac:dyDescent="0.35">
      <c r="F3091"/>
    </row>
    <row r="3092" spans="6:6" x14ac:dyDescent="0.35">
      <c r="F3092"/>
    </row>
    <row r="3093" spans="6:6" x14ac:dyDescent="0.35">
      <c r="F3093"/>
    </row>
    <row r="3094" spans="6:6" x14ac:dyDescent="0.35">
      <c r="F3094"/>
    </row>
    <row r="3095" spans="6:6" x14ac:dyDescent="0.35">
      <c r="F3095"/>
    </row>
    <row r="3096" spans="6:6" x14ac:dyDescent="0.35">
      <c r="F3096"/>
    </row>
    <row r="3097" spans="6:6" x14ac:dyDescent="0.35">
      <c r="F3097"/>
    </row>
    <row r="3098" spans="6:6" x14ac:dyDescent="0.35">
      <c r="F3098"/>
    </row>
    <row r="3099" spans="6:6" x14ac:dyDescent="0.35">
      <c r="F3099"/>
    </row>
    <row r="3100" spans="6:6" x14ac:dyDescent="0.35">
      <c r="F3100"/>
    </row>
    <row r="3101" spans="6:6" x14ac:dyDescent="0.35">
      <c r="F3101"/>
    </row>
    <row r="3102" spans="6:6" x14ac:dyDescent="0.35">
      <c r="F3102"/>
    </row>
    <row r="3103" spans="6:6" x14ac:dyDescent="0.35">
      <c r="F3103"/>
    </row>
    <row r="3104" spans="6:6" x14ac:dyDescent="0.35">
      <c r="F3104"/>
    </row>
    <row r="3105" spans="6:6" x14ac:dyDescent="0.35">
      <c r="F3105"/>
    </row>
    <row r="3106" spans="6:6" x14ac:dyDescent="0.35">
      <c r="F3106"/>
    </row>
    <row r="3107" spans="6:6" x14ac:dyDescent="0.35">
      <c r="F3107"/>
    </row>
    <row r="3108" spans="6:6" x14ac:dyDescent="0.35">
      <c r="F3108"/>
    </row>
    <row r="3109" spans="6:6" x14ac:dyDescent="0.35">
      <c r="F3109"/>
    </row>
    <row r="3110" spans="6:6" x14ac:dyDescent="0.35">
      <c r="F3110"/>
    </row>
    <row r="3111" spans="6:6" x14ac:dyDescent="0.35">
      <c r="F3111"/>
    </row>
    <row r="3112" spans="6:6" x14ac:dyDescent="0.35">
      <c r="F3112"/>
    </row>
    <row r="3113" spans="6:6" x14ac:dyDescent="0.35">
      <c r="F3113"/>
    </row>
    <row r="3114" spans="6:6" x14ac:dyDescent="0.35">
      <c r="F3114"/>
    </row>
    <row r="3115" spans="6:6" x14ac:dyDescent="0.35">
      <c r="F3115"/>
    </row>
    <row r="3116" spans="6:6" x14ac:dyDescent="0.35">
      <c r="F3116"/>
    </row>
    <row r="3117" spans="6:6" x14ac:dyDescent="0.35">
      <c r="F3117"/>
    </row>
    <row r="3118" spans="6:6" x14ac:dyDescent="0.35">
      <c r="F3118"/>
    </row>
    <row r="3119" spans="6:6" x14ac:dyDescent="0.35">
      <c r="F3119"/>
    </row>
    <row r="3120" spans="6:6" x14ac:dyDescent="0.35">
      <c r="F3120"/>
    </row>
    <row r="3121" spans="6:6" x14ac:dyDescent="0.35">
      <c r="F3121"/>
    </row>
    <row r="3122" spans="6:6" x14ac:dyDescent="0.35">
      <c r="F3122"/>
    </row>
    <row r="3123" spans="6:6" x14ac:dyDescent="0.35">
      <c r="F3123"/>
    </row>
    <row r="3124" spans="6:6" x14ac:dyDescent="0.35">
      <c r="F3124"/>
    </row>
    <row r="3125" spans="6:6" x14ac:dyDescent="0.35">
      <c r="F3125"/>
    </row>
    <row r="3126" spans="6:6" x14ac:dyDescent="0.35">
      <c r="F3126"/>
    </row>
    <row r="3127" spans="6:6" x14ac:dyDescent="0.35">
      <c r="F3127"/>
    </row>
    <row r="3128" spans="6:6" x14ac:dyDescent="0.35">
      <c r="F3128"/>
    </row>
    <row r="3129" spans="6:6" x14ac:dyDescent="0.35">
      <c r="F3129"/>
    </row>
    <row r="3130" spans="6:6" x14ac:dyDescent="0.35">
      <c r="F3130"/>
    </row>
    <row r="3131" spans="6:6" x14ac:dyDescent="0.35">
      <c r="F3131"/>
    </row>
    <row r="3132" spans="6:6" x14ac:dyDescent="0.35">
      <c r="F3132"/>
    </row>
    <row r="3133" spans="6:6" x14ac:dyDescent="0.35">
      <c r="F3133"/>
    </row>
    <row r="3134" spans="6:6" x14ac:dyDescent="0.35">
      <c r="F3134"/>
    </row>
    <row r="3135" spans="6:6" x14ac:dyDescent="0.35">
      <c r="F3135"/>
    </row>
    <row r="3136" spans="6:6" x14ac:dyDescent="0.35">
      <c r="F3136"/>
    </row>
    <row r="3137" spans="6:6" x14ac:dyDescent="0.35">
      <c r="F3137"/>
    </row>
    <row r="3138" spans="6:6" x14ac:dyDescent="0.35">
      <c r="F3138"/>
    </row>
    <row r="3139" spans="6:6" x14ac:dyDescent="0.35">
      <c r="F3139"/>
    </row>
    <row r="3140" spans="6:6" x14ac:dyDescent="0.35">
      <c r="F3140"/>
    </row>
    <row r="3141" spans="6:6" x14ac:dyDescent="0.35">
      <c r="F3141"/>
    </row>
    <row r="3142" spans="6:6" x14ac:dyDescent="0.35">
      <c r="F3142"/>
    </row>
    <row r="3143" spans="6:6" x14ac:dyDescent="0.35">
      <c r="F3143"/>
    </row>
    <row r="3144" spans="6:6" x14ac:dyDescent="0.35">
      <c r="F3144"/>
    </row>
    <row r="3145" spans="6:6" x14ac:dyDescent="0.35">
      <c r="F3145"/>
    </row>
    <row r="3146" spans="6:6" x14ac:dyDescent="0.35">
      <c r="F3146"/>
    </row>
    <row r="3147" spans="6:6" x14ac:dyDescent="0.35">
      <c r="F3147"/>
    </row>
    <row r="3148" spans="6:6" x14ac:dyDescent="0.35">
      <c r="F3148"/>
    </row>
    <row r="3149" spans="6:6" x14ac:dyDescent="0.35">
      <c r="F3149"/>
    </row>
    <row r="3150" spans="6:6" x14ac:dyDescent="0.35">
      <c r="F3150"/>
    </row>
    <row r="3151" spans="6:6" x14ac:dyDescent="0.35">
      <c r="F3151"/>
    </row>
    <row r="3152" spans="6:6" x14ac:dyDescent="0.35">
      <c r="F3152"/>
    </row>
    <row r="3153" spans="6:6" x14ac:dyDescent="0.35">
      <c r="F3153"/>
    </row>
    <row r="3154" spans="6:6" x14ac:dyDescent="0.35">
      <c r="F3154"/>
    </row>
    <row r="3155" spans="6:6" x14ac:dyDescent="0.35">
      <c r="F3155"/>
    </row>
    <row r="3156" spans="6:6" x14ac:dyDescent="0.35">
      <c r="F3156"/>
    </row>
    <row r="3157" spans="6:6" x14ac:dyDescent="0.35">
      <c r="F3157"/>
    </row>
    <row r="3158" spans="6:6" x14ac:dyDescent="0.35">
      <c r="F3158"/>
    </row>
    <row r="3159" spans="6:6" x14ac:dyDescent="0.35">
      <c r="F3159"/>
    </row>
    <row r="3160" spans="6:6" x14ac:dyDescent="0.35">
      <c r="F3160"/>
    </row>
    <row r="3161" spans="6:6" x14ac:dyDescent="0.35">
      <c r="F3161"/>
    </row>
    <row r="3162" spans="6:6" x14ac:dyDescent="0.35">
      <c r="F3162"/>
    </row>
    <row r="3163" spans="6:6" x14ac:dyDescent="0.35">
      <c r="F3163"/>
    </row>
    <row r="3164" spans="6:6" x14ac:dyDescent="0.35">
      <c r="F3164"/>
    </row>
    <row r="3165" spans="6:6" x14ac:dyDescent="0.35">
      <c r="F3165"/>
    </row>
    <row r="3166" spans="6:6" x14ac:dyDescent="0.35">
      <c r="F3166"/>
    </row>
    <row r="3167" spans="6:6" x14ac:dyDescent="0.35">
      <c r="F3167"/>
    </row>
    <row r="3168" spans="6:6" x14ac:dyDescent="0.35">
      <c r="F3168"/>
    </row>
    <row r="3169" spans="6:6" x14ac:dyDescent="0.35">
      <c r="F3169"/>
    </row>
    <row r="3170" spans="6:6" x14ac:dyDescent="0.35">
      <c r="F3170"/>
    </row>
    <row r="3171" spans="6:6" x14ac:dyDescent="0.35">
      <c r="F3171"/>
    </row>
    <row r="3172" spans="6:6" x14ac:dyDescent="0.35">
      <c r="F3172"/>
    </row>
    <row r="3173" spans="6:6" x14ac:dyDescent="0.35">
      <c r="F3173"/>
    </row>
    <row r="3174" spans="6:6" x14ac:dyDescent="0.35">
      <c r="F3174"/>
    </row>
    <row r="3175" spans="6:6" x14ac:dyDescent="0.35">
      <c r="F3175"/>
    </row>
    <row r="3176" spans="6:6" x14ac:dyDescent="0.35">
      <c r="F3176"/>
    </row>
    <row r="3177" spans="6:6" x14ac:dyDescent="0.35">
      <c r="F3177"/>
    </row>
    <row r="3178" spans="6:6" x14ac:dyDescent="0.35">
      <c r="F3178"/>
    </row>
    <row r="3179" spans="6:6" x14ac:dyDescent="0.35">
      <c r="F3179"/>
    </row>
    <row r="3180" spans="6:6" x14ac:dyDescent="0.35">
      <c r="F3180"/>
    </row>
    <row r="3181" spans="6:6" x14ac:dyDescent="0.35">
      <c r="F3181"/>
    </row>
    <row r="3182" spans="6:6" x14ac:dyDescent="0.35">
      <c r="F3182"/>
    </row>
    <row r="3183" spans="6:6" x14ac:dyDescent="0.35">
      <c r="F3183"/>
    </row>
    <row r="3184" spans="6:6" x14ac:dyDescent="0.35">
      <c r="F3184"/>
    </row>
    <row r="3185" spans="6:6" x14ac:dyDescent="0.35">
      <c r="F3185"/>
    </row>
    <row r="3186" spans="6:6" x14ac:dyDescent="0.35">
      <c r="F3186"/>
    </row>
    <row r="3187" spans="6:6" x14ac:dyDescent="0.35">
      <c r="F3187"/>
    </row>
    <row r="3188" spans="6:6" x14ac:dyDescent="0.35">
      <c r="F3188"/>
    </row>
    <row r="3189" spans="6:6" x14ac:dyDescent="0.35">
      <c r="F3189"/>
    </row>
    <row r="3190" spans="6:6" x14ac:dyDescent="0.35">
      <c r="F3190"/>
    </row>
    <row r="3191" spans="6:6" x14ac:dyDescent="0.35">
      <c r="F3191"/>
    </row>
    <row r="3192" spans="6:6" x14ac:dyDescent="0.35">
      <c r="F3192"/>
    </row>
    <row r="3193" spans="6:6" x14ac:dyDescent="0.35">
      <c r="F3193"/>
    </row>
    <row r="3194" spans="6:6" x14ac:dyDescent="0.35">
      <c r="F3194"/>
    </row>
    <row r="3195" spans="6:6" x14ac:dyDescent="0.35">
      <c r="F3195"/>
    </row>
    <row r="3196" spans="6:6" x14ac:dyDescent="0.35">
      <c r="F3196"/>
    </row>
    <row r="3197" spans="6:6" x14ac:dyDescent="0.35">
      <c r="F3197"/>
    </row>
    <row r="3198" spans="6:6" x14ac:dyDescent="0.35">
      <c r="F3198"/>
    </row>
    <row r="3199" spans="6:6" x14ac:dyDescent="0.35">
      <c r="F3199"/>
    </row>
    <row r="3200" spans="6:6" x14ac:dyDescent="0.35">
      <c r="F3200"/>
    </row>
    <row r="3201" spans="6:6" x14ac:dyDescent="0.35">
      <c r="F3201"/>
    </row>
    <row r="3202" spans="6:6" x14ac:dyDescent="0.35">
      <c r="F3202"/>
    </row>
    <row r="3203" spans="6:6" x14ac:dyDescent="0.35">
      <c r="F3203"/>
    </row>
    <row r="3204" spans="6:6" x14ac:dyDescent="0.35">
      <c r="F3204"/>
    </row>
    <row r="3205" spans="6:6" x14ac:dyDescent="0.35">
      <c r="F3205"/>
    </row>
    <row r="3206" spans="6:6" x14ac:dyDescent="0.35">
      <c r="F3206"/>
    </row>
    <row r="3207" spans="6:6" x14ac:dyDescent="0.35">
      <c r="F3207"/>
    </row>
    <row r="3208" spans="6:6" x14ac:dyDescent="0.35">
      <c r="F3208"/>
    </row>
    <row r="3209" spans="6:6" x14ac:dyDescent="0.35">
      <c r="F3209"/>
    </row>
    <row r="3210" spans="6:6" x14ac:dyDescent="0.35">
      <c r="F3210"/>
    </row>
    <row r="3211" spans="6:6" x14ac:dyDescent="0.35">
      <c r="F3211"/>
    </row>
    <row r="3212" spans="6:6" x14ac:dyDescent="0.35">
      <c r="F3212"/>
    </row>
    <row r="3213" spans="6:6" x14ac:dyDescent="0.35">
      <c r="F3213"/>
    </row>
    <row r="3214" spans="6:6" x14ac:dyDescent="0.35">
      <c r="F3214"/>
    </row>
    <row r="3215" spans="6:6" x14ac:dyDescent="0.35">
      <c r="F3215"/>
    </row>
    <row r="3216" spans="6:6" x14ac:dyDescent="0.35">
      <c r="F3216"/>
    </row>
    <row r="3217" spans="6:6" x14ac:dyDescent="0.35">
      <c r="F3217"/>
    </row>
    <row r="3218" spans="6:6" x14ac:dyDescent="0.35">
      <c r="F3218"/>
    </row>
    <row r="3219" spans="6:6" x14ac:dyDescent="0.35">
      <c r="F3219"/>
    </row>
    <row r="3220" spans="6:6" x14ac:dyDescent="0.35">
      <c r="F3220"/>
    </row>
    <row r="3221" spans="6:6" x14ac:dyDescent="0.35">
      <c r="F3221"/>
    </row>
    <row r="3222" spans="6:6" x14ac:dyDescent="0.35">
      <c r="F3222"/>
    </row>
    <row r="3223" spans="6:6" x14ac:dyDescent="0.35">
      <c r="F3223"/>
    </row>
    <row r="3224" spans="6:6" x14ac:dyDescent="0.35">
      <c r="F3224"/>
    </row>
    <row r="3225" spans="6:6" x14ac:dyDescent="0.35">
      <c r="F3225"/>
    </row>
    <row r="3226" spans="6:6" x14ac:dyDescent="0.35">
      <c r="F3226"/>
    </row>
    <row r="3227" spans="6:6" x14ac:dyDescent="0.35">
      <c r="F3227"/>
    </row>
    <row r="3228" spans="6:6" x14ac:dyDescent="0.35">
      <c r="F3228"/>
    </row>
    <row r="3229" spans="6:6" x14ac:dyDescent="0.35">
      <c r="F3229"/>
    </row>
    <row r="3230" spans="6:6" x14ac:dyDescent="0.35">
      <c r="F3230"/>
    </row>
    <row r="3231" spans="6:6" x14ac:dyDescent="0.35">
      <c r="F3231"/>
    </row>
    <row r="3232" spans="6:6" x14ac:dyDescent="0.35">
      <c r="F3232"/>
    </row>
    <row r="3233" spans="6:6" x14ac:dyDescent="0.35">
      <c r="F3233"/>
    </row>
    <row r="3234" spans="6:6" x14ac:dyDescent="0.35">
      <c r="F3234"/>
    </row>
    <row r="3235" spans="6:6" x14ac:dyDescent="0.35">
      <c r="F3235"/>
    </row>
    <row r="3236" spans="6:6" x14ac:dyDescent="0.35">
      <c r="F3236"/>
    </row>
    <row r="3237" spans="6:6" x14ac:dyDescent="0.35">
      <c r="F3237"/>
    </row>
    <row r="3238" spans="6:6" x14ac:dyDescent="0.35">
      <c r="F3238"/>
    </row>
    <row r="3239" spans="6:6" x14ac:dyDescent="0.35">
      <c r="F3239"/>
    </row>
    <row r="3240" spans="6:6" x14ac:dyDescent="0.35">
      <c r="F3240"/>
    </row>
    <row r="3241" spans="6:6" x14ac:dyDescent="0.35">
      <c r="F3241"/>
    </row>
    <row r="3242" spans="6:6" x14ac:dyDescent="0.35">
      <c r="F3242"/>
    </row>
    <row r="3243" spans="6:6" x14ac:dyDescent="0.35">
      <c r="F3243"/>
    </row>
    <row r="3244" spans="6:6" x14ac:dyDescent="0.35">
      <c r="F3244"/>
    </row>
    <row r="3245" spans="6:6" x14ac:dyDescent="0.35">
      <c r="F3245"/>
    </row>
    <row r="3246" spans="6:6" x14ac:dyDescent="0.35">
      <c r="F3246"/>
    </row>
    <row r="3247" spans="6:6" x14ac:dyDescent="0.35">
      <c r="F3247"/>
    </row>
    <row r="3248" spans="6:6" x14ac:dyDescent="0.35">
      <c r="F3248"/>
    </row>
    <row r="3249" spans="6:6" x14ac:dyDescent="0.35">
      <c r="F3249"/>
    </row>
    <row r="3250" spans="6:6" x14ac:dyDescent="0.35">
      <c r="F3250"/>
    </row>
    <row r="3251" spans="6:6" x14ac:dyDescent="0.35">
      <c r="F3251"/>
    </row>
    <row r="3252" spans="6:6" x14ac:dyDescent="0.35">
      <c r="F3252"/>
    </row>
    <row r="3253" spans="6:6" x14ac:dyDescent="0.35">
      <c r="F3253"/>
    </row>
    <row r="3254" spans="6:6" x14ac:dyDescent="0.35">
      <c r="F3254"/>
    </row>
    <row r="3255" spans="6:6" x14ac:dyDescent="0.35">
      <c r="F3255"/>
    </row>
    <row r="3256" spans="6:6" x14ac:dyDescent="0.35">
      <c r="F3256"/>
    </row>
    <row r="3257" spans="6:6" x14ac:dyDescent="0.35">
      <c r="F3257"/>
    </row>
    <row r="3258" spans="6:6" x14ac:dyDescent="0.35">
      <c r="F3258"/>
    </row>
    <row r="3259" spans="6:6" x14ac:dyDescent="0.35">
      <c r="F3259"/>
    </row>
    <row r="3260" spans="6:6" x14ac:dyDescent="0.35">
      <c r="F3260"/>
    </row>
    <row r="3261" spans="6:6" x14ac:dyDescent="0.35">
      <c r="F3261"/>
    </row>
    <row r="3262" spans="6:6" x14ac:dyDescent="0.35">
      <c r="F3262"/>
    </row>
    <row r="3263" spans="6:6" x14ac:dyDescent="0.35">
      <c r="F3263"/>
    </row>
    <row r="3264" spans="6:6" x14ac:dyDescent="0.35">
      <c r="F3264"/>
    </row>
    <row r="3265" spans="6:6" x14ac:dyDescent="0.35">
      <c r="F3265"/>
    </row>
    <row r="3266" spans="6:6" x14ac:dyDescent="0.35">
      <c r="F3266"/>
    </row>
    <row r="3267" spans="6:6" x14ac:dyDescent="0.35">
      <c r="F3267"/>
    </row>
    <row r="3268" spans="6:6" x14ac:dyDescent="0.35">
      <c r="F3268"/>
    </row>
    <row r="3269" spans="6:6" x14ac:dyDescent="0.35">
      <c r="F3269"/>
    </row>
    <row r="3270" spans="6:6" x14ac:dyDescent="0.35">
      <c r="F3270"/>
    </row>
    <row r="3271" spans="6:6" x14ac:dyDescent="0.35">
      <c r="F3271"/>
    </row>
    <row r="3272" spans="6:6" x14ac:dyDescent="0.35">
      <c r="F3272"/>
    </row>
    <row r="3273" spans="6:6" x14ac:dyDescent="0.35">
      <c r="F3273"/>
    </row>
    <row r="3274" spans="6:6" x14ac:dyDescent="0.35">
      <c r="F3274"/>
    </row>
    <row r="3275" spans="6:6" x14ac:dyDescent="0.35">
      <c r="F3275"/>
    </row>
    <row r="3276" spans="6:6" x14ac:dyDescent="0.35">
      <c r="F3276"/>
    </row>
    <row r="3277" spans="6:6" x14ac:dyDescent="0.35">
      <c r="F3277"/>
    </row>
    <row r="3278" spans="6:6" x14ac:dyDescent="0.35">
      <c r="F3278"/>
    </row>
    <row r="3279" spans="6:6" x14ac:dyDescent="0.35">
      <c r="F3279"/>
    </row>
    <row r="3280" spans="6:6" x14ac:dyDescent="0.35">
      <c r="F3280"/>
    </row>
    <row r="3281" spans="6:6" x14ac:dyDescent="0.35">
      <c r="F3281"/>
    </row>
    <row r="3282" spans="6:6" x14ac:dyDescent="0.35">
      <c r="F3282"/>
    </row>
    <row r="3283" spans="6:6" x14ac:dyDescent="0.35">
      <c r="F3283"/>
    </row>
    <row r="3284" spans="6:6" x14ac:dyDescent="0.35">
      <c r="F3284"/>
    </row>
    <row r="3285" spans="6:6" x14ac:dyDescent="0.35">
      <c r="F3285"/>
    </row>
    <row r="3286" spans="6:6" x14ac:dyDescent="0.35">
      <c r="F3286"/>
    </row>
    <row r="3287" spans="6:6" x14ac:dyDescent="0.35">
      <c r="F3287"/>
    </row>
    <row r="3288" spans="6:6" x14ac:dyDescent="0.35">
      <c r="F3288"/>
    </row>
    <row r="3289" spans="6:6" x14ac:dyDescent="0.35">
      <c r="F3289"/>
    </row>
    <row r="3290" spans="6:6" x14ac:dyDescent="0.35">
      <c r="F3290"/>
    </row>
    <row r="3291" spans="6:6" x14ac:dyDescent="0.35">
      <c r="F3291"/>
    </row>
    <row r="3292" spans="6:6" x14ac:dyDescent="0.35">
      <c r="F3292"/>
    </row>
    <row r="3293" spans="6:6" x14ac:dyDescent="0.35">
      <c r="F3293"/>
    </row>
    <row r="3294" spans="6:6" x14ac:dyDescent="0.35">
      <c r="F3294"/>
    </row>
    <row r="3295" spans="6:6" x14ac:dyDescent="0.35">
      <c r="F3295"/>
    </row>
    <row r="3296" spans="6:6" x14ac:dyDescent="0.35">
      <c r="F3296"/>
    </row>
    <row r="3297" spans="6:6" x14ac:dyDescent="0.35">
      <c r="F3297"/>
    </row>
    <row r="3298" spans="6:6" x14ac:dyDescent="0.35">
      <c r="F3298"/>
    </row>
    <row r="3299" spans="6:6" x14ac:dyDescent="0.35">
      <c r="F3299"/>
    </row>
    <row r="3300" spans="6:6" x14ac:dyDescent="0.35">
      <c r="F3300"/>
    </row>
    <row r="3301" spans="6:6" x14ac:dyDescent="0.35">
      <c r="F3301"/>
    </row>
    <row r="3302" spans="6:6" x14ac:dyDescent="0.35">
      <c r="F3302"/>
    </row>
    <row r="3303" spans="6:6" x14ac:dyDescent="0.35">
      <c r="F3303"/>
    </row>
    <row r="3304" spans="6:6" x14ac:dyDescent="0.35">
      <c r="F3304"/>
    </row>
    <row r="3305" spans="6:6" x14ac:dyDescent="0.35">
      <c r="F3305"/>
    </row>
    <row r="3306" spans="6:6" x14ac:dyDescent="0.35">
      <c r="F3306"/>
    </row>
    <row r="3307" spans="6:6" x14ac:dyDescent="0.35">
      <c r="F3307"/>
    </row>
    <row r="3308" spans="6:6" x14ac:dyDescent="0.35">
      <c r="F3308"/>
    </row>
    <row r="3309" spans="6:6" x14ac:dyDescent="0.35">
      <c r="F3309"/>
    </row>
    <row r="3310" spans="6:6" x14ac:dyDescent="0.35">
      <c r="F3310"/>
    </row>
    <row r="3311" spans="6:6" x14ac:dyDescent="0.35">
      <c r="F3311"/>
    </row>
    <row r="3312" spans="6:6" x14ac:dyDescent="0.35">
      <c r="F3312"/>
    </row>
    <row r="3313" spans="6:6" x14ac:dyDescent="0.35">
      <c r="F3313"/>
    </row>
    <row r="3314" spans="6:6" x14ac:dyDescent="0.35">
      <c r="F3314"/>
    </row>
    <row r="3315" spans="6:6" x14ac:dyDescent="0.35">
      <c r="F3315"/>
    </row>
    <row r="3316" spans="6:6" x14ac:dyDescent="0.35">
      <c r="F3316"/>
    </row>
    <row r="3317" spans="6:6" x14ac:dyDescent="0.35">
      <c r="F3317"/>
    </row>
    <row r="3318" spans="6:6" x14ac:dyDescent="0.35">
      <c r="F3318"/>
    </row>
    <row r="3319" spans="6:6" x14ac:dyDescent="0.35">
      <c r="F3319"/>
    </row>
    <row r="3320" spans="6:6" x14ac:dyDescent="0.35">
      <c r="F3320"/>
    </row>
    <row r="3321" spans="6:6" x14ac:dyDescent="0.35">
      <c r="F3321"/>
    </row>
    <row r="3322" spans="6:6" x14ac:dyDescent="0.35">
      <c r="F3322"/>
    </row>
    <row r="3323" spans="6:6" x14ac:dyDescent="0.35">
      <c r="F3323"/>
    </row>
    <row r="3324" spans="6:6" x14ac:dyDescent="0.35">
      <c r="F3324"/>
    </row>
    <row r="3325" spans="6:6" x14ac:dyDescent="0.35">
      <c r="F3325"/>
    </row>
    <row r="3326" spans="6:6" x14ac:dyDescent="0.35">
      <c r="F3326"/>
    </row>
    <row r="3327" spans="6:6" x14ac:dyDescent="0.35">
      <c r="F3327"/>
    </row>
    <row r="3328" spans="6:6" x14ac:dyDescent="0.35">
      <c r="F3328"/>
    </row>
    <row r="3329" spans="6:6" x14ac:dyDescent="0.35">
      <c r="F3329"/>
    </row>
    <row r="3330" spans="6:6" x14ac:dyDescent="0.35">
      <c r="F3330"/>
    </row>
    <row r="3331" spans="6:6" x14ac:dyDescent="0.35">
      <c r="F3331"/>
    </row>
    <row r="3332" spans="6:6" x14ac:dyDescent="0.35">
      <c r="F3332"/>
    </row>
    <row r="3333" spans="6:6" x14ac:dyDescent="0.35">
      <c r="F3333"/>
    </row>
    <row r="3334" spans="6:6" x14ac:dyDescent="0.35">
      <c r="F3334"/>
    </row>
    <row r="3335" spans="6:6" x14ac:dyDescent="0.35">
      <c r="F3335"/>
    </row>
    <row r="3336" spans="6:6" x14ac:dyDescent="0.35">
      <c r="F3336"/>
    </row>
    <row r="3337" spans="6:6" x14ac:dyDescent="0.35">
      <c r="F3337"/>
    </row>
    <row r="3338" spans="6:6" x14ac:dyDescent="0.35">
      <c r="F3338"/>
    </row>
    <row r="3339" spans="6:6" x14ac:dyDescent="0.35">
      <c r="F3339"/>
    </row>
    <row r="3340" spans="6:6" x14ac:dyDescent="0.35">
      <c r="F3340"/>
    </row>
    <row r="3341" spans="6:6" x14ac:dyDescent="0.35">
      <c r="F3341"/>
    </row>
    <row r="3342" spans="6:6" x14ac:dyDescent="0.35">
      <c r="F3342"/>
    </row>
    <row r="3343" spans="6:6" x14ac:dyDescent="0.35">
      <c r="F3343"/>
    </row>
    <row r="3344" spans="6:6" x14ac:dyDescent="0.35">
      <c r="F3344"/>
    </row>
    <row r="3345" spans="6:6" x14ac:dyDescent="0.35">
      <c r="F3345"/>
    </row>
    <row r="3346" spans="6:6" x14ac:dyDescent="0.35">
      <c r="F3346"/>
    </row>
    <row r="3347" spans="6:6" x14ac:dyDescent="0.35">
      <c r="F3347"/>
    </row>
    <row r="3348" spans="6:6" x14ac:dyDescent="0.35">
      <c r="F3348"/>
    </row>
    <row r="3349" spans="6:6" x14ac:dyDescent="0.35">
      <c r="F3349"/>
    </row>
    <row r="3350" spans="6:6" x14ac:dyDescent="0.35">
      <c r="F3350"/>
    </row>
    <row r="3351" spans="6:6" x14ac:dyDescent="0.35">
      <c r="F3351"/>
    </row>
    <row r="3352" spans="6:6" x14ac:dyDescent="0.35">
      <c r="F3352"/>
    </row>
    <row r="3353" spans="6:6" x14ac:dyDescent="0.35">
      <c r="F3353"/>
    </row>
    <row r="3354" spans="6:6" x14ac:dyDescent="0.35">
      <c r="F3354"/>
    </row>
    <row r="3355" spans="6:6" x14ac:dyDescent="0.35">
      <c r="F3355"/>
    </row>
    <row r="3356" spans="6:6" x14ac:dyDescent="0.35">
      <c r="F3356"/>
    </row>
    <row r="3357" spans="6:6" x14ac:dyDescent="0.35">
      <c r="F3357"/>
    </row>
    <row r="3358" spans="6:6" x14ac:dyDescent="0.35">
      <c r="F3358"/>
    </row>
    <row r="3359" spans="6:6" x14ac:dyDescent="0.35">
      <c r="F3359"/>
    </row>
    <row r="3360" spans="6:6" x14ac:dyDescent="0.35">
      <c r="F3360"/>
    </row>
    <row r="3361" spans="6:6" x14ac:dyDescent="0.35">
      <c r="F3361"/>
    </row>
    <row r="3362" spans="6:6" x14ac:dyDescent="0.35">
      <c r="F3362"/>
    </row>
    <row r="3363" spans="6:6" x14ac:dyDescent="0.35">
      <c r="F3363"/>
    </row>
    <row r="3364" spans="6:6" x14ac:dyDescent="0.35">
      <c r="F3364"/>
    </row>
    <row r="3365" spans="6:6" x14ac:dyDescent="0.35">
      <c r="F3365"/>
    </row>
    <row r="3366" spans="6:6" x14ac:dyDescent="0.35">
      <c r="F3366"/>
    </row>
    <row r="3367" spans="6:6" x14ac:dyDescent="0.35">
      <c r="F3367"/>
    </row>
    <row r="3368" spans="6:6" x14ac:dyDescent="0.35">
      <c r="F3368"/>
    </row>
    <row r="3369" spans="6:6" x14ac:dyDescent="0.35">
      <c r="F3369"/>
    </row>
    <row r="3370" spans="6:6" x14ac:dyDescent="0.35">
      <c r="F3370"/>
    </row>
    <row r="3371" spans="6:6" x14ac:dyDescent="0.35">
      <c r="F3371"/>
    </row>
    <row r="3372" spans="6:6" x14ac:dyDescent="0.35">
      <c r="F3372"/>
    </row>
    <row r="3373" spans="6:6" x14ac:dyDescent="0.35">
      <c r="F3373"/>
    </row>
    <row r="3374" spans="6:6" x14ac:dyDescent="0.35">
      <c r="F3374"/>
    </row>
    <row r="3375" spans="6:6" x14ac:dyDescent="0.35">
      <c r="F3375"/>
    </row>
    <row r="3376" spans="6:6" x14ac:dyDescent="0.35">
      <c r="F3376"/>
    </row>
    <row r="3377" spans="6:6" x14ac:dyDescent="0.35">
      <c r="F3377"/>
    </row>
    <row r="3378" spans="6:6" x14ac:dyDescent="0.35">
      <c r="F3378"/>
    </row>
    <row r="3379" spans="6:6" x14ac:dyDescent="0.35">
      <c r="F3379"/>
    </row>
    <row r="3380" spans="6:6" x14ac:dyDescent="0.35">
      <c r="F3380"/>
    </row>
    <row r="3381" spans="6:6" x14ac:dyDescent="0.35">
      <c r="F3381"/>
    </row>
    <row r="3382" spans="6:6" x14ac:dyDescent="0.35">
      <c r="F3382"/>
    </row>
    <row r="3383" spans="6:6" x14ac:dyDescent="0.35">
      <c r="F3383"/>
    </row>
    <row r="3384" spans="6:6" x14ac:dyDescent="0.35">
      <c r="F3384"/>
    </row>
    <row r="3385" spans="6:6" x14ac:dyDescent="0.35">
      <c r="F3385"/>
    </row>
    <row r="3386" spans="6:6" x14ac:dyDescent="0.35">
      <c r="F3386"/>
    </row>
    <row r="3387" spans="6:6" x14ac:dyDescent="0.35">
      <c r="F3387"/>
    </row>
    <row r="3388" spans="6:6" x14ac:dyDescent="0.35">
      <c r="F3388"/>
    </row>
    <row r="3389" spans="6:6" x14ac:dyDescent="0.35">
      <c r="F3389"/>
    </row>
    <row r="3390" spans="6:6" x14ac:dyDescent="0.35">
      <c r="F3390"/>
    </row>
    <row r="3391" spans="6:6" x14ac:dyDescent="0.35">
      <c r="F3391"/>
    </row>
    <row r="3392" spans="6:6" x14ac:dyDescent="0.35">
      <c r="F3392"/>
    </row>
    <row r="3393" spans="6:6" x14ac:dyDescent="0.35">
      <c r="F3393"/>
    </row>
    <row r="3394" spans="6:6" x14ac:dyDescent="0.35">
      <c r="F3394"/>
    </row>
    <row r="3395" spans="6:6" x14ac:dyDescent="0.35">
      <c r="F3395"/>
    </row>
    <row r="3396" spans="6:6" x14ac:dyDescent="0.35">
      <c r="F3396"/>
    </row>
    <row r="3397" spans="6:6" x14ac:dyDescent="0.35">
      <c r="F3397"/>
    </row>
    <row r="3398" spans="6:6" x14ac:dyDescent="0.35">
      <c r="F3398"/>
    </row>
    <row r="3399" spans="6:6" x14ac:dyDescent="0.35">
      <c r="F3399"/>
    </row>
    <row r="3400" spans="6:6" x14ac:dyDescent="0.35">
      <c r="F3400"/>
    </row>
    <row r="3401" spans="6:6" x14ac:dyDescent="0.35">
      <c r="F3401"/>
    </row>
    <row r="3402" spans="6:6" x14ac:dyDescent="0.35">
      <c r="F3402"/>
    </row>
    <row r="3403" spans="6:6" x14ac:dyDescent="0.35">
      <c r="F3403"/>
    </row>
    <row r="3404" spans="6:6" x14ac:dyDescent="0.35">
      <c r="F3404"/>
    </row>
    <row r="3405" spans="6:6" x14ac:dyDescent="0.35">
      <c r="F3405"/>
    </row>
    <row r="3406" spans="6:6" x14ac:dyDescent="0.35">
      <c r="F3406"/>
    </row>
    <row r="3407" spans="6:6" x14ac:dyDescent="0.35">
      <c r="F3407"/>
    </row>
    <row r="3408" spans="6:6" x14ac:dyDescent="0.35">
      <c r="F3408"/>
    </row>
    <row r="3409" spans="6:6" x14ac:dyDescent="0.35">
      <c r="F3409"/>
    </row>
    <row r="3410" spans="6:6" x14ac:dyDescent="0.35">
      <c r="F3410"/>
    </row>
    <row r="3411" spans="6:6" x14ac:dyDescent="0.35">
      <c r="F3411"/>
    </row>
    <row r="3412" spans="6:6" x14ac:dyDescent="0.35">
      <c r="F3412"/>
    </row>
    <row r="3413" spans="6:6" x14ac:dyDescent="0.35">
      <c r="F3413"/>
    </row>
    <row r="3414" spans="6:6" x14ac:dyDescent="0.35">
      <c r="F3414"/>
    </row>
    <row r="3415" spans="6:6" x14ac:dyDescent="0.35">
      <c r="F3415"/>
    </row>
    <row r="3416" spans="6:6" x14ac:dyDescent="0.35">
      <c r="F3416"/>
    </row>
    <row r="3417" spans="6:6" x14ac:dyDescent="0.35">
      <c r="F3417"/>
    </row>
    <row r="3418" spans="6:6" x14ac:dyDescent="0.35">
      <c r="F3418"/>
    </row>
    <row r="3419" spans="6:6" x14ac:dyDescent="0.35">
      <c r="F3419"/>
    </row>
    <row r="3420" spans="6:6" x14ac:dyDescent="0.35">
      <c r="F3420"/>
    </row>
    <row r="3421" spans="6:6" x14ac:dyDescent="0.35">
      <c r="F3421"/>
    </row>
    <row r="3422" spans="6:6" x14ac:dyDescent="0.35">
      <c r="F3422"/>
    </row>
    <row r="3423" spans="6:6" x14ac:dyDescent="0.35">
      <c r="F3423"/>
    </row>
    <row r="3424" spans="6:6" x14ac:dyDescent="0.35">
      <c r="F3424"/>
    </row>
    <row r="3425" spans="6:6" x14ac:dyDescent="0.35">
      <c r="F3425"/>
    </row>
    <row r="3426" spans="6:6" x14ac:dyDescent="0.35">
      <c r="F3426"/>
    </row>
    <row r="3427" spans="6:6" x14ac:dyDescent="0.35">
      <c r="F3427"/>
    </row>
    <row r="3428" spans="6:6" x14ac:dyDescent="0.35">
      <c r="F3428"/>
    </row>
    <row r="3429" spans="6:6" x14ac:dyDescent="0.35">
      <c r="F3429"/>
    </row>
    <row r="3430" spans="6:6" x14ac:dyDescent="0.35">
      <c r="F3430"/>
    </row>
    <row r="3431" spans="6:6" x14ac:dyDescent="0.35">
      <c r="F3431"/>
    </row>
    <row r="3432" spans="6:6" x14ac:dyDescent="0.35">
      <c r="F3432"/>
    </row>
    <row r="3433" spans="6:6" x14ac:dyDescent="0.35">
      <c r="F3433"/>
    </row>
    <row r="3434" spans="6:6" x14ac:dyDescent="0.35">
      <c r="F3434"/>
    </row>
    <row r="3435" spans="6:6" x14ac:dyDescent="0.35">
      <c r="F3435"/>
    </row>
    <row r="3436" spans="6:6" x14ac:dyDescent="0.35">
      <c r="F3436"/>
    </row>
    <row r="3437" spans="6:6" x14ac:dyDescent="0.35">
      <c r="F3437"/>
    </row>
    <row r="3438" spans="6:6" x14ac:dyDescent="0.35">
      <c r="F3438"/>
    </row>
    <row r="3439" spans="6:6" x14ac:dyDescent="0.35">
      <c r="F3439"/>
    </row>
    <row r="3440" spans="6:6" x14ac:dyDescent="0.35">
      <c r="F3440"/>
    </row>
    <row r="3441" spans="6:6" x14ac:dyDescent="0.35">
      <c r="F3441"/>
    </row>
    <row r="3442" spans="6:6" x14ac:dyDescent="0.35">
      <c r="F3442"/>
    </row>
    <row r="3443" spans="6:6" x14ac:dyDescent="0.35">
      <c r="F3443"/>
    </row>
    <row r="3444" spans="6:6" x14ac:dyDescent="0.35">
      <c r="F3444"/>
    </row>
    <row r="3445" spans="6:6" x14ac:dyDescent="0.35">
      <c r="F3445"/>
    </row>
    <row r="3446" spans="6:6" x14ac:dyDescent="0.35">
      <c r="F3446"/>
    </row>
    <row r="3447" spans="6:6" x14ac:dyDescent="0.35">
      <c r="F3447"/>
    </row>
    <row r="3448" spans="6:6" x14ac:dyDescent="0.35">
      <c r="F3448"/>
    </row>
    <row r="3449" spans="6:6" x14ac:dyDescent="0.35">
      <c r="F3449"/>
    </row>
    <row r="3450" spans="6:6" x14ac:dyDescent="0.35">
      <c r="F3450"/>
    </row>
    <row r="3451" spans="6:6" x14ac:dyDescent="0.35">
      <c r="F3451"/>
    </row>
    <row r="3452" spans="6:6" x14ac:dyDescent="0.35">
      <c r="F3452"/>
    </row>
    <row r="3453" spans="6:6" x14ac:dyDescent="0.35">
      <c r="F3453"/>
    </row>
    <row r="3454" spans="6:6" x14ac:dyDescent="0.35">
      <c r="F3454"/>
    </row>
    <row r="3455" spans="6:6" x14ac:dyDescent="0.35">
      <c r="F3455"/>
    </row>
    <row r="3456" spans="6:6" x14ac:dyDescent="0.35">
      <c r="F3456"/>
    </row>
    <row r="3457" spans="6:6" x14ac:dyDescent="0.35">
      <c r="F3457"/>
    </row>
    <row r="3458" spans="6:6" x14ac:dyDescent="0.35">
      <c r="F3458"/>
    </row>
    <row r="3459" spans="6:6" x14ac:dyDescent="0.35">
      <c r="F3459"/>
    </row>
    <row r="3460" spans="6:6" x14ac:dyDescent="0.35">
      <c r="F3460"/>
    </row>
    <row r="3461" spans="6:6" x14ac:dyDescent="0.35">
      <c r="F3461"/>
    </row>
    <row r="3462" spans="6:6" x14ac:dyDescent="0.35">
      <c r="F3462"/>
    </row>
    <row r="3463" spans="6:6" x14ac:dyDescent="0.35">
      <c r="F3463"/>
    </row>
    <row r="3464" spans="6:6" x14ac:dyDescent="0.35">
      <c r="F3464"/>
    </row>
    <row r="3465" spans="6:6" x14ac:dyDescent="0.35">
      <c r="F3465"/>
    </row>
    <row r="3466" spans="6:6" x14ac:dyDescent="0.35">
      <c r="F3466"/>
    </row>
    <row r="3467" spans="6:6" x14ac:dyDescent="0.35">
      <c r="F3467"/>
    </row>
    <row r="3468" spans="6:6" x14ac:dyDescent="0.35">
      <c r="F3468"/>
    </row>
    <row r="3469" spans="6:6" x14ac:dyDescent="0.35">
      <c r="F3469"/>
    </row>
    <row r="3470" spans="6:6" x14ac:dyDescent="0.35">
      <c r="F3470"/>
    </row>
    <row r="3471" spans="6:6" x14ac:dyDescent="0.35">
      <c r="F3471"/>
    </row>
    <row r="3472" spans="6:6" x14ac:dyDescent="0.35">
      <c r="F3472"/>
    </row>
    <row r="3473" spans="6:6" x14ac:dyDescent="0.35">
      <c r="F3473"/>
    </row>
    <row r="3474" spans="6:6" x14ac:dyDescent="0.35">
      <c r="F3474"/>
    </row>
    <row r="3475" spans="6:6" x14ac:dyDescent="0.35">
      <c r="F3475"/>
    </row>
    <row r="3476" spans="6:6" x14ac:dyDescent="0.35">
      <c r="F3476"/>
    </row>
    <row r="3477" spans="6:6" x14ac:dyDescent="0.35">
      <c r="F3477"/>
    </row>
    <row r="3478" spans="6:6" x14ac:dyDescent="0.35">
      <c r="F3478"/>
    </row>
    <row r="3479" spans="6:6" x14ac:dyDescent="0.35">
      <c r="F3479"/>
    </row>
    <row r="3480" spans="6:6" x14ac:dyDescent="0.35">
      <c r="F3480"/>
    </row>
    <row r="3481" spans="6:6" x14ac:dyDescent="0.35">
      <c r="F3481"/>
    </row>
    <row r="3482" spans="6:6" x14ac:dyDescent="0.35">
      <c r="F3482"/>
    </row>
    <row r="3483" spans="6:6" x14ac:dyDescent="0.35">
      <c r="F3483"/>
    </row>
    <row r="3484" spans="6:6" x14ac:dyDescent="0.35">
      <c r="F3484"/>
    </row>
    <row r="3485" spans="6:6" x14ac:dyDescent="0.35">
      <c r="F3485"/>
    </row>
    <row r="3486" spans="6:6" x14ac:dyDescent="0.35">
      <c r="F3486"/>
    </row>
    <row r="3487" spans="6:6" x14ac:dyDescent="0.35">
      <c r="F3487"/>
    </row>
    <row r="3488" spans="6:6" x14ac:dyDescent="0.35">
      <c r="F3488"/>
    </row>
    <row r="3489" spans="6:6" x14ac:dyDescent="0.35">
      <c r="F3489"/>
    </row>
    <row r="3490" spans="6:6" x14ac:dyDescent="0.35">
      <c r="F3490"/>
    </row>
    <row r="3491" spans="6:6" x14ac:dyDescent="0.35">
      <c r="F3491"/>
    </row>
    <row r="3492" spans="6:6" x14ac:dyDescent="0.35">
      <c r="F3492"/>
    </row>
    <row r="3493" spans="6:6" x14ac:dyDescent="0.35">
      <c r="F3493"/>
    </row>
    <row r="3494" spans="6:6" x14ac:dyDescent="0.35">
      <c r="F3494"/>
    </row>
    <row r="3495" spans="6:6" x14ac:dyDescent="0.35">
      <c r="F3495"/>
    </row>
    <row r="3496" spans="6:6" x14ac:dyDescent="0.35">
      <c r="F3496"/>
    </row>
    <row r="3497" spans="6:6" x14ac:dyDescent="0.35">
      <c r="F3497"/>
    </row>
    <row r="3498" spans="6:6" x14ac:dyDescent="0.35">
      <c r="F3498"/>
    </row>
    <row r="3499" spans="6:6" x14ac:dyDescent="0.35">
      <c r="F3499"/>
    </row>
    <row r="3500" spans="6:6" x14ac:dyDescent="0.35">
      <c r="F3500"/>
    </row>
    <row r="3501" spans="6:6" x14ac:dyDescent="0.35">
      <c r="F3501"/>
    </row>
    <row r="3502" spans="6:6" x14ac:dyDescent="0.35">
      <c r="F3502"/>
    </row>
    <row r="3503" spans="6:6" x14ac:dyDescent="0.35">
      <c r="F3503"/>
    </row>
    <row r="3504" spans="6:6" x14ac:dyDescent="0.35">
      <c r="F3504"/>
    </row>
    <row r="3505" spans="6:6" x14ac:dyDescent="0.35">
      <c r="F3505"/>
    </row>
    <row r="3506" spans="6:6" x14ac:dyDescent="0.35">
      <c r="F3506"/>
    </row>
    <row r="3507" spans="6:6" x14ac:dyDescent="0.35">
      <c r="F3507"/>
    </row>
    <row r="3508" spans="6:6" x14ac:dyDescent="0.35">
      <c r="F3508"/>
    </row>
    <row r="3509" spans="6:6" x14ac:dyDescent="0.35">
      <c r="F3509"/>
    </row>
    <row r="3510" spans="6:6" x14ac:dyDescent="0.35">
      <c r="F3510"/>
    </row>
    <row r="3511" spans="6:6" x14ac:dyDescent="0.35">
      <c r="F3511"/>
    </row>
    <row r="3512" spans="6:6" x14ac:dyDescent="0.35">
      <c r="F3512"/>
    </row>
    <row r="3513" spans="6:6" x14ac:dyDescent="0.35">
      <c r="F3513"/>
    </row>
    <row r="3514" spans="6:6" x14ac:dyDescent="0.35">
      <c r="F3514"/>
    </row>
    <row r="3515" spans="6:6" x14ac:dyDescent="0.35">
      <c r="F3515"/>
    </row>
    <row r="3516" spans="6:6" x14ac:dyDescent="0.35">
      <c r="F3516"/>
    </row>
    <row r="3517" spans="6:6" x14ac:dyDescent="0.35">
      <c r="F3517"/>
    </row>
    <row r="3518" spans="6:6" x14ac:dyDescent="0.35">
      <c r="F3518"/>
    </row>
    <row r="3519" spans="6:6" x14ac:dyDescent="0.35">
      <c r="F3519"/>
    </row>
    <row r="3520" spans="6:6" x14ac:dyDescent="0.35">
      <c r="F3520"/>
    </row>
    <row r="3521" spans="6:6" x14ac:dyDescent="0.35">
      <c r="F3521"/>
    </row>
    <row r="3522" spans="6:6" x14ac:dyDescent="0.35">
      <c r="F3522"/>
    </row>
    <row r="3523" spans="6:6" x14ac:dyDescent="0.35">
      <c r="F3523"/>
    </row>
    <row r="3524" spans="6:6" x14ac:dyDescent="0.35">
      <c r="F3524"/>
    </row>
    <row r="3525" spans="6:6" x14ac:dyDescent="0.35">
      <c r="F3525"/>
    </row>
    <row r="3526" spans="6:6" x14ac:dyDescent="0.35">
      <c r="F3526"/>
    </row>
    <row r="3527" spans="6:6" x14ac:dyDescent="0.35">
      <c r="F3527"/>
    </row>
    <row r="3528" spans="6:6" x14ac:dyDescent="0.35">
      <c r="F3528"/>
    </row>
    <row r="3529" spans="6:6" x14ac:dyDescent="0.35">
      <c r="F3529"/>
    </row>
    <row r="3530" spans="6:6" x14ac:dyDescent="0.35">
      <c r="F3530"/>
    </row>
    <row r="3531" spans="6:6" x14ac:dyDescent="0.35">
      <c r="F3531"/>
    </row>
    <row r="3532" spans="6:6" x14ac:dyDescent="0.35">
      <c r="F3532"/>
    </row>
    <row r="3533" spans="6:6" x14ac:dyDescent="0.35">
      <c r="F3533"/>
    </row>
    <row r="3534" spans="6:6" x14ac:dyDescent="0.35">
      <c r="F3534"/>
    </row>
    <row r="3535" spans="6:6" x14ac:dyDescent="0.35">
      <c r="F3535"/>
    </row>
    <row r="3536" spans="6:6" x14ac:dyDescent="0.35">
      <c r="F3536"/>
    </row>
    <row r="3537" spans="6:6" x14ac:dyDescent="0.35">
      <c r="F3537"/>
    </row>
    <row r="3538" spans="6:6" x14ac:dyDescent="0.35">
      <c r="F3538"/>
    </row>
    <row r="3539" spans="6:6" x14ac:dyDescent="0.35">
      <c r="F3539"/>
    </row>
    <row r="3540" spans="6:6" x14ac:dyDescent="0.35">
      <c r="F3540"/>
    </row>
    <row r="3541" spans="6:6" x14ac:dyDescent="0.35">
      <c r="F3541"/>
    </row>
    <row r="3542" spans="6:6" x14ac:dyDescent="0.35">
      <c r="F3542"/>
    </row>
    <row r="3543" spans="6:6" x14ac:dyDescent="0.35">
      <c r="F3543"/>
    </row>
    <row r="3544" spans="6:6" x14ac:dyDescent="0.35">
      <c r="F3544"/>
    </row>
    <row r="3545" spans="6:6" x14ac:dyDescent="0.35">
      <c r="F3545"/>
    </row>
    <row r="3546" spans="6:6" x14ac:dyDescent="0.35">
      <c r="F3546"/>
    </row>
    <row r="3547" spans="6:6" x14ac:dyDescent="0.35">
      <c r="F3547"/>
    </row>
    <row r="3548" spans="6:6" x14ac:dyDescent="0.35">
      <c r="F3548"/>
    </row>
    <row r="3549" spans="6:6" x14ac:dyDescent="0.35">
      <c r="F3549"/>
    </row>
    <row r="3550" spans="6:6" x14ac:dyDescent="0.35">
      <c r="F3550"/>
    </row>
    <row r="3551" spans="6:6" x14ac:dyDescent="0.35">
      <c r="F3551"/>
    </row>
    <row r="3552" spans="6:6" x14ac:dyDescent="0.35">
      <c r="F3552"/>
    </row>
    <row r="3553" spans="6:6" x14ac:dyDescent="0.35">
      <c r="F3553"/>
    </row>
    <row r="3554" spans="6:6" x14ac:dyDescent="0.35">
      <c r="F3554"/>
    </row>
    <row r="3555" spans="6:6" x14ac:dyDescent="0.35">
      <c r="F3555"/>
    </row>
    <row r="3556" spans="6:6" x14ac:dyDescent="0.35">
      <c r="F3556"/>
    </row>
    <row r="3557" spans="6:6" x14ac:dyDescent="0.35">
      <c r="F3557"/>
    </row>
    <row r="3558" spans="6:6" x14ac:dyDescent="0.35">
      <c r="F3558"/>
    </row>
    <row r="3559" spans="6:6" x14ac:dyDescent="0.35">
      <c r="F3559"/>
    </row>
    <row r="3560" spans="6:6" x14ac:dyDescent="0.35">
      <c r="F3560"/>
    </row>
    <row r="3561" spans="6:6" x14ac:dyDescent="0.35">
      <c r="F3561"/>
    </row>
    <row r="3562" spans="6:6" x14ac:dyDescent="0.35">
      <c r="F3562"/>
    </row>
    <row r="3563" spans="6:6" x14ac:dyDescent="0.35">
      <c r="F3563"/>
    </row>
    <row r="3564" spans="6:6" x14ac:dyDescent="0.35">
      <c r="F3564"/>
    </row>
    <row r="3565" spans="6:6" x14ac:dyDescent="0.35">
      <c r="F3565"/>
    </row>
    <row r="3566" spans="6:6" x14ac:dyDescent="0.35">
      <c r="F3566"/>
    </row>
    <row r="3567" spans="6:6" x14ac:dyDescent="0.35">
      <c r="F3567"/>
    </row>
    <row r="3568" spans="6:6" x14ac:dyDescent="0.35">
      <c r="F3568"/>
    </row>
    <row r="3569" spans="6:6" x14ac:dyDescent="0.35">
      <c r="F3569"/>
    </row>
    <row r="3570" spans="6:6" x14ac:dyDescent="0.35">
      <c r="F3570"/>
    </row>
    <row r="3571" spans="6:6" x14ac:dyDescent="0.35">
      <c r="F3571"/>
    </row>
    <row r="3572" spans="6:6" x14ac:dyDescent="0.35">
      <c r="F3572"/>
    </row>
    <row r="3573" spans="6:6" x14ac:dyDescent="0.35">
      <c r="F3573"/>
    </row>
    <row r="3574" spans="6:6" x14ac:dyDescent="0.35">
      <c r="F3574"/>
    </row>
    <row r="3575" spans="6:6" x14ac:dyDescent="0.35">
      <c r="F3575"/>
    </row>
    <row r="3576" spans="6:6" x14ac:dyDescent="0.35">
      <c r="F3576"/>
    </row>
    <row r="3577" spans="6:6" x14ac:dyDescent="0.35">
      <c r="F3577"/>
    </row>
    <row r="3578" spans="6:6" x14ac:dyDescent="0.35">
      <c r="F3578"/>
    </row>
    <row r="3579" spans="6:6" x14ac:dyDescent="0.35">
      <c r="F3579"/>
    </row>
    <row r="3580" spans="6:6" x14ac:dyDescent="0.35">
      <c r="F3580"/>
    </row>
    <row r="3581" spans="6:6" x14ac:dyDescent="0.35">
      <c r="F3581"/>
    </row>
    <row r="3582" spans="6:6" x14ac:dyDescent="0.35">
      <c r="F3582"/>
    </row>
    <row r="3583" spans="6:6" x14ac:dyDescent="0.35">
      <c r="F3583"/>
    </row>
    <row r="3584" spans="6:6" x14ac:dyDescent="0.35">
      <c r="F3584"/>
    </row>
    <row r="3585" spans="6:6" x14ac:dyDescent="0.35">
      <c r="F3585"/>
    </row>
    <row r="3586" spans="6:6" x14ac:dyDescent="0.35">
      <c r="F3586"/>
    </row>
    <row r="3587" spans="6:6" x14ac:dyDescent="0.35">
      <c r="F3587"/>
    </row>
    <row r="3588" spans="6:6" x14ac:dyDescent="0.35">
      <c r="F3588"/>
    </row>
    <row r="3589" spans="6:6" x14ac:dyDescent="0.35">
      <c r="F3589"/>
    </row>
    <row r="3590" spans="6:6" x14ac:dyDescent="0.35">
      <c r="F3590"/>
    </row>
    <row r="3591" spans="6:6" x14ac:dyDescent="0.35">
      <c r="F3591"/>
    </row>
    <row r="3592" spans="6:6" x14ac:dyDescent="0.35">
      <c r="F3592"/>
    </row>
    <row r="3593" spans="6:6" x14ac:dyDescent="0.35">
      <c r="F3593"/>
    </row>
    <row r="3594" spans="6:6" x14ac:dyDescent="0.35">
      <c r="F3594"/>
    </row>
    <row r="3595" spans="6:6" x14ac:dyDescent="0.35">
      <c r="F3595"/>
    </row>
    <row r="3596" spans="6:6" x14ac:dyDescent="0.35">
      <c r="F3596"/>
    </row>
    <row r="3597" spans="6:6" x14ac:dyDescent="0.35">
      <c r="F3597"/>
    </row>
    <row r="3598" spans="6:6" x14ac:dyDescent="0.35">
      <c r="F3598"/>
    </row>
    <row r="3599" spans="6:6" x14ac:dyDescent="0.35">
      <c r="F3599"/>
    </row>
    <row r="3600" spans="6:6" x14ac:dyDescent="0.35">
      <c r="F3600"/>
    </row>
    <row r="3601" spans="6:6" x14ac:dyDescent="0.35">
      <c r="F3601"/>
    </row>
    <row r="3602" spans="6:6" x14ac:dyDescent="0.35">
      <c r="F3602"/>
    </row>
    <row r="3603" spans="6:6" x14ac:dyDescent="0.35">
      <c r="F3603"/>
    </row>
    <row r="3604" spans="6:6" x14ac:dyDescent="0.35">
      <c r="F3604"/>
    </row>
    <row r="3605" spans="6:6" x14ac:dyDescent="0.35">
      <c r="F3605"/>
    </row>
    <row r="3606" spans="6:6" x14ac:dyDescent="0.35">
      <c r="F3606"/>
    </row>
    <row r="3607" spans="6:6" x14ac:dyDescent="0.35">
      <c r="F3607"/>
    </row>
    <row r="3608" spans="6:6" x14ac:dyDescent="0.35">
      <c r="F3608"/>
    </row>
    <row r="3609" spans="6:6" x14ac:dyDescent="0.35">
      <c r="F3609"/>
    </row>
    <row r="3610" spans="6:6" x14ac:dyDescent="0.35">
      <c r="F3610"/>
    </row>
    <row r="3611" spans="6:6" x14ac:dyDescent="0.35">
      <c r="F3611"/>
    </row>
    <row r="3612" spans="6:6" x14ac:dyDescent="0.35">
      <c r="F3612"/>
    </row>
    <row r="3613" spans="6:6" x14ac:dyDescent="0.35">
      <c r="F3613"/>
    </row>
    <row r="3614" spans="6:6" x14ac:dyDescent="0.35">
      <c r="F3614"/>
    </row>
    <row r="3615" spans="6:6" x14ac:dyDescent="0.35">
      <c r="F3615"/>
    </row>
    <row r="3616" spans="6:6" x14ac:dyDescent="0.35">
      <c r="F3616"/>
    </row>
    <row r="3617" spans="6:6" x14ac:dyDescent="0.35">
      <c r="F3617"/>
    </row>
    <row r="3618" spans="6:6" x14ac:dyDescent="0.35">
      <c r="F3618"/>
    </row>
    <row r="3619" spans="6:6" x14ac:dyDescent="0.35">
      <c r="F3619"/>
    </row>
    <row r="3620" spans="6:6" x14ac:dyDescent="0.35">
      <c r="F3620"/>
    </row>
    <row r="3621" spans="6:6" x14ac:dyDescent="0.35">
      <c r="F3621"/>
    </row>
    <row r="3622" spans="6:6" x14ac:dyDescent="0.35">
      <c r="F3622"/>
    </row>
    <row r="3623" spans="6:6" x14ac:dyDescent="0.35">
      <c r="F3623"/>
    </row>
    <row r="3624" spans="6:6" x14ac:dyDescent="0.35">
      <c r="F3624"/>
    </row>
    <row r="3625" spans="6:6" x14ac:dyDescent="0.35">
      <c r="F3625"/>
    </row>
    <row r="3626" spans="6:6" x14ac:dyDescent="0.35">
      <c r="F3626"/>
    </row>
    <row r="3627" spans="6:6" x14ac:dyDescent="0.35">
      <c r="F3627"/>
    </row>
    <row r="3628" spans="6:6" x14ac:dyDescent="0.35">
      <c r="F3628"/>
    </row>
    <row r="3629" spans="6:6" x14ac:dyDescent="0.35">
      <c r="F3629"/>
    </row>
    <row r="3630" spans="6:6" x14ac:dyDescent="0.35">
      <c r="F3630"/>
    </row>
    <row r="3631" spans="6:6" x14ac:dyDescent="0.35">
      <c r="F3631"/>
    </row>
    <row r="3632" spans="6:6" x14ac:dyDescent="0.35">
      <c r="F3632"/>
    </row>
    <row r="3633" spans="6:6" x14ac:dyDescent="0.35">
      <c r="F3633"/>
    </row>
    <row r="3634" spans="6:6" x14ac:dyDescent="0.35">
      <c r="F3634"/>
    </row>
    <row r="3635" spans="6:6" x14ac:dyDescent="0.35">
      <c r="F3635"/>
    </row>
    <row r="3636" spans="6:6" x14ac:dyDescent="0.35">
      <c r="F3636"/>
    </row>
    <row r="3637" spans="6:6" x14ac:dyDescent="0.35">
      <c r="F3637"/>
    </row>
    <row r="3638" spans="6:6" x14ac:dyDescent="0.35">
      <c r="F3638"/>
    </row>
    <row r="3639" spans="6:6" x14ac:dyDescent="0.35">
      <c r="F3639"/>
    </row>
    <row r="3640" spans="6:6" x14ac:dyDescent="0.35">
      <c r="F3640"/>
    </row>
    <row r="3641" spans="6:6" x14ac:dyDescent="0.35">
      <c r="F3641"/>
    </row>
    <row r="3642" spans="6:6" x14ac:dyDescent="0.35">
      <c r="F3642"/>
    </row>
    <row r="3643" spans="6:6" x14ac:dyDescent="0.35">
      <c r="F3643"/>
    </row>
    <row r="3644" spans="6:6" x14ac:dyDescent="0.35">
      <c r="F3644"/>
    </row>
    <row r="3645" spans="6:6" x14ac:dyDescent="0.35">
      <c r="F3645"/>
    </row>
    <row r="3646" spans="6:6" x14ac:dyDescent="0.35">
      <c r="F3646"/>
    </row>
    <row r="3647" spans="6:6" x14ac:dyDescent="0.35">
      <c r="F3647"/>
    </row>
    <row r="3648" spans="6:6" x14ac:dyDescent="0.35">
      <c r="F3648"/>
    </row>
    <row r="3649" spans="6:6" x14ac:dyDescent="0.35">
      <c r="F3649"/>
    </row>
    <row r="3650" spans="6:6" x14ac:dyDescent="0.35">
      <c r="F3650"/>
    </row>
    <row r="3651" spans="6:6" x14ac:dyDescent="0.35">
      <c r="F3651"/>
    </row>
    <row r="3652" spans="6:6" x14ac:dyDescent="0.35">
      <c r="F3652"/>
    </row>
    <row r="3653" spans="6:6" x14ac:dyDescent="0.35">
      <c r="F3653"/>
    </row>
    <row r="3654" spans="6:6" x14ac:dyDescent="0.35">
      <c r="F3654"/>
    </row>
    <row r="3655" spans="6:6" x14ac:dyDescent="0.35">
      <c r="F3655"/>
    </row>
    <row r="3656" spans="6:6" x14ac:dyDescent="0.35">
      <c r="F3656"/>
    </row>
    <row r="3657" spans="6:6" x14ac:dyDescent="0.35">
      <c r="F3657"/>
    </row>
    <row r="3658" spans="6:6" x14ac:dyDescent="0.35">
      <c r="F3658"/>
    </row>
    <row r="3659" spans="6:6" x14ac:dyDescent="0.35">
      <c r="F3659"/>
    </row>
    <row r="3660" spans="6:6" x14ac:dyDescent="0.35">
      <c r="F3660"/>
    </row>
    <row r="3661" spans="6:6" x14ac:dyDescent="0.35">
      <c r="F3661"/>
    </row>
    <row r="3662" spans="6:6" x14ac:dyDescent="0.35">
      <c r="F3662"/>
    </row>
    <row r="3663" spans="6:6" x14ac:dyDescent="0.35">
      <c r="F3663"/>
    </row>
    <row r="3664" spans="6:6" x14ac:dyDescent="0.35">
      <c r="F3664"/>
    </row>
    <row r="3665" spans="6:6" x14ac:dyDescent="0.35">
      <c r="F3665"/>
    </row>
    <row r="3666" spans="6:6" x14ac:dyDescent="0.35">
      <c r="F3666"/>
    </row>
    <row r="3667" spans="6:6" x14ac:dyDescent="0.35">
      <c r="F3667"/>
    </row>
    <row r="3668" spans="6:6" x14ac:dyDescent="0.35">
      <c r="F3668"/>
    </row>
    <row r="3669" spans="6:6" x14ac:dyDescent="0.35">
      <c r="F3669"/>
    </row>
    <row r="3670" spans="6:6" x14ac:dyDescent="0.35">
      <c r="F3670"/>
    </row>
    <row r="3671" spans="6:6" x14ac:dyDescent="0.35">
      <c r="F3671"/>
    </row>
    <row r="3672" spans="6:6" x14ac:dyDescent="0.35">
      <c r="F3672"/>
    </row>
    <row r="3673" spans="6:6" x14ac:dyDescent="0.35">
      <c r="F3673"/>
    </row>
    <row r="3674" spans="6:6" x14ac:dyDescent="0.35">
      <c r="F3674"/>
    </row>
    <row r="3675" spans="6:6" x14ac:dyDescent="0.35">
      <c r="F3675"/>
    </row>
    <row r="3676" spans="6:6" x14ac:dyDescent="0.35">
      <c r="F3676"/>
    </row>
    <row r="3677" spans="6:6" x14ac:dyDescent="0.35">
      <c r="F3677"/>
    </row>
    <row r="3678" spans="6:6" x14ac:dyDescent="0.35">
      <c r="F3678"/>
    </row>
    <row r="3679" spans="6:6" x14ac:dyDescent="0.35">
      <c r="F3679"/>
    </row>
    <row r="3680" spans="6:6" x14ac:dyDescent="0.35">
      <c r="F3680"/>
    </row>
    <row r="3681" spans="6:6" x14ac:dyDescent="0.35">
      <c r="F3681"/>
    </row>
    <row r="3682" spans="6:6" x14ac:dyDescent="0.35">
      <c r="F3682"/>
    </row>
    <row r="3683" spans="6:6" x14ac:dyDescent="0.35">
      <c r="F3683"/>
    </row>
    <row r="3684" spans="6:6" x14ac:dyDescent="0.35">
      <c r="F3684"/>
    </row>
    <row r="3685" spans="6:6" x14ac:dyDescent="0.35">
      <c r="F3685"/>
    </row>
    <row r="3686" spans="6:6" x14ac:dyDescent="0.35">
      <c r="F3686"/>
    </row>
    <row r="3687" spans="6:6" x14ac:dyDescent="0.35">
      <c r="F3687"/>
    </row>
    <row r="3688" spans="6:6" x14ac:dyDescent="0.35">
      <c r="F3688"/>
    </row>
    <row r="3689" spans="6:6" x14ac:dyDescent="0.35">
      <c r="F3689"/>
    </row>
    <row r="3690" spans="6:6" x14ac:dyDescent="0.35">
      <c r="F3690"/>
    </row>
    <row r="3691" spans="6:6" x14ac:dyDescent="0.35">
      <c r="F3691"/>
    </row>
    <row r="3692" spans="6:6" x14ac:dyDescent="0.35">
      <c r="F3692"/>
    </row>
    <row r="3693" spans="6:6" x14ac:dyDescent="0.35">
      <c r="F3693"/>
    </row>
    <row r="3694" spans="6:6" x14ac:dyDescent="0.35">
      <c r="F3694"/>
    </row>
    <row r="3695" spans="6:6" x14ac:dyDescent="0.35">
      <c r="F3695"/>
    </row>
    <row r="3696" spans="6:6" x14ac:dyDescent="0.35">
      <c r="F3696"/>
    </row>
    <row r="3697" spans="6:6" x14ac:dyDescent="0.35">
      <c r="F3697"/>
    </row>
    <row r="3698" spans="6:6" x14ac:dyDescent="0.35">
      <c r="F3698"/>
    </row>
    <row r="3699" spans="6:6" x14ac:dyDescent="0.35">
      <c r="F3699"/>
    </row>
    <row r="3700" spans="6:6" x14ac:dyDescent="0.35">
      <c r="F3700"/>
    </row>
    <row r="3701" spans="6:6" x14ac:dyDescent="0.35">
      <c r="F3701"/>
    </row>
    <row r="3702" spans="6:6" x14ac:dyDescent="0.35">
      <c r="F3702"/>
    </row>
    <row r="3703" spans="6:6" x14ac:dyDescent="0.35">
      <c r="F3703"/>
    </row>
    <row r="3704" spans="6:6" x14ac:dyDescent="0.35">
      <c r="F3704"/>
    </row>
    <row r="3705" spans="6:6" x14ac:dyDescent="0.35">
      <c r="F3705"/>
    </row>
    <row r="3706" spans="6:6" x14ac:dyDescent="0.35">
      <c r="F3706"/>
    </row>
    <row r="3707" spans="6:6" x14ac:dyDescent="0.35">
      <c r="F3707"/>
    </row>
    <row r="3708" spans="6:6" x14ac:dyDescent="0.35">
      <c r="F3708"/>
    </row>
    <row r="3709" spans="6:6" x14ac:dyDescent="0.35">
      <c r="F3709"/>
    </row>
    <row r="3710" spans="6:6" x14ac:dyDescent="0.35">
      <c r="F3710"/>
    </row>
    <row r="3711" spans="6:6" x14ac:dyDescent="0.35">
      <c r="F3711"/>
    </row>
    <row r="3712" spans="6:6" x14ac:dyDescent="0.35">
      <c r="F3712"/>
    </row>
    <row r="3713" spans="6:6" x14ac:dyDescent="0.35">
      <c r="F3713"/>
    </row>
    <row r="3714" spans="6:6" x14ac:dyDescent="0.35">
      <c r="F3714"/>
    </row>
    <row r="3715" spans="6:6" x14ac:dyDescent="0.35">
      <c r="F3715"/>
    </row>
    <row r="3716" spans="6:6" x14ac:dyDescent="0.35">
      <c r="F3716"/>
    </row>
    <row r="3717" spans="6:6" x14ac:dyDescent="0.35">
      <c r="F3717"/>
    </row>
    <row r="3718" spans="6:6" x14ac:dyDescent="0.35">
      <c r="F3718"/>
    </row>
    <row r="3719" spans="6:6" x14ac:dyDescent="0.35">
      <c r="F3719"/>
    </row>
    <row r="3720" spans="6:6" x14ac:dyDescent="0.35">
      <c r="F3720"/>
    </row>
    <row r="3721" spans="6:6" x14ac:dyDescent="0.35">
      <c r="F3721"/>
    </row>
    <row r="3722" spans="6:6" x14ac:dyDescent="0.35">
      <c r="F3722"/>
    </row>
    <row r="3723" spans="6:6" x14ac:dyDescent="0.35">
      <c r="F3723"/>
    </row>
    <row r="3724" spans="6:6" x14ac:dyDescent="0.35">
      <c r="F3724"/>
    </row>
    <row r="3725" spans="6:6" x14ac:dyDescent="0.35">
      <c r="F3725"/>
    </row>
    <row r="3726" spans="6:6" x14ac:dyDescent="0.35">
      <c r="F3726"/>
    </row>
    <row r="3727" spans="6:6" x14ac:dyDescent="0.35">
      <c r="F3727"/>
    </row>
    <row r="3728" spans="6:6" x14ac:dyDescent="0.35">
      <c r="F3728"/>
    </row>
    <row r="3729" spans="6:6" x14ac:dyDescent="0.35">
      <c r="F3729"/>
    </row>
    <row r="3730" spans="6:6" x14ac:dyDescent="0.35">
      <c r="F3730"/>
    </row>
    <row r="3731" spans="6:6" x14ac:dyDescent="0.35">
      <c r="F3731"/>
    </row>
    <row r="3732" spans="6:6" x14ac:dyDescent="0.35">
      <c r="F3732"/>
    </row>
    <row r="3733" spans="6:6" x14ac:dyDescent="0.35">
      <c r="F3733"/>
    </row>
    <row r="3734" spans="6:6" x14ac:dyDescent="0.35">
      <c r="F3734"/>
    </row>
    <row r="3735" spans="6:6" x14ac:dyDescent="0.35">
      <c r="F3735"/>
    </row>
    <row r="3736" spans="6:6" x14ac:dyDescent="0.35">
      <c r="F3736"/>
    </row>
    <row r="3737" spans="6:6" x14ac:dyDescent="0.35">
      <c r="F3737"/>
    </row>
    <row r="3738" spans="6:6" x14ac:dyDescent="0.35">
      <c r="F3738"/>
    </row>
    <row r="3739" spans="6:6" x14ac:dyDescent="0.35">
      <c r="F3739"/>
    </row>
    <row r="3740" spans="6:6" x14ac:dyDescent="0.35">
      <c r="F3740"/>
    </row>
    <row r="3741" spans="6:6" x14ac:dyDescent="0.35">
      <c r="F3741"/>
    </row>
    <row r="3742" spans="6:6" x14ac:dyDescent="0.35">
      <c r="F3742"/>
    </row>
    <row r="3743" spans="6:6" x14ac:dyDescent="0.35">
      <c r="F3743"/>
    </row>
    <row r="3744" spans="6:6" x14ac:dyDescent="0.35">
      <c r="F3744"/>
    </row>
    <row r="3745" spans="6:6" x14ac:dyDescent="0.35">
      <c r="F3745"/>
    </row>
    <row r="3746" spans="6:6" x14ac:dyDescent="0.35">
      <c r="F3746"/>
    </row>
    <row r="3747" spans="6:6" x14ac:dyDescent="0.35">
      <c r="F3747"/>
    </row>
    <row r="3748" spans="6:6" x14ac:dyDescent="0.35">
      <c r="F3748"/>
    </row>
    <row r="3749" spans="6:6" x14ac:dyDescent="0.35">
      <c r="F3749"/>
    </row>
    <row r="3750" spans="6:6" x14ac:dyDescent="0.35">
      <c r="F3750"/>
    </row>
    <row r="3751" spans="6:6" x14ac:dyDescent="0.35">
      <c r="F3751"/>
    </row>
    <row r="3752" spans="6:6" x14ac:dyDescent="0.35">
      <c r="F3752"/>
    </row>
    <row r="3753" spans="6:6" x14ac:dyDescent="0.35">
      <c r="F3753"/>
    </row>
    <row r="3754" spans="6:6" x14ac:dyDescent="0.35">
      <c r="F3754"/>
    </row>
    <row r="3755" spans="6:6" x14ac:dyDescent="0.35">
      <c r="F3755"/>
    </row>
    <row r="3756" spans="6:6" x14ac:dyDescent="0.35">
      <c r="F3756"/>
    </row>
    <row r="3757" spans="6:6" x14ac:dyDescent="0.35">
      <c r="F3757"/>
    </row>
    <row r="3758" spans="6:6" x14ac:dyDescent="0.35">
      <c r="F3758"/>
    </row>
    <row r="3759" spans="6:6" x14ac:dyDescent="0.35">
      <c r="F3759"/>
    </row>
    <row r="3760" spans="6:6" x14ac:dyDescent="0.35">
      <c r="F3760"/>
    </row>
    <row r="3761" spans="6:6" x14ac:dyDescent="0.35">
      <c r="F3761"/>
    </row>
    <row r="3762" spans="6:6" x14ac:dyDescent="0.35">
      <c r="F3762"/>
    </row>
    <row r="3763" spans="6:6" x14ac:dyDescent="0.35">
      <c r="F3763"/>
    </row>
    <row r="3764" spans="6:6" x14ac:dyDescent="0.35">
      <c r="F3764"/>
    </row>
    <row r="3765" spans="6:6" x14ac:dyDescent="0.35">
      <c r="F3765"/>
    </row>
    <row r="3766" spans="6:6" x14ac:dyDescent="0.35">
      <c r="F3766"/>
    </row>
    <row r="3767" spans="6:6" x14ac:dyDescent="0.35">
      <c r="F3767"/>
    </row>
    <row r="3768" spans="6:6" x14ac:dyDescent="0.35">
      <c r="F3768"/>
    </row>
    <row r="3769" spans="6:6" x14ac:dyDescent="0.35">
      <c r="F3769"/>
    </row>
    <row r="3770" spans="6:6" x14ac:dyDescent="0.35">
      <c r="F3770"/>
    </row>
    <row r="3771" spans="6:6" x14ac:dyDescent="0.35">
      <c r="F3771"/>
    </row>
    <row r="3772" spans="6:6" x14ac:dyDescent="0.35">
      <c r="F3772"/>
    </row>
    <row r="3773" spans="6:6" x14ac:dyDescent="0.35">
      <c r="F3773"/>
    </row>
    <row r="3774" spans="6:6" x14ac:dyDescent="0.35">
      <c r="F3774"/>
    </row>
    <row r="3775" spans="6:6" x14ac:dyDescent="0.35">
      <c r="F3775"/>
    </row>
    <row r="3776" spans="6:6" x14ac:dyDescent="0.35">
      <c r="F3776"/>
    </row>
    <row r="3777" spans="6:6" x14ac:dyDescent="0.35">
      <c r="F3777"/>
    </row>
    <row r="3778" spans="6:6" x14ac:dyDescent="0.35">
      <c r="F3778"/>
    </row>
    <row r="3779" spans="6:6" x14ac:dyDescent="0.35">
      <c r="F3779"/>
    </row>
    <row r="3780" spans="6:6" x14ac:dyDescent="0.35">
      <c r="F3780"/>
    </row>
    <row r="3781" spans="6:6" x14ac:dyDescent="0.35">
      <c r="F3781"/>
    </row>
    <row r="3782" spans="6:6" x14ac:dyDescent="0.35">
      <c r="F3782"/>
    </row>
    <row r="3783" spans="6:6" x14ac:dyDescent="0.35">
      <c r="F3783"/>
    </row>
    <row r="3784" spans="6:6" x14ac:dyDescent="0.35">
      <c r="F3784"/>
    </row>
    <row r="3785" spans="6:6" x14ac:dyDescent="0.35">
      <c r="F3785"/>
    </row>
    <row r="3786" spans="6:6" x14ac:dyDescent="0.35">
      <c r="F3786"/>
    </row>
    <row r="3787" spans="6:6" x14ac:dyDescent="0.35">
      <c r="F3787"/>
    </row>
    <row r="3788" spans="6:6" x14ac:dyDescent="0.35">
      <c r="F3788"/>
    </row>
    <row r="3789" spans="6:6" x14ac:dyDescent="0.35">
      <c r="F3789"/>
    </row>
    <row r="3790" spans="6:6" x14ac:dyDescent="0.35">
      <c r="F3790"/>
    </row>
    <row r="3791" spans="6:6" x14ac:dyDescent="0.35">
      <c r="F3791"/>
    </row>
    <row r="3792" spans="6:6" x14ac:dyDescent="0.35">
      <c r="F3792"/>
    </row>
    <row r="3793" spans="6:6" x14ac:dyDescent="0.35">
      <c r="F3793"/>
    </row>
    <row r="3794" spans="6:6" x14ac:dyDescent="0.35">
      <c r="F3794"/>
    </row>
    <row r="3795" spans="6:6" x14ac:dyDescent="0.35">
      <c r="F3795"/>
    </row>
    <row r="3796" spans="6:6" x14ac:dyDescent="0.35">
      <c r="F3796"/>
    </row>
    <row r="3797" spans="6:6" x14ac:dyDescent="0.35">
      <c r="F3797"/>
    </row>
    <row r="3798" spans="6:6" x14ac:dyDescent="0.35">
      <c r="F3798"/>
    </row>
    <row r="3799" spans="6:6" x14ac:dyDescent="0.35">
      <c r="F3799"/>
    </row>
    <row r="3800" spans="6:6" x14ac:dyDescent="0.35">
      <c r="F3800"/>
    </row>
    <row r="3801" spans="6:6" x14ac:dyDescent="0.35">
      <c r="F3801"/>
    </row>
    <row r="3802" spans="6:6" x14ac:dyDescent="0.35">
      <c r="F3802"/>
    </row>
    <row r="3803" spans="6:6" x14ac:dyDescent="0.35">
      <c r="F3803"/>
    </row>
    <row r="3804" spans="6:6" x14ac:dyDescent="0.35">
      <c r="F3804"/>
    </row>
    <row r="3805" spans="6:6" x14ac:dyDescent="0.35">
      <c r="F3805"/>
    </row>
    <row r="3806" spans="6:6" x14ac:dyDescent="0.35">
      <c r="F3806"/>
    </row>
    <row r="3807" spans="6:6" x14ac:dyDescent="0.35">
      <c r="F3807"/>
    </row>
    <row r="3808" spans="6:6" x14ac:dyDescent="0.35">
      <c r="F3808"/>
    </row>
    <row r="3809" spans="6:6" x14ac:dyDescent="0.35">
      <c r="F3809"/>
    </row>
    <row r="3810" spans="6:6" x14ac:dyDescent="0.35">
      <c r="F3810"/>
    </row>
    <row r="3811" spans="6:6" x14ac:dyDescent="0.35">
      <c r="F3811"/>
    </row>
    <row r="3812" spans="6:6" x14ac:dyDescent="0.35">
      <c r="F3812"/>
    </row>
    <row r="3813" spans="6:6" x14ac:dyDescent="0.35">
      <c r="F3813"/>
    </row>
    <row r="3814" spans="6:6" x14ac:dyDescent="0.35">
      <c r="F3814"/>
    </row>
    <row r="3815" spans="6:6" x14ac:dyDescent="0.35">
      <c r="F3815"/>
    </row>
    <row r="3816" spans="6:6" x14ac:dyDescent="0.35">
      <c r="F3816"/>
    </row>
    <row r="3817" spans="6:6" x14ac:dyDescent="0.35">
      <c r="F3817"/>
    </row>
    <row r="3818" spans="6:6" x14ac:dyDescent="0.35">
      <c r="F3818"/>
    </row>
    <row r="3819" spans="6:6" x14ac:dyDescent="0.35">
      <c r="F3819"/>
    </row>
    <row r="3820" spans="6:6" x14ac:dyDescent="0.35">
      <c r="F3820"/>
    </row>
    <row r="3821" spans="6:6" x14ac:dyDescent="0.35">
      <c r="F3821"/>
    </row>
    <row r="3822" spans="6:6" x14ac:dyDescent="0.35">
      <c r="F3822"/>
    </row>
    <row r="3823" spans="6:6" x14ac:dyDescent="0.35">
      <c r="F3823"/>
    </row>
    <row r="3824" spans="6:6" x14ac:dyDescent="0.35">
      <c r="F3824"/>
    </row>
    <row r="3825" spans="6:6" x14ac:dyDescent="0.35">
      <c r="F3825"/>
    </row>
    <row r="3826" spans="6:6" x14ac:dyDescent="0.35">
      <c r="F3826"/>
    </row>
    <row r="3827" spans="6:6" x14ac:dyDescent="0.35">
      <c r="F3827"/>
    </row>
    <row r="3828" spans="6:6" x14ac:dyDescent="0.35">
      <c r="F3828"/>
    </row>
    <row r="3829" spans="6:6" x14ac:dyDescent="0.35">
      <c r="F3829"/>
    </row>
    <row r="3830" spans="6:6" x14ac:dyDescent="0.35">
      <c r="F3830"/>
    </row>
    <row r="3831" spans="6:6" x14ac:dyDescent="0.35">
      <c r="F3831"/>
    </row>
    <row r="3832" spans="6:6" x14ac:dyDescent="0.35">
      <c r="F3832"/>
    </row>
    <row r="3833" spans="6:6" x14ac:dyDescent="0.35">
      <c r="F3833"/>
    </row>
    <row r="3834" spans="6:6" x14ac:dyDescent="0.35">
      <c r="F3834"/>
    </row>
    <row r="3835" spans="6:6" x14ac:dyDescent="0.35">
      <c r="F3835"/>
    </row>
    <row r="3836" spans="6:6" x14ac:dyDescent="0.35">
      <c r="F3836"/>
    </row>
    <row r="3837" spans="6:6" x14ac:dyDescent="0.35">
      <c r="F3837"/>
    </row>
    <row r="3838" spans="6:6" x14ac:dyDescent="0.35">
      <c r="F3838"/>
    </row>
    <row r="3839" spans="6:6" x14ac:dyDescent="0.35">
      <c r="F3839"/>
    </row>
    <row r="3840" spans="6:6" x14ac:dyDescent="0.35">
      <c r="F3840"/>
    </row>
    <row r="3841" spans="6:6" x14ac:dyDescent="0.35">
      <c r="F3841"/>
    </row>
    <row r="3842" spans="6:6" x14ac:dyDescent="0.35">
      <c r="F3842"/>
    </row>
    <row r="3843" spans="6:6" x14ac:dyDescent="0.35">
      <c r="F3843"/>
    </row>
    <row r="3844" spans="6:6" x14ac:dyDescent="0.35">
      <c r="F3844"/>
    </row>
    <row r="3845" spans="6:6" x14ac:dyDescent="0.35">
      <c r="F3845"/>
    </row>
    <row r="3846" spans="6:6" x14ac:dyDescent="0.35">
      <c r="F3846"/>
    </row>
    <row r="3847" spans="6:6" x14ac:dyDescent="0.35">
      <c r="F3847"/>
    </row>
    <row r="3848" spans="6:6" x14ac:dyDescent="0.35">
      <c r="F3848"/>
    </row>
    <row r="3849" spans="6:6" x14ac:dyDescent="0.35">
      <c r="F3849"/>
    </row>
    <row r="3850" spans="6:6" x14ac:dyDescent="0.35">
      <c r="F3850"/>
    </row>
    <row r="3851" spans="6:6" x14ac:dyDescent="0.35">
      <c r="F3851"/>
    </row>
    <row r="3852" spans="6:6" x14ac:dyDescent="0.35">
      <c r="F3852"/>
    </row>
    <row r="3853" spans="6:6" x14ac:dyDescent="0.35">
      <c r="F3853"/>
    </row>
    <row r="3854" spans="6:6" x14ac:dyDescent="0.35">
      <c r="F3854"/>
    </row>
    <row r="3855" spans="6:6" x14ac:dyDescent="0.35">
      <c r="F3855"/>
    </row>
    <row r="3856" spans="6:6" x14ac:dyDescent="0.35">
      <c r="F3856"/>
    </row>
    <row r="3857" spans="6:6" x14ac:dyDescent="0.35">
      <c r="F3857"/>
    </row>
    <row r="3858" spans="6:6" x14ac:dyDescent="0.35">
      <c r="F3858"/>
    </row>
    <row r="3859" spans="6:6" x14ac:dyDescent="0.35">
      <c r="F3859"/>
    </row>
    <row r="3860" spans="6:6" x14ac:dyDescent="0.35">
      <c r="F3860"/>
    </row>
    <row r="3861" spans="6:6" x14ac:dyDescent="0.35">
      <c r="F3861"/>
    </row>
    <row r="3862" spans="6:6" x14ac:dyDescent="0.35">
      <c r="F3862"/>
    </row>
    <row r="3863" spans="6:6" x14ac:dyDescent="0.35">
      <c r="F3863"/>
    </row>
    <row r="3864" spans="6:6" x14ac:dyDescent="0.35">
      <c r="F3864"/>
    </row>
    <row r="3865" spans="6:6" x14ac:dyDescent="0.35">
      <c r="F3865"/>
    </row>
    <row r="3866" spans="6:6" x14ac:dyDescent="0.35">
      <c r="F3866"/>
    </row>
    <row r="3867" spans="6:6" x14ac:dyDescent="0.35">
      <c r="F3867"/>
    </row>
    <row r="3868" spans="6:6" x14ac:dyDescent="0.35">
      <c r="F3868"/>
    </row>
    <row r="3869" spans="6:6" x14ac:dyDescent="0.35">
      <c r="F3869"/>
    </row>
    <row r="3870" spans="6:6" x14ac:dyDescent="0.35">
      <c r="F3870"/>
    </row>
    <row r="3871" spans="6:6" x14ac:dyDescent="0.35">
      <c r="F3871"/>
    </row>
    <row r="3872" spans="6:6" x14ac:dyDescent="0.35">
      <c r="F3872"/>
    </row>
    <row r="3873" spans="6:6" x14ac:dyDescent="0.35">
      <c r="F3873"/>
    </row>
    <row r="3874" spans="6:6" x14ac:dyDescent="0.35">
      <c r="F3874"/>
    </row>
    <row r="3875" spans="6:6" x14ac:dyDescent="0.35">
      <c r="F3875"/>
    </row>
    <row r="3876" spans="6:6" x14ac:dyDescent="0.35">
      <c r="F3876"/>
    </row>
    <row r="3877" spans="6:6" x14ac:dyDescent="0.35">
      <c r="F3877"/>
    </row>
    <row r="3878" spans="6:6" x14ac:dyDescent="0.35">
      <c r="F3878"/>
    </row>
    <row r="3879" spans="6:6" x14ac:dyDescent="0.35">
      <c r="F3879"/>
    </row>
    <row r="3880" spans="6:6" x14ac:dyDescent="0.35">
      <c r="F3880"/>
    </row>
    <row r="3881" spans="6:6" x14ac:dyDescent="0.35">
      <c r="F3881"/>
    </row>
    <row r="3882" spans="6:6" x14ac:dyDescent="0.35">
      <c r="F3882"/>
    </row>
    <row r="3883" spans="6:6" x14ac:dyDescent="0.35">
      <c r="F3883"/>
    </row>
    <row r="3884" spans="6:6" x14ac:dyDescent="0.35">
      <c r="F3884"/>
    </row>
    <row r="3885" spans="6:6" x14ac:dyDescent="0.35">
      <c r="F3885"/>
    </row>
    <row r="3886" spans="6:6" x14ac:dyDescent="0.35">
      <c r="F3886"/>
    </row>
    <row r="3887" spans="6:6" x14ac:dyDescent="0.35">
      <c r="F3887"/>
    </row>
    <row r="3888" spans="6:6" x14ac:dyDescent="0.35">
      <c r="F3888"/>
    </row>
    <row r="3889" spans="6:6" x14ac:dyDescent="0.35">
      <c r="F3889"/>
    </row>
    <row r="3890" spans="6:6" x14ac:dyDescent="0.35">
      <c r="F3890"/>
    </row>
    <row r="3891" spans="6:6" x14ac:dyDescent="0.35">
      <c r="F3891"/>
    </row>
    <row r="3892" spans="6:6" x14ac:dyDescent="0.35">
      <c r="F3892"/>
    </row>
    <row r="3893" spans="6:6" x14ac:dyDescent="0.35">
      <c r="F3893"/>
    </row>
    <row r="3894" spans="6:6" x14ac:dyDescent="0.35">
      <c r="F3894"/>
    </row>
    <row r="3895" spans="6:6" x14ac:dyDescent="0.35">
      <c r="F3895"/>
    </row>
    <row r="3896" spans="6:6" x14ac:dyDescent="0.35">
      <c r="F3896"/>
    </row>
    <row r="3897" spans="6:6" x14ac:dyDescent="0.35">
      <c r="F3897"/>
    </row>
    <row r="3898" spans="6:6" x14ac:dyDescent="0.35">
      <c r="F3898"/>
    </row>
    <row r="3899" spans="6:6" x14ac:dyDescent="0.35">
      <c r="F3899"/>
    </row>
    <row r="3900" spans="6:6" x14ac:dyDescent="0.35">
      <c r="F3900"/>
    </row>
    <row r="3901" spans="6:6" x14ac:dyDescent="0.35">
      <c r="F3901"/>
    </row>
    <row r="3902" spans="6:6" x14ac:dyDescent="0.35">
      <c r="F3902"/>
    </row>
    <row r="3903" spans="6:6" x14ac:dyDescent="0.35">
      <c r="F3903"/>
    </row>
    <row r="3904" spans="6:6" x14ac:dyDescent="0.35">
      <c r="F3904"/>
    </row>
    <row r="3905" spans="6:6" x14ac:dyDescent="0.35">
      <c r="F3905"/>
    </row>
    <row r="3906" spans="6:6" x14ac:dyDescent="0.35">
      <c r="F3906"/>
    </row>
    <row r="3907" spans="6:6" x14ac:dyDescent="0.35">
      <c r="F3907"/>
    </row>
    <row r="3908" spans="6:6" x14ac:dyDescent="0.35">
      <c r="F3908"/>
    </row>
    <row r="3909" spans="6:6" x14ac:dyDescent="0.35">
      <c r="F3909"/>
    </row>
    <row r="3910" spans="6:6" x14ac:dyDescent="0.35">
      <c r="F3910"/>
    </row>
    <row r="3911" spans="6:6" x14ac:dyDescent="0.35">
      <c r="F3911"/>
    </row>
    <row r="3912" spans="6:6" x14ac:dyDescent="0.35">
      <c r="F3912"/>
    </row>
    <row r="3913" spans="6:6" x14ac:dyDescent="0.35">
      <c r="F3913"/>
    </row>
    <row r="3914" spans="6:6" x14ac:dyDescent="0.35">
      <c r="F3914"/>
    </row>
    <row r="3915" spans="6:6" x14ac:dyDescent="0.35">
      <c r="F3915"/>
    </row>
    <row r="3916" spans="6:6" x14ac:dyDescent="0.35">
      <c r="F3916"/>
    </row>
    <row r="3917" spans="6:6" x14ac:dyDescent="0.35">
      <c r="F3917"/>
    </row>
    <row r="3918" spans="6:6" x14ac:dyDescent="0.35">
      <c r="F3918"/>
    </row>
    <row r="3919" spans="6:6" x14ac:dyDescent="0.35">
      <c r="F3919"/>
    </row>
    <row r="3920" spans="6:6" x14ac:dyDescent="0.35">
      <c r="F3920"/>
    </row>
    <row r="3921" spans="6:6" x14ac:dyDescent="0.35">
      <c r="F3921"/>
    </row>
    <row r="3922" spans="6:6" x14ac:dyDescent="0.35">
      <c r="F3922"/>
    </row>
    <row r="3923" spans="6:6" x14ac:dyDescent="0.35">
      <c r="F3923"/>
    </row>
    <row r="3924" spans="6:6" x14ac:dyDescent="0.35">
      <c r="F3924"/>
    </row>
    <row r="3925" spans="6:6" x14ac:dyDescent="0.35">
      <c r="F3925"/>
    </row>
    <row r="3926" spans="6:6" x14ac:dyDescent="0.35">
      <c r="F3926"/>
    </row>
    <row r="3927" spans="6:6" x14ac:dyDescent="0.35">
      <c r="F3927"/>
    </row>
    <row r="3928" spans="6:6" x14ac:dyDescent="0.35">
      <c r="F3928"/>
    </row>
    <row r="3929" spans="6:6" x14ac:dyDescent="0.35">
      <c r="F3929"/>
    </row>
    <row r="3930" spans="6:6" x14ac:dyDescent="0.35">
      <c r="F3930"/>
    </row>
    <row r="3931" spans="6:6" x14ac:dyDescent="0.35">
      <c r="F3931"/>
    </row>
    <row r="3932" spans="6:6" x14ac:dyDescent="0.35">
      <c r="F3932"/>
    </row>
    <row r="3933" spans="6:6" x14ac:dyDescent="0.35">
      <c r="F3933"/>
    </row>
    <row r="3934" spans="6:6" x14ac:dyDescent="0.35">
      <c r="F3934"/>
    </row>
    <row r="3935" spans="6:6" x14ac:dyDescent="0.35">
      <c r="F3935"/>
    </row>
    <row r="3936" spans="6:6" x14ac:dyDescent="0.35">
      <c r="F3936"/>
    </row>
    <row r="3937" spans="6:6" x14ac:dyDescent="0.35">
      <c r="F3937"/>
    </row>
    <row r="3938" spans="6:6" x14ac:dyDescent="0.35">
      <c r="F3938"/>
    </row>
    <row r="3939" spans="6:6" x14ac:dyDescent="0.35">
      <c r="F3939"/>
    </row>
    <row r="3940" spans="6:6" x14ac:dyDescent="0.35">
      <c r="F3940"/>
    </row>
    <row r="3941" spans="6:6" x14ac:dyDescent="0.35">
      <c r="F3941"/>
    </row>
    <row r="3942" spans="6:6" x14ac:dyDescent="0.35">
      <c r="F3942"/>
    </row>
    <row r="3943" spans="6:6" x14ac:dyDescent="0.35">
      <c r="F3943"/>
    </row>
    <row r="3944" spans="6:6" x14ac:dyDescent="0.35">
      <c r="F3944"/>
    </row>
    <row r="3945" spans="6:6" x14ac:dyDescent="0.35">
      <c r="F3945"/>
    </row>
    <row r="3946" spans="6:6" x14ac:dyDescent="0.35">
      <c r="F3946"/>
    </row>
    <row r="3947" spans="6:6" x14ac:dyDescent="0.35">
      <c r="F3947"/>
    </row>
    <row r="3948" spans="6:6" x14ac:dyDescent="0.35">
      <c r="F3948"/>
    </row>
    <row r="3949" spans="6:6" x14ac:dyDescent="0.35">
      <c r="F3949"/>
    </row>
    <row r="3950" spans="6:6" x14ac:dyDescent="0.35">
      <c r="F3950"/>
    </row>
    <row r="3951" spans="6:6" x14ac:dyDescent="0.35">
      <c r="F3951"/>
    </row>
    <row r="3952" spans="6:6" x14ac:dyDescent="0.35">
      <c r="F3952"/>
    </row>
    <row r="3953" spans="6:6" x14ac:dyDescent="0.35">
      <c r="F3953"/>
    </row>
    <row r="3954" spans="6:6" x14ac:dyDescent="0.35">
      <c r="F3954"/>
    </row>
    <row r="3955" spans="6:6" x14ac:dyDescent="0.35">
      <c r="F3955"/>
    </row>
    <row r="3956" spans="6:6" x14ac:dyDescent="0.35">
      <c r="F3956"/>
    </row>
    <row r="3957" spans="6:6" x14ac:dyDescent="0.35">
      <c r="F3957"/>
    </row>
    <row r="3958" spans="6:6" x14ac:dyDescent="0.35">
      <c r="F3958"/>
    </row>
    <row r="3959" spans="6:6" x14ac:dyDescent="0.35">
      <c r="F3959"/>
    </row>
    <row r="3960" spans="6:6" x14ac:dyDescent="0.35">
      <c r="F3960"/>
    </row>
    <row r="3961" spans="6:6" x14ac:dyDescent="0.35">
      <c r="F3961"/>
    </row>
    <row r="3962" spans="6:6" x14ac:dyDescent="0.35">
      <c r="F3962"/>
    </row>
    <row r="3963" spans="6:6" x14ac:dyDescent="0.35">
      <c r="F3963"/>
    </row>
    <row r="3964" spans="6:6" x14ac:dyDescent="0.35">
      <c r="F3964"/>
    </row>
    <row r="3965" spans="6:6" x14ac:dyDescent="0.35">
      <c r="F3965"/>
    </row>
    <row r="3966" spans="6:6" x14ac:dyDescent="0.35">
      <c r="F3966"/>
    </row>
    <row r="3967" spans="6:6" x14ac:dyDescent="0.35">
      <c r="F3967"/>
    </row>
    <row r="3968" spans="6:6" x14ac:dyDescent="0.35">
      <c r="F3968"/>
    </row>
    <row r="3969" spans="6:6" x14ac:dyDescent="0.35">
      <c r="F3969"/>
    </row>
    <row r="3970" spans="6:6" x14ac:dyDescent="0.35">
      <c r="F3970"/>
    </row>
    <row r="3971" spans="6:6" x14ac:dyDescent="0.35">
      <c r="F3971"/>
    </row>
    <row r="3972" spans="6:6" x14ac:dyDescent="0.35">
      <c r="F3972"/>
    </row>
    <row r="3973" spans="6:6" x14ac:dyDescent="0.35">
      <c r="F3973"/>
    </row>
    <row r="3974" spans="6:6" x14ac:dyDescent="0.35">
      <c r="F3974"/>
    </row>
    <row r="3975" spans="6:6" x14ac:dyDescent="0.35">
      <c r="F3975"/>
    </row>
    <row r="3976" spans="6:6" x14ac:dyDescent="0.35">
      <c r="F3976"/>
    </row>
    <row r="3977" spans="6:6" x14ac:dyDescent="0.35">
      <c r="F3977"/>
    </row>
    <row r="3978" spans="6:6" x14ac:dyDescent="0.35">
      <c r="F3978"/>
    </row>
    <row r="3979" spans="6:6" x14ac:dyDescent="0.35">
      <c r="F3979"/>
    </row>
    <row r="3980" spans="6:6" x14ac:dyDescent="0.35">
      <c r="F3980"/>
    </row>
    <row r="3981" spans="6:6" x14ac:dyDescent="0.35">
      <c r="F3981"/>
    </row>
    <row r="3982" spans="6:6" x14ac:dyDescent="0.35">
      <c r="F3982"/>
    </row>
    <row r="3983" spans="6:6" x14ac:dyDescent="0.35">
      <c r="F3983"/>
    </row>
    <row r="3984" spans="6:6" x14ac:dyDescent="0.35">
      <c r="F3984"/>
    </row>
    <row r="3985" spans="6:6" x14ac:dyDescent="0.35">
      <c r="F3985"/>
    </row>
    <row r="3986" spans="6:6" x14ac:dyDescent="0.35">
      <c r="F3986"/>
    </row>
    <row r="3987" spans="6:6" x14ac:dyDescent="0.35">
      <c r="F3987"/>
    </row>
    <row r="3988" spans="6:6" x14ac:dyDescent="0.35">
      <c r="F3988"/>
    </row>
    <row r="3989" spans="6:6" x14ac:dyDescent="0.35">
      <c r="F3989"/>
    </row>
    <row r="3990" spans="6:6" x14ac:dyDescent="0.35">
      <c r="F3990"/>
    </row>
    <row r="3991" spans="6:6" x14ac:dyDescent="0.35">
      <c r="F3991"/>
    </row>
    <row r="3992" spans="6:6" x14ac:dyDescent="0.35">
      <c r="F3992"/>
    </row>
    <row r="3993" spans="6:6" x14ac:dyDescent="0.35">
      <c r="F3993"/>
    </row>
    <row r="3994" spans="6:6" x14ac:dyDescent="0.35">
      <c r="F3994"/>
    </row>
    <row r="3995" spans="6:6" x14ac:dyDescent="0.35">
      <c r="F3995"/>
    </row>
    <row r="3996" spans="6:6" x14ac:dyDescent="0.35">
      <c r="F3996"/>
    </row>
    <row r="3997" spans="6:6" x14ac:dyDescent="0.35">
      <c r="F3997"/>
    </row>
    <row r="3998" spans="6:6" x14ac:dyDescent="0.35">
      <c r="F3998"/>
    </row>
    <row r="3999" spans="6:6" x14ac:dyDescent="0.35">
      <c r="F3999"/>
    </row>
    <row r="4000" spans="6:6" x14ac:dyDescent="0.35">
      <c r="F4000"/>
    </row>
    <row r="4001" spans="6:6" x14ac:dyDescent="0.35">
      <c r="F4001"/>
    </row>
    <row r="4002" spans="6:6" x14ac:dyDescent="0.35">
      <c r="F4002"/>
    </row>
    <row r="4003" spans="6:6" x14ac:dyDescent="0.35">
      <c r="F4003"/>
    </row>
    <row r="4004" spans="6:6" x14ac:dyDescent="0.35">
      <c r="F4004"/>
    </row>
    <row r="4005" spans="6:6" x14ac:dyDescent="0.35">
      <c r="F4005"/>
    </row>
    <row r="4006" spans="6:6" x14ac:dyDescent="0.35">
      <c r="F4006"/>
    </row>
    <row r="4007" spans="6:6" x14ac:dyDescent="0.35">
      <c r="F4007"/>
    </row>
    <row r="4008" spans="6:6" x14ac:dyDescent="0.35">
      <c r="F4008"/>
    </row>
    <row r="4009" spans="6:6" x14ac:dyDescent="0.35">
      <c r="F4009"/>
    </row>
    <row r="4010" spans="6:6" x14ac:dyDescent="0.35">
      <c r="F4010"/>
    </row>
    <row r="4011" spans="6:6" x14ac:dyDescent="0.35">
      <c r="F4011"/>
    </row>
    <row r="4012" spans="6:6" x14ac:dyDescent="0.35">
      <c r="F4012"/>
    </row>
    <row r="4013" spans="6:6" x14ac:dyDescent="0.35">
      <c r="F4013"/>
    </row>
    <row r="4014" spans="6:6" x14ac:dyDescent="0.35">
      <c r="F4014"/>
    </row>
    <row r="4015" spans="6:6" x14ac:dyDescent="0.35">
      <c r="F4015"/>
    </row>
    <row r="4016" spans="6:6" x14ac:dyDescent="0.35">
      <c r="F4016"/>
    </row>
    <row r="4017" spans="6:6" x14ac:dyDescent="0.35">
      <c r="F4017"/>
    </row>
    <row r="4018" spans="6:6" x14ac:dyDescent="0.35">
      <c r="F4018"/>
    </row>
    <row r="4019" spans="6:6" x14ac:dyDescent="0.35">
      <c r="F4019"/>
    </row>
    <row r="4020" spans="6:6" x14ac:dyDescent="0.35">
      <c r="F4020"/>
    </row>
    <row r="4021" spans="6:6" x14ac:dyDescent="0.35">
      <c r="F4021"/>
    </row>
    <row r="4022" spans="6:6" x14ac:dyDescent="0.35">
      <c r="F4022"/>
    </row>
    <row r="4023" spans="6:6" x14ac:dyDescent="0.35">
      <c r="F4023"/>
    </row>
    <row r="4024" spans="6:6" x14ac:dyDescent="0.35">
      <c r="F4024"/>
    </row>
    <row r="4025" spans="6:6" x14ac:dyDescent="0.35">
      <c r="F4025"/>
    </row>
    <row r="4026" spans="6:6" x14ac:dyDescent="0.35">
      <c r="F4026"/>
    </row>
    <row r="4027" spans="6:6" x14ac:dyDescent="0.35">
      <c r="F4027"/>
    </row>
    <row r="4028" spans="6:6" x14ac:dyDescent="0.35">
      <c r="F4028"/>
    </row>
    <row r="4029" spans="6:6" x14ac:dyDescent="0.35">
      <c r="F4029"/>
    </row>
    <row r="4030" spans="6:6" x14ac:dyDescent="0.35">
      <c r="F4030"/>
    </row>
    <row r="4031" spans="6:6" x14ac:dyDescent="0.35">
      <c r="F4031"/>
    </row>
    <row r="4032" spans="6:6" x14ac:dyDescent="0.35">
      <c r="F4032"/>
    </row>
    <row r="4033" spans="6:6" x14ac:dyDescent="0.35">
      <c r="F4033"/>
    </row>
    <row r="4034" spans="6:6" x14ac:dyDescent="0.35">
      <c r="F4034"/>
    </row>
    <row r="4035" spans="6:6" x14ac:dyDescent="0.35">
      <c r="F4035"/>
    </row>
    <row r="4036" spans="6:6" x14ac:dyDescent="0.35">
      <c r="F4036"/>
    </row>
    <row r="4037" spans="6:6" x14ac:dyDescent="0.35">
      <c r="F4037"/>
    </row>
    <row r="4038" spans="6:6" x14ac:dyDescent="0.35">
      <c r="F4038"/>
    </row>
    <row r="4039" spans="6:6" x14ac:dyDescent="0.35">
      <c r="F4039"/>
    </row>
    <row r="4040" spans="6:6" x14ac:dyDescent="0.35">
      <c r="F4040"/>
    </row>
    <row r="4041" spans="6:6" x14ac:dyDescent="0.35">
      <c r="F4041"/>
    </row>
    <row r="4042" spans="6:6" x14ac:dyDescent="0.35">
      <c r="F4042"/>
    </row>
    <row r="4043" spans="6:6" x14ac:dyDescent="0.35">
      <c r="F4043"/>
    </row>
    <row r="4044" spans="6:6" x14ac:dyDescent="0.35">
      <c r="F4044"/>
    </row>
    <row r="4045" spans="6:6" x14ac:dyDescent="0.35">
      <c r="F4045"/>
    </row>
    <row r="4046" spans="6:6" x14ac:dyDescent="0.35">
      <c r="F4046"/>
    </row>
    <row r="4047" spans="6:6" x14ac:dyDescent="0.35">
      <c r="F4047"/>
    </row>
    <row r="4048" spans="6:6" x14ac:dyDescent="0.35">
      <c r="F4048"/>
    </row>
    <row r="4049" spans="6:6" x14ac:dyDescent="0.35">
      <c r="F4049"/>
    </row>
    <row r="4050" spans="6:6" x14ac:dyDescent="0.35">
      <c r="F4050"/>
    </row>
    <row r="4051" spans="6:6" x14ac:dyDescent="0.35">
      <c r="F4051"/>
    </row>
    <row r="4052" spans="6:6" x14ac:dyDescent="0.35">
      <c r="F4052"/>
    </row>
    <row r="4053" spans="6:6" x14ac:dyDescent="0.35">
      <c r="F4053"/>
    </row>
    <row r="4054" spans="6:6" x14ac:dyDescent="0.35">
      <c r="F4054"/>
    </row>
    <row r="4055" spans="6:6" x14ac:dyDescent="0.35">
      <c r="F4055"/>
    </row>
    <row r="4056" spans="6:6" x14ac:dyDescent="0.35">
      <c r="F4056"/>
    </row>
    <row r="4057" spans="6:6" x14ac:dyDescent="0.35">
      <c r="F4057"/>
    </row>
    <row r="4058" spans="6:6" x14ac:dyDescent="0.35">
      <c r="F4058"/>
    </row>
    <row r="4059" spans="6:6" x14ac:dyDescent="0.35">
      <c r="F4059"/>
    </row>
    <row r="4060" spans="6:6" x14ac:dyDescent="0.35">
      <c r="F4060"/>
    </row>
    <row r="4061" spans="6:6" x14ac:dyDescent="0.35">
      <c r="F4061"/>
    </row>
    <row r="4062" spans="6:6" x14ac:dyDescent="0.35">
      <c r="F4062"/>
    </row>
    <row r="4063" spans="6:6" x14ac:dyDescent="0.35">
      <c r="F4063"/>
    </row>
    <row r="4064" spans="6:6" x14ac:dyDescent="0.35">
      <c r="F4064"/>
    </row>
    <row r="4065" spans="6:6" x14ac:dyDescent="0.35">
      <c r="F4065"/>
    </row>
    <row r="4066" spans="6:6" x14ac:dyDescent="0.35">
      <c r="F4066"/>
    </row>
    <row r="4067" spans="6:6" x14ac:dyDescent="0.35">
      <c r="F4067"/>
    </row>
    <row r="4068" spans="6:6" x14ac:dyDescent="0.35">
      <c r="F4068"/>
    </row>
    <row r="4069" spans="6:6" x14ac:dyDescent="0.35">
      <c r="F4069"/>
    </row>
    <row r="4070" spans="6:6" x14ac:dyDescent="0.35">
      <c r="F4070"/>
    </row>
    <row r="4071" spans="6:6" x14ac:dyDescent="0.35">
      <c r="F4071"/>
    </row>
    <row r="4072" spans="6:6" x14ac:dyDescent="0.35">
      <c r="F4072"/>
    </row>
    <row r="4073" spans="6:6" x14ac:dyDescent="0.35">
      <c r="F4073"/>
    </row>
    <row r="4074" spans="6:6" x14ac:dyDescent="0.35">
      <c r="F4074"/>
    </row>
    <row r="4075" spans="6:6" x14ac:dyDescent="0.35">
      <c r="F4075"/>
    </row>
    <row r="4076" spans="6:6" x14ac:dyDescent="0.35">
      <c r="F4076"/>
    </row>
    <row r="4077" spans="6:6" x14ac:dyDescent="0.35">
      <c r="F4077"/>
    </row>
    <row r="4078" spans="6:6" x14ac:dyDescent="0.35">
      <c r="F4078"/>
    </row>
    <row r="4079" spans="6:6" x14ac:dyDescent="0.35">
      <c r="F4079"/>
    </row>
    <row r="4080" spans="6:6" x14ac:dyDescent="0.35">
      <c r="F4080"/>
    </row>
    <row r="4081" spans="6:6" x14ac:dyDescent="0.35">
      <c r="F4081"/>
    </row>
    <row r="4082" spans="6:6" x14ac:dyDescent="0.35">
      <c r="F4082"/>
    </row>
    <row r="4083" spans="6:6" x14ac:dyDescent="0.35">
      <c r="F4083"/>
    </row>
    <row r="4084" spans="6:6" x14ac:dyDescent="0.35">
      <c r="F4084"/>
    </row>
    <row r="4085" spans="6:6" x14ac:dyDescent="0.35">
      <c r="F4085"/>
    </row>
    <row r="4086" spans="6:6" x14ac:dyDescent="0.35">
      <c r="F4086"/>
    </row>
    <row r="4087" spans="6:6" x14ac:dyDescent="0.35">
      <c r="F4087"/>
    </row>
    <row r="4088" spans="6:6" x14ac:dyDescent="0.35">
      <c r="F4088"/>
    </row>
    <row r="4089" spans="6:6" x14ac:dyDescent="0.35">
      <c r="F4089"/>
    </row>
    <row r="4090" spans="6:6" x14ac:dyDescent="0.35">
      <c r="F4090"/>
    </row>
    <row r="4091" spans="6:6" x14ac:dyDescent="0.35">
      <c r="F4091"/>
    </row>
    <row r="4092" spans="6:6" x14ac:dyDescent="0.35">
      <c r="F4092"/>
    </row>
    <row r="4093" spans="6:6" x14ac:dyDescent="0.35">
      <c r="F4093"/>
    </row>
    <row r="4094" spans="6:6" x14ac:dyDescent="0.35">
      <c r="F4094"/>
    </row>
    <row r="4095" spans="6:6" x14ac:dyDescent="0.35">
      <c r="F4095"/>
    </row>
    <row r="4096" spans="6:6" x14ac:dyDescent="0.35">
      <c r="F4096"/>
    </row>
    <row r="4097" spans="6:6" x14ac:dyDescent="0.35">
      <c r="F4097"/>
    </row>
    <row r="4098" spans="6:6" x14ac:dyDescent="0.35">
      <c r="F4098"/>
    </row>
    <row r="4099" spans="6:6" x14ac:dyDescent="0.35">
      <c r="F4099"/>
    </row>
    <row r="4100" spans="6:6" x14ac:dyDescent="0.35">
      <c r="F4100"/>
    </row>
    <row r="4101" spans="6:6" x14ac:dyDescent="0.35">
      <c r="F4101"/>
    </row>
    <row r="4102" spans="6:6" x14ac:dyDescent="0.35">
      <c r="F4102"/>
    </row>
    <row r="4103" spans="6:6" x14ac:dyDescent="0.35">
      <c r="F4103"/>
    </row>
    <row r="4104" spans="6:6" x14ac:dyDescent="0.35">
      <c r="F4104"/>
    </row>
    <row r="4105" spans="6:6" x14ac:dyDescent="0.35">
      <c r="F4105"/>
    </row>
    <row r="4106" spans="6:6" x14ac:dyDescent="0.35">
      <c r="F4106"/>
    </row>
    <row r="4107" spans="6:6" x14ac:dyDescent="0.35">
      <c r="F4107"/>
    </row>
    <row r="4108" spans="6:6" x14ac:dyDescent="0.35">
      <c r="F4108"/>
    </row>
    <row r="4109" spans="6:6" x14ac:dyDescent="0.35">
      <c r="F4109"/>
    </row>
    <row r="4110" spans="6:6" x14ac:dyDescent="0.35">
      <c r="F4110"/>
    </row>
    <row r="4111" spans="6:6" x14ac:dyDescent="0.35">
      <c r="F4111"/>
    </row>
    <row r="4112" spans="6:6" x14ac:dyDescent="0.35">
      <c r="F4112"/>
    </row>
    <row r="4113" spans="6:6" x14ac:dyDescent="0.35">
      <c r="F4113"/>
    </row>
    <row r="4114" spans="6:6" x14ac:dyDescent="0.35">
      <c r="F4114"/>
    </row>
    <row r="4115" spans="6:6" x14ac:dyDescent="0.35">
      <c r="F4115"/>
    </row>
    <row r="4116" spans="6:6" x14ac:dyDescent="0.35">
      <c r="F4116"/>
    </row>
    <row r="4117" spans="6:6" x14ac:dyDescent="0.35">
      <c r="F4117"/>
    </row>
    <row r="4118" spans="6:6" x14ac:dyDescent="0.35">
      <c r="F4118"/>
    </row>
    <row r="4119" spans="6:6" x14ac:dyDescent="0.35">
      <c r="F4119"/>
    </row>
    <row r="4120" spans="6:6" x14ac:dyDescent="0.35">
      <c r="F4120"/>
    </row>
    <row r="4121" spans="6:6" x14ac:dyDescent="0.35">
      <c r="F4121"/>
    </row>
    <row r="4122" spans="6:6" x14ac:dyDescent="0.35">
      <c r="F4122"/>
    </row>
    <row r="4123" spans="6:6" x14ac:dyDescent="0.35">
      <c r="F4123"/>
    </row>
    <row r="4124" spans="6:6" x14ac:dyDescent="0.35">
      <c r="F4124"/>
    </row>
    <row r="4125" spans="6:6" x14ac:dyDescent="0.35">
      <c r="F4125"/>
    </row>
    <row r="4126" spans="6:6" x14ac:dyDescent="0.35">
      <c r="F4126"/>
    </row>
    <row r="4127" spans="6:6" x14ac:dyDescent="0.35">
      <c r="F4127"/>
    </row>
    <row r="4128" spans="6:6" x14ac:dyDescent="0.35">
      <c r="F4128"/>
    </row>
    <row r="4129" spans="6:6" x14ac:dyDescent="0.35">
      <c r="F4129"/>
    </row>
    <row r="4130" spans="6:6" x14ac:dyDescent="0.35">
      <c r="F4130"/>
    </row>
    <row r="4131" spans="6:6" x14ac:dyDescent="0.35">
      <c r="F4131"/>
    </row>
    <row r="4132" spans="6:6" x14ac:dyDescent="0.35">
      <c r="F4132"/>
    </row>
    <row r="4133" spans="6:6" x14ac:dyDescent="0.35">
      <c r="F4133"/>
    </row>
    <row r="4134" spans="6:6" x14ac:dyDescent="0.35">
      <c r="F4134"/>
    </row>
    <row r="4135" spans="6:6" x14ac:dyDescent="0.35">
      <c r="F4135"/>
    </row>
    <row r="4136" spans="6:6" x14ac:dyDescent="0.35">
      <c r="F4136"/>
    </row>
    <row r="4137" spans="6:6" x14ac:dyDescent="0.35">
      <c r="F4137"/>
    </row>
    <row r="4138" spans="6:6" x14ac:dyDescent="0.35">
      <c r="F4138"/>
    </row>
    <row r="4139" spans="6:6" x14ac:dyDescent="0.35">
      <c r="F4139"/>
    </row>
    <row r="4140" spans="6:6" x14ac:dyDescent="0.35">
      <c r="F4140"/>
    </row>
    <row r="4141" spans="6:6" x14ac:dyDescent="0.35">
      <c r="F4141"/>
    </row>
    <row r="4142" spans="6:6" x14ac:dyDescent="0.35">
      <c r="F4142"/>
    </row>
    <row r="4143" spans="6:6" x14ac:dyDescent="0.35">
      <c r="F4143"/>
    </row>
    <row r="4144" spans="6:6" x14ac:dyDescent="0.35">
      <c r="F4144"/>
    </row>
    <row r="4145" spans="6:6" x14ac:dyDescent="0.35">
      <c r="F4145"/>
    </row>
    <row r="4146" spans="6:6" x14ac:dyDescent="0.35">
      <c r="F4146"/>
    </row>
    <row r="4147" spans="6:6" x14ac:dyDescent="0.35">
      <c r="F4147"/>
    </row>
    <row r="4148" spans="6:6" x14ac:dyDescent="0.35">
      <c r="F4148"/>
    </row>
    <row r="4149" spans="6:6" x14ac:dyDescent="0.35">
      <c r="F4149"/>
    </row>
    <row r="4150" spans="6:6" x14ac:dyDescent="0.35">
      <c r="F4150"/>
    </row>
    <row r="4151" spans="6:6" x14ac:dyDescent="0.35">
      <c r="F4151"/>
    </row>
    <row r="4152" spans="6:6" x14ac:dyDescent="0.35">
      <c r="F4152"/>
    </row>
    <row r="4153" spans="6:6" x14ac:dyDescent="0.35">
      <c r="F4153"/>
    </row>
    <row r="4154" spans="6:6" x14ac:dyDescent="0.35">
      <c r="F4154"/>
    </row>
    <row r="4155" spans="6:6" x14ac:dyDescent="0.35">
      <c r="F4155"/>
    </row>
    <row r="4156" spans="6:6" x14ac:dyDescent="0.35">
      <c r="F4156"/>
    </row>
    <row r="4157" spans="6:6" x14ac:dyDescent="0.35">
      <c r="F4157"/>
    </row>
    <row r="4158" spans="6:6" x14ac:dyDescent="0.35">
      <c r="F4158"/>
    </row>
    <row r="4159" spans="6:6" x14ac:dyDescent="0.35">
      <c r="F4159"/>
    </row>
    <row r="4160" spans="6:6" x14ac:dyDescent="0.35">
      <c r="F4160"/>
    </row>
    <row r="4161" spans="6:6" x14ac:dyDescent="0.35">
      <c r="F4161"/>
    </row>
    <row r="4162" spans="6:6" x14ac:dyDescent="0.35">
      <c r="F4162"/>
    </row>
    <row r="4163" spans="6:6" x14ac:dyDescent="0.35">
      <c r="F4163"/>
    </row>
    <row r="4164" spans="6:6" x14ac:dyDescent="0.35">
      <c r="F4164"/>
    </row>
    <row r="4165" spans="6:6" x14ac:dyDescent="0.35">
      <c r="F4165"/>
    </row>
    <row r="4166" spans="6:6" x14ac:dyDescent="0.35">
      <c r="F4166"/>
    </row>
    <row r="4167" spans="6:6" x14ac:dyDescent="0.35">
      <c r="F4167"/>
    </row>
    <row r="4168" spans="6:6" x14ac:dyDescent="0.35">
      <c r="F4168"/>
    </row>
    <row r="4169" spans="6:6" x14ac:dyDescent="0.35">
      <c r="F4169"/>
    </row>
    <row r="4170" spans="6:6" x14ac:dyDescent="0.35">
      <c r="F4170"/>
    </row>
    <row r="4171" spans="6:6" x14ac:dyDescent="0.35">
      <c r="F4171"/>
    </row>
    <row r="4172" spans="6:6" x14ac:dyDescent="0.35">
      <c r="F4172"/>
    </row>
    <row r="4173" spans="6:6" x14ac:dyDescent="0.35">
      <c r="F4173"/>
    </row>
    <row r="4174" spans="6:6" x14ac:dyDescent="0.35">
      <c r="F4174"/>
    </row>
    <row r="4175" spans="6:6" x14ac:dyDescent="0.35">
      <c r="F4175"/>
    </row>
    <row r="4176" spans="6:6" x14ac:dyDescent="0.35">
      <c r="F4176"/>
    </row>
    <row r="4177" spans="6:6" x14ac:dyDescent="0.35">
      <c r="F4177"/>
    </row>
    <row r="4178" spans="6:6" x14ac:dyDescent="0.35">
      <c r="F4178"/>
    </row>
    <row r="4179" spans="6:6" x14ac:dyDescent="0.35">
      <c r="F4179"/>
    </row>
    <row r="4180" spans="6:6" x14ac:dyDescent="0.35">
      <c r="F4180"/>
    </row>
    <row r="4181" spans="6:6" x14ac:dyDescent="0.35">
      <c r="F4181"/>
    </row>
    <row r="4182" spans="6:6" x14ac:dyDescent="0.35">
      <c r="F4182"/>
    </row>
    <row r="4183" spans="6:6" x14ac:dyDescent="0.35">
      <c r="F4183"/>
    </row>
    <row r="4184" spans="6:6" x14ac:dyDescent="0.35">
      <c r="F4184"/>
    </row>
    <row r="4185" spans="6:6" x14ac:dyDescent="0.35">
      <c r="F4185"/>
    </row>
    <row r="4186" spans="6:6" x14ac:dyDescent="0.35">
      <c r="F4186"/>
    </row>
    <row r="4187" spans="6:6" x14ac:dyDescent="0.35">
      <c r="F4187"/>
    </row>
    <row r="4188" spans="6:6" x14ac:dyDescent="0.35">
      <c r="F4188"/>
    </row>
    <row r="4189" spans="6:6" x14ac:dyDescent="0.35">
      <c r="F4189"/>
    </row>
    <row r="4190" spans="6:6" x14ac:dyDescent="0.35">
      <c r="F4190"/>
    </row>
    <row r="4191" spans="6:6" x14ac:dyDescent="0.35">
      <c r="F4191"/>
    </row>
    <row r="4192" spans="6:6" x14ac:dyDescent="0.35">
      <c r="F4192"/>
    </row>
    <row r="4193" spans="6:6" x14ac:dyDescent="0.35">
      <c r="F4193"/>
    </row>
    <row r="4194" spans="6:6" x14ac:dyDescent="0.35">
      <c r="F4194"/>
    </row>
    <row r="4195" spans="6:6" x14ac:dyDescent="0.35">
      <c r="F4195"/>
    </row>
    <row r="4196" spans="6:6" x14ac:dyDescent="0.35">
      <c r="F4196"/>
    </row>
    <row r="4197" spans="6:6" x14ac:dyDescent="0.35">
      <c r="F4197"/>
    </row>
    <row r="4198" spans="6:6" x14ac:dyDescent="0.35">
      <c r="F4198"/>
    </row>
    <row r="4199" spans="6:6" x14ac:dyDescent="0.35">
      <c r="F4199"/>
    </row>
    <row r="4200" spans="6:6" x14ac:dyDescent="0.35">
      <c r="F4200"/>
    </row>
    <row r="4201" spans="6:6" x14ac:dyDescent="0.35">
      <c r="F4201"/>
    </row>
    <row r="4202" spans="6:6" x14ac:dyDescent="0.35">
      <c r="F4202"/>
    </row>
    <row r="4203" spans="6:6" x14ac:dyDescent="0.35">
      <c r="F4203"/>
    </row>
    <row r="4204" spans="6:6" x14ac:dyDescent="0.35">
      <c r="F4204"/>
    </row>
    <row r="4205" spans="6:6" x14ac:dyDescent="0.35">
      <c r="F4205"/>
    </row>
    <row r="4206" spans="6:6" x14ac:dyDescent="0.35">
      <c r="F4206"/>
    </row>
    <row r="4207" spans="6:6" x14ac:dyDescent="0.35">
      <c r="F4207"/>
    </row>
    <row r="4208" spans="6:6" x14ac:dyDescent="0.35">
      <c r="F4208"/>
    </row>
    <row r="4209" spans="6:6" x14ac:dyDescent="0.35">
      <c r="F4209"/>
    </row>
    <row r="4210" spans="6:6" x14ac:dyDescent="0.35">
      <c r="F4210"/>
    </row>
    <row r="4211" spans="6:6" x14ac:dyDescent="0.35">
      <c r="F4211"/>
    </row>
    <row r="4212" spans="6:6" x14ac:dyDescent="0.35">
      <c r="F4212"/>
    </row>
    <row r="4213" spans="6:6" x14ac:dyDescent="0.35">
      <c r="F4213"/>
    </row>
    <row r="4214" spans="6:6" x14ac:dyDescent="0.35">
      <c r="F4214"/>
    </row>
    <row r="4215" spans="6:6" x14ac:dyDescent="0.35">
      <c r="F4215"/>
    </row>
    <row r="4216" spans="6:6" x14ac:dyDescent="0.35">
      <c r="F4216"/>
    </row>
    <row r="4217" spans="6:6" x14ac:dyDescent="0.35">
      <c r="F4217"/>
    </row>
    <row r="4218" spans="6:6" x14ac:dyDescent="0.35">
      <c r="F4218"/>
    </row>
    <row r="4219" spans="6:6" x14ac:dyDescent="0.35">
      <c r="F4219"/>
    </row>
    <row r="4220" spans="6:6" x14ac:dyDescent="0.35">
      <c r="F4220"/>
    </row>
    <row r="4221" spans="6:6" x14ac:dyDescent="0.35">
      <c r="F4221"/>
    </row>
    <row r="4222" spans="6:6" x14ac:dyDescent="0.35">
      <c r="F4222"/>
    </row>
    <row r="4223" spans="6:6" x14ac:dyDescent="0.35">
      <c r="F4223"/>
    </row>
    <row r="4224" spans="6:6" x14ac:dyDescent="0.35">
      <c r="F4224"/>
    </row>
    <row r="4225" spans="6:6" x14ac:dyDescent="0.35">
      <c r="F4225"/>
    </row>
    <row r="4226" spans="6:6" x14ac:dyDescent="0.35">
      <c r="F4226"/>
    </row>
    <row r="4227" spans="6:6" x14ac:dyDescent="0.35">
      <c r="F4227"/>
    </row>
    <row r="4228" spans="6:6" x14ac:dyDescent="0.35">
      <c r="F4228"/>
    </row>
    <row r="4229" spans="6:6" x14ac:dyDescent="0.35">
      <c r="F4229"/>
    </row>
    <row r="4230" spans="6:6" x14ac:dyDescent="0.35">
      <c r="F4230"/>
    </row>
    <row r="4231" spans="6:6" x14ac:dyDescent="0.35">
      <c r="F4231"/>
    </row>
    <row r="4232" spans="6:6" x14ac:dyDescent="0.35">
      <c r="F4232"/>
    </row>
    <row r="4233" spans="6:6" x14ac:dyDescent="0.35">
      <c r="F4233"/>
    </row>
    <row r="4234" spans="6:6" x14ac:dyDescent="0.35">
      <c r="F4234"/>
    </row>
    <row r="4235" spans="6:6" x14ac:dyDescent="0.35">
      <c r="F4235"/>
    </row>
    <row r="4236" spans="6:6" x14ac:dyDescent="0.35">
      <c r="F4236"/>
    </row>
    <row r="4237" spans="6:6" x14ac:dyDescent="0.35">
      <c r="F4237"/>
    </row>
    <row r="4238" spans="6:6" x14ac:dyDescent="0.35">
      <c r="F4238"/>
    </row>
    <row r="4239" spans="6:6" x14ac:dyDescent="0.35">
      <c r="F4239"/>
    </row>
    <row r="4240" spans="6:6" x14ac:dyDescent="0.35">
      <c r="F4240"/>
    </row>
    <row r="4241" spans="6:6" x14ac:dyDescent="0.35">
      <c r="F4241"/>
    </row>
    <row r="4242" spans="6:6" x14ac:dyDescent="0.35">
      <c r="F4242"/>
    </row>
    <row r="4243" spans="6:6" x14ac:dyDescent="0.35">
      <c r="F4243"/>
    </row>
    <row r="4244" spans="6:6" x14ac:dyDescent="0.35">
      <c r="F4244"/>
    </row>
    <row r="4245" spans="6:6" x14ac:dyDescent="0.35">
      <c r="F4245"/>
    </row>
    <row r="4246" spans="6:6" x14ac:dyDescent="0.35">
      <c r="F4246"/>
    </row>
    <row r="4247" spans="6:6" x14ac:dyDescent="0.35">
      <c r="F4247"/>
    </row>
    <row r="4248" spans="6:6" x14ac:dyDescent="0.35">
      <c r="F4248"/>
    </row>
    <row r="4249" spans="6:6" x14ac:dyDescent="0.35">
      <c r="F4249"/>
    </row>
    <row r="4250" spans="6:6" x14ac:dyDescent="0.35">
      <c r="F4250"/>
    </row>
    <row r="4251" spans="6:6" x14ac:dyDescent="0.35">
      <c r="F4251"/>
    </row>
    <row r="4252" spans="6:6" x14ac:dyDescent="0.35">
      <c r="F4252"/>
    </row>
    <row r="4253" spans="6:6" x14ac:dyDescent="0.35">
      <c r="F4253"/>
    </row>
    <row r="4254" spans="6:6" x14ac:dyDescent="0.35">
      <c r="F4254"/>
    </row>
    <row r="4255" spans="6:6" x14ac:dyDescent="0.35">
      <c r="F4255"/>
    </row>
    <row r="4256" spans="6:6" x14ac:dyDescent="0.35">
      <c r="F4256"/>
    </row>
    <row r="4257" spans="6:6" x14ac:dyDescent="0.35">
      <c r="F4257"/>
    </row>
    <row r="4258" spans="6:6" x14ac:dyDescent="0.35">
      <c r="F4258"/>
    </row>
    <row r="4259" spans="6:6" x14ac:dyDescent="0.35">
      <c r="F4259"/>
    </row>
    <row r="4260" spans="6:6" x14ac:dyDescent="0.35">
      <c r="F4260"/>
    </row>
    <row r="4261" spans="6:6" x14ac:dyDescent="0.35">
      <c r="F4261"/>
    </row>
    <row r="4262" spans="6:6" x14ac:dyDescent="0.35">
      <c r="F4262"/>
    </row>
    <row r="4263" spans="6:6" x14ac:dyDescent="0.35">
      <c r="F4263"/>
    </row>
    <row r="4264" spans="6:6" x14ac:dyDescent="0.35">
      <c r="F4264"/>
    </row>
    <row r="4265" spans="6:6" x14ac:dyDescent="0.35">
      <c r="F4265"/>
    </row>
    <row r="4266" spans="6:6" x14ac:dyDescent="0.35">
      <c r="F4266"/>
    </row>
    <row r="4267" spans="6:6" x14ac:dyDescent="0.35">
      <c r="F4267"/>
    </row>
    <row r="4268" spans="6:6" x14ac:dyDescent="0.35">
      <c r="F4268"/>
    </row>
    <row r="4269" spans="6:6" x14ac:dyDescent="0.35">
      <c r="F4269"/>
    </row>
    <row r="4270" spans="6:6" x14ac:dyDescent="0.35">
      <c r="F4270"/>
    </row>
    <row r="4271" spans="6:6" x14ac:dyDescent="0.35">
      <c r="F4271"/>
    </row>
    <row r="4272" spans="6:6" x14ac:dyDescent="0.35">
      <c r="F4272"/>
    </row>
    <row r="4273" spans="6:6" x14ac:dyDescent="0.35">
      <c r="F4273"/>
    </row>
    <row r="4274" spans="6:6" x14ac:dyDescent="0.35">
      <c r="F4274"/>
    </row>
    <row r="4275" spans="6:6" x14ac:dyDescent="0.35">
      <c r="F4275"/>
    </row>
    <row r="4276" spans="6:6" x14ac:dyDescent="0.35">
      <c r="F4276"/>
    </row>
    <row r="4277" spans="6:6" x14ac:dyDescent="0.35">
      <c r="F4277"/>
    </row>
    <row r="4278" spans="6:6" x14ac:dyDescent="0.35">
      <c r="F4278"/>
    </row>
    <row r="4279" spans="6:6" x14ac:dyDescent="0.35">
      <c r="F4279"/>
    </row>
    <row r="4280" spans="6:6" x14ac:dyDescent="0.35">
      <c r="F4280"/>
    </row>
    <row r="4281" spans="6:6" x14ac:dyDescent="0.35">
      <c r="F4281"/>
    </row>
    <row r="4282" spans="6:6" x14ac:dyDescent="0.35">
      <c r="F4282"/>
    </row>
    <row r="4283" spans="6:6" x14ac:dyDescent="0.35">
      <c r="F4283"/>
    </row>
    <row r="4284" spans="6:6" x14ac:dyDescent="0.35">
      <c r="F4284"/>
    </row>
    <row r="4285" spans="6:6" x14ac:dyDescent="0.35">
      <c r="F4285"/>
    </row>
    <row r="4286" spans="6:6" x14ac:dyDescent="0.35">
      <c r="F4286"/>
    </row>
    <row r="4287" spans="6:6" x14ac:dyDescent="0.35">
      <c r="F4287"/>
    </row>
    <row r="4288" spans="6:6" x14ac:dyDescent="0.35">
      <c r="F4288"/>
    </row>
    <row r="4289" spans="6:6" x14ac:dyDescent="0.35">
      <c r="F4289"/>
    </row>
    <row r="4290" spans="6:6" x14ac:dyDescent="0.35">
      <c r="F4290"/>
    </row>
    <row r="4291" spans="6:6" x14ac:dyDescent="0.35">
      <c r="F4291"/>
    </row>
    <row r="4292" spans="6:6" x14ac:dyDescent="0.35">
      <c r="F4292"/>
    </row>
    <row r="4293" spans="6:6" x14ac:dyDescent="0.35">
      <c r="F4293"/>
    </row>
    <row r="4294" spans="6:6" x14ac:dyDescent="0.35">
      <c r="F4294"/>
    </row>
    <row r="4295" spans="6:6" x14ac:dyDescent="0.35">
      <c r="F4295"/>
    </row>
    <row r="4296" spans="6:6" x14ac:dyDescent="0.35">
      <c r="F4296"/>
    </row>
    <row r="4297" spans="6:6" x14ac:dyDescent="0.35">
      <c r="F4297"/>
    </row>
    <row r="4298" spans="6:6" x14ac:dyDescent="0.35">
      <c r="F4298"/>
    </row>
    <row r="4299" spans="6:6" x14ac:dyDescent="0.35">
      <c r="F4299"/>
    </row>
    <row r="4300" spans="6:6" x14ac:dyDescent="0.35">
      <c r="F4300"/>
    </row>
    <row r="4301" spans="6:6" x14ac:dyDescent="0.35">
      <c r="F4301"/>
    </row>
    <row r="4302" spans="6:6" x14ac:dyDescent="0.35">
      <c r="F4302"/>
    </row>
    <row r="4303" spans="6:6" x14ac:dyDescent="0.35">
      <c r="F4303"/>
    </row>
    <row r="4304" spans="6:6" x14ac:dyDescent="0.35">
      <c r="F4304"/>
    </row>
    <row r="4305" spans="6:6" x14ac:dyDescent="0.35">
      <c r="F4305"/>
    </row>
    <row r="4306" spans="6:6" x14ac:dyDescent="0.35">
      <c r="F4306"/>
    </row>
    <row r="4307" spans="6:6" x14ac:dyDescent="0.35">
      <c r="F4307"/>
    </row>
    <row r="4308" spans="6:6" x14ac:dyDescent="0.35">
      <c r="F4308"/>
    </row>
    <row r="4309" spans="6:6" x14ac:dyDescent="0.35">
      <c r="F4309"/>
    </row>
    <row r="4310" spans="6:6" x14ac:dyDescent="0.35">
      <c r="F4310"/>
    </row>
    <row r="4311" spans="6:6" x14ac:dyDescent="0.35">
      <c r="F4311"/>
    </row>
    <row r="4312" spans="6:6" x14ac:dyDescent="0.35">
      <c r="F4312"/>
    </row>
    <row r="4313" spans="6:6" x14ac:dyDescent="0.35">
      <c r="F4313"/>
    </row>
    <row r="4314" spans="6:6" x14ac:dyDescent="0.35">
      <c r="F4314"/>
    </row>
    <row r="4315" spans="6:6" x14ac:dyDescent="0.35">
      <c r="F4315"/>
    </row>
    <row r="4316" spans="6:6" x14ac:dyDescent="0.35">
      <c r="F4316"/>
    </row>
    <row r="4317" spans="6:6" x14ac:dyDescent="0.35">
      <c r="F4317"/>
    </row>
    <row r="4318" spans="6:6" x14ac:dyDescent="0.35">
      <c r="F4318"/>
    </row>
    <row r="4319" spans="6:6" x14ac:dyDescent="0.35">
      <c r="F4319"/>
    </row>
    <row r="4320" spans="6:6" x14ac:dyDescent="0.35">
      <c r="F4320"/>
    </row>
    <row r="4321" spans="6:6" x14ac:dyDescent="0.35">
      <c r="F4321"/>
    </row>
    <row r="4322" spans="6:6" x14ac:dyDescent="0.35">
      <c r="F4322"/>
    </row>
    <row r="4323" spans="6:6" x14ac:dyDescent="0.35">
      <c r="F4323"/>
    </row>
    <row r="4324" spans="6:6" x14ac:dyDescent="0.35">
      <c r="F4324"/>
    </row>
    <row r="4325" spans="6:6" x14ac:dyDescent="0.35">
      <c r="F4325"/>
    </row>
    <row r="4326" spans="6:6" x14ac:dyDescent="0.35">
      <c r="F4326"/>
    </row>
    <row r="4327" spans="6:6" x14ac:dyDescent="0.35">
      <c r="F4327"/>
    </row>
    <row r="4328" spans="6:6" x14ac:dyDescent="0.35">
      <c r="F4328"/>
    </row>
    <row r="4329" spans="6:6" x14ac:dyDescent="0.35">
      <c r="F4329"/>
    </row>
    <row r="4330" spans="6:6" x14ac:dyDescent="0.35">
      <c r="F4330"/>
    </row>
    <row r="4331" spans="6:6" x14ac:dyDescent="0.35">
      <c r="F4331"/>
    </row>
    <row r="4332" spans="6:6" x14ac:dyDescent="0.35">
      <c r="F4332"/>
    </row>
    <row r="4333" spans="6:6" x14ac:dyDescent="0.35">
      <c r="F4333"/>
    </row>
    <row r="4334" spans="6:6" x14ac:dyDescent="0.35">
      <c r="F4334"/>
    </row>
    <row r="4335" spans="6:6" x14ac:dyDescent="0.35">
      <c r="F4335"/>
    </row>
    <row r="4336" spans="6:6" x14ac:dyDescent="0.35">
      <c r="F4336"/>
    </row>
    <row r="4337" spans="6:6" x14ac:dyDescent="0.35">
      <c r="F4337"/>
    </row>
    <row r="4338" spans="6:6" x14ac:dyDescent="0.35">
      <c r="F4338"/>
    </row>
    <row r="4339" spans="6:6" x14ac:dyDescent="0.35">
      <c r="F4339"/>
    </row>
    <row r="4340" spans="6:6" x14ac:dyDescent="0.35">
      <c r="F4340"/>
    </row>
    <row r="4341" spans="6:6" x14ac:dyDescent="0.35">
      <c r="F4341"/>
    </row>
    <row r="4342" spans="6:6" x14ac:dyDescent="0.35">
      <c r="F4342"/>
    </row>
    <row r="4343" spans="6:6" x14ac:dyDescent="0.35">
      <c r="F4343"/>
    </row>
    <row r="4344" spans="6:6" x14ac:dyDescent="0.35">
      <c r="F4344"/>
    </row>
    <row r="4345" spans="6:6" x14ac:dyDescent="0.35">
      <c r="F4345"/>
    </row>
    <row r="4346" spans="6:6" x14ac:dyDescent="0.35">
      <c r="F4346"/>
    </row>
    <row r="4347" spans="6:6" x14ac:dyDescent="0.35">
      <c r="F4347"/>
    </row>
    <row r="4348" spans="6:6" x14ac:dyDescent="0.35">
      <c r="F4348"/>
    </row>
    <row r="4349" spans="6:6" x14ac:dyDescent="0.35">
      <c r="F4349"/>
    </row>
    <row r="4350" spans="6:6" x14ac:dyDescent="0.35">
      <c r="F4350"/>
    </row>
    <row r="4351" spans="6:6" x14ac:dyDescent="0.35">
      <c r="F4351"/>
    </row>
    <row r="4352" spans="6:6" x14ac:dyDescent="0.35">
      <c r="F4352"/>
    </row>
    <row r="4353" spans="6:6" x14ac:dyDescent="0.35">
      <c r="F4353"/>
    </row>
    <row r="4354" spans="6:6" x14ac:dyDescent="0.35">
      <c r="F4354"/>
    </row>
    <row r="4355" spans="6:6" x14ac:dyDescent="0.35">
      <c r="F4355"/>
    </row>
    <row r="4356" spans="6:6" x14ac:dyDescent="0.35">
      <c r="F4356"/>
    </row>
    <row r="4357" spans="6:6" x14ac:dyDescent="0.35">
      <c r="F4357"/>
    </row>
    <row r="4358" spans="6:6" x14ac:dyDescent="0.35">
      <c r="F4358"/>
    </row>
    <row r="4359" spans="6:6" x14ac:dyDescent="0.35">
      <c r="F4359"/>
    </row>
    <row r="4360" spans="6:6" x14ac:dyDescent="0.35">
      <c r="F4360"/>
    </row>
    <row r="4361" spans="6:6" x14ac:dyDescent="0.35">
      <c r="F4361"/>
    </row>
    <row r="4362" spans="6:6" x14ac:dyDescent="0.35">
      <c r="F4362"/>
    </row>
    <row r="4363" spans="6:6" x14ac:dyDescent="0.35">
      <c r="F4363"/>
    </row>
    <row r="4364" spans="6:6" x14ac:dyDescent="0.35">
      <c r="F4364"/>
    </row>
    <row r="4365" spans="6:6" x14ac:dyDescent="0.35">
      <c r="F4365"/>
    </row>
    <row r="4366" spans="6:6" x14ac:dyDescent="0.35">
      <c r="F4366"/>
    </row>
    <row r="4367" spans="6:6" x14ac:dyDescent="0.35">
      <c r="F4367"/>
    </row>
    <row r="4368" spans="6:6" x14ac:dyDescent="0.35">
      <c r="F4368"/>
    </row>
    <row r="4369" spans="6:6" x14ac:dyDescent="0.35">
      <c r="F4369"/>
    </row>
    <row r="4370" spans="6:6" x14ac:dyDescent="0.35">
      <c r="F4370"/>
    </row>
    <row r="4371" spans="6:6" x14ac:dyDescent="0.35">
      <c r="F4371"/>
    </row>
    <row r="4372" spans="6:6" x14ac:dyDescent="0.35">
      <c r="F4372"/>
    </row>
    <row r="4373" spans="6:6" x14ac:dyDescent="0.35">
      <c r="F4373"/>
    </row>
    <row r="4374" spans="6:6" x14ac:dyDescent="0.35">
      <c r="F4374"/>
    </row>
    <row r="4375" spans="6:6" x14ac:dyDescent="0.35">
      <c r="F4375"/>
    </row>
    <row r="4376" spans="6:6" x14ac:dyDescent="0.35">
      <c r="F4376"/>
    </row>
    <row r="4377" spans="6:6" x14ac:dyDescent="0.35">
      <c r="F4377"/>
    </row>
    <row r="4378" spans="6:6" x14ac:dyDescent="0.35">
      <c r="F4378"/>
    </row>
    <row r="4379" spans="6:6" x14ac:dyDescent="0.35">
      <c r="F4379"/>
    </row>
    <row r="4380" spans="6:6" x14ac:dyDescent="0.35">
      <c r="F4380"/>
    </row>
    <row r="4381" spans="6:6" x14ac:dyDescent="0.35">
      <c r="F4381"/>
    </row>
    <row r="4382" spans="6:6" x14ac:dyDescent="0.35">
      <c r="F4382"/>
    </row>
    <row r="4383" spans="6:6" x14ac:dyDescent="0.35">
      <c r="F4383"/>
    </row>
    <row r="4384" spans="6:6" x14ac:dyDescent="0.35">
      <c r="F4384"/>
    </row>
    <row r="4385" spans="6:6" x14ac:dyDescent="0.35">
      <c r="F4385"/>
    </row>
    <row r="4386" spans="6:6" x14ac:dyDescent="0.35">
      <c r="F4386"/>
    </row>
    <row r="4387" spans="6:6" x14ac:dyDescent="0.35">
      <c r="F4387"/>
    </row>
    <row r="4388" spans="6:6" x14ac:dyDescent="0.35">
      <c r="F4388"/>
    </row>
    <row r="4389" spans="6:6" x14ac:dyDescent="0.35">
      <c r="F4389"/>
    </row>
    <row r="4390" spans="6:6" x14ac:dyDescent="0.35">
      <c r="F4390"/>
    </row>
    <row r="4391" spans="6:6" x14ac:dyDescent="0.35">
      <c r="F4391"/>
    </row>
    <row r="4392" spans="6:6" x14ac:dyDescent="0.35">
      <c r="F4392"/>
    </row>
    <row r="4393" spans="6:6" x14ac:dyDescent="0.35">
      <c r="F4393"/>
    </row>
    <row r="4394" spans="6:6" x14ac:dyDescent="0.35">
      <c r="F4394"/>
    </row>
    <row r="4395" spans="6:6" x14ac:dyDescent="0.35">
      <c r="F4395"/>
    </row>
    <row r="4396" spans="6:6" x14ac:dyDescent="0.35">
      <c r="F4396"/>
    </row>
    <row r="4397" spans="6:6" x14ac:dyDescent="0.35">
      <c r="F4397"/>
    </row>
    <row r="4398" spans="6:6" x14ac:dyDescent="0.35">
      <c r="F4398"/>
    </row>
    <row r="4399" spans="6:6" x14ac:dyDescent="0.35">
      <c r="F4399"/>
    </row>
    <row r="4400" spans="6:6" x14ac:dyDescent="0.35">
      <c r="F4400"/>
    </row>
    <row r="4401" spans="6:6" x14ac:dyDescent="0.35">
      <c r="F4401"/>
    </row>
    <row r="4402" spans="6:6" x14ac:dyDescent="0.35">
      <c r="F4402"/>
    </row>
    <row r="4403" spans="6:6" x14ac:dyDescent="0.35">
      <c r="F4403"/>
    </row>
    <row r="4404" spans="6:6" x14ac:dyDescent="0.35">
      <c r="F4404"/>
    </row>
    <row r="4405" spans="6:6" x14ac:dyDescent="0.35">
      <c r="F4405"/>
    </row>
    <row r="4406" spans="6:6" x14ac:dyDescent="0.35">
      <c r="F4406"/>
    </row>
    <row r="4407" spans="6:6" x14ac:dyDescent="0.35">
      <c r="F4407"/>
    </row>
    <row r="4408" spans="6:6" x14ac:dyDescent="0.35">
      <c r="F4408"/>
    </row>
    <row r="4409" spans="6:6" x14ac:dyDescent="0.35">
      <c r="F4409"/>
    </row>
    <row r="4410" spans="6:6" x14ac:dyDescent="0.35">
      <c r="F4410"/>
    </row>
    <row r="4411" spans="6:6" x14ac:dyDescent="0.35">
      <c r="F4411"/>
    </row>
    <row r="4412" spans="6:6" x14ac:dyDescent="0.35">
      <c r="F4412"/>
    </row>
    <row r="4413" spans="6:6" x14ac:dyDescent="0.35">
      <c r="F4413"/>
    </row>
    <row r="4414" spans="6:6" x14ac:dyDescent="0.35">
      <c r="F4414"/>
    </row>
    <row r="4415" spans="6:6" x14ac:dyDescent="0.35">
      <c r="F4415"/>
    </row>
    <row r="4416" spans="6:6" x14ac:dyDescent="0.35">
      <c r="F4416"/>
    </row>
    <row r="4417" spans="6:6" x14ac:dyDescent="0.35">
      <c r="F4417"/>
    </row>
    <row r="4418" spans="6:6" x14ac:dyDescent="0.35">
      <c r="F4418"/>
    </row>
    <row r="4419" spans="6:6" x14ac:dyDescent="0.35">
      <c r="F4419"/>
    </row>
    <row r="4420" spans="6:6" x14ac:dyDescent="0.35">
      <c r="F4420"/>
    </row>
    <row r="4421" spans="6:6" x14ac:dyDescent="0.35">
      <c r="F4421"/>
    </row>
    <row r="4422" spans="6:6" x14ac:dyDescent="0.35">
      <c r="F4422"/>
    </row>
    <row r="4423" spans="6:6" x14ac:dyDescent="0.35">
      <c r="F4423"/>
    </row>
    <row r="4424" spans="6:6" x14ac:dyDescent="0.35">
      <c r="F4424"/>
    </row>
    <row r="4425" spans="6:6" x14ac:dyDescent="0.35">
      <c r="F4425"/>
    </row>
    <row r="4426" spans="6:6" x14ac:dyDescent="0.35">
      <c r="F4426"/>
    </row>
    <row r="4427" spans="6:6" x14ac:dyDescent="0.35">
      <c r="F4427"/>
    </row>
    <row r="4428" spans="6:6" x14ac:dyDescent="0.35">
      <c r="F4428"/>
    </row>
    <row r="4429" spans="6:6" x14ac:dyDescent="0.35">
      <c r="F4429"/>
    </row>
    <row r="4430" spans="6:6" x14ac:dyDescent="0.35">
      <c r="F4430"/>
    </row>
    <row r="4431" spans="6:6" x14ac:dyDescent="0.35">
      <c r="F4431"/>
    </row>
    <row r="4432" spans="6:6" x14ac:dyDescent="0.35">
      <c r="F4432"/>
    </row>
    <row r="4433" spans="6:6" x14ac:dyDescent="0.35">
      <c r="F4433"/>
    </row>
    <row r="4434" spans="6:6" x14ac:dyDescent="0.35">
      <c r="F4434"/>
    </row>
    <row r="4435" spans="6:6" x14ac:dyDescent="0.35">
      <c r="F4435"/>
    </row>
    <row r="4436" spans="6:6" x14ac:dyDescent="0.35">
      <c r="F4436"/>
    </row>
    <row r="4437" spans="6:6" x14ac:dyDescent="0.35">
      <c r="F4437"/>
    </row>
    <row r="4438" spans="6:6" x14ac:dyDescent="0.35">
      <c r="F4438"/>
    </row>
    <row r="4439" spans="6:6" x14ac:dyDescent="0.35">
      <c r="F4439"/>
    </row>
    <row r="4440" spans="6:6" x14ac:dyDescent="0.35">
      <c r="F4440"/>
    </row>
    <row r="4441" spans="6:6" x14ac:dyDescent="0.35">
      <c r="F4441"/>
    </row>
    <row r="4442" spans="6:6" x14ac:dyDescent="0.35">
      <c r="F4442"/>
    </row>
    <row r="4443" spans="6:6" x14ac:dyDescent="0.35">
      <c r="F4443"/>
    </row>
    <row r="4444" spans="6:6" x14ac:dyDescent="0.35">
      <c r="F4444"/>
    </row>
    <row r="4445" spans="6:6" x14ac:dyDescent="0.35">
      <c r="F4445"/>
    </row>
    <row r="4446" spans="6:6" x14ac:dyDescent="0.35">
      <c r="F4446"/>
    </row>
    <row r="4447" spans="6:6" x14ac:dyDescent="0.35">
      <c r="F4447"/>
    </row>
    <row r="4448" spans="6:6" x14ac:dyDescent="0.35">
      <c r="F4448"/>
    </row>
    <row r="4449" spans="6:6" x14ac:dyDescent="0.35">
      <c r="F4449"/>
    </row>
    <row r="4450" spans="6:6" x14ac:dyDescent="0.35">
      <c r="F4450"/>
    </row>
    <row r="4451" spans="6:6" x14ac:dyDescent="0.35">
      <c r="F4451"/>
    </row>
    <row r="4452" spans="6:6" x14ac:dyDescent="0.35">
      <c r="F4452"/>
    </row>
    <row r="4453" spans="6:6" x14ac:dyDescent="0.35">
      <c r="F4453"/>
    </row>
    <row r="4454" spans="6:6" x14ac:dyDescent="0.35">
      <c r="F4454"/>
    </row>
    <row r="4455" spans="6:6" x14ac:dyDescent="0.35">
      <c r="F4455"/>
    </row>
    <row r="4456" spans="6:6" x14ac:dyDescent="0.35">
      <c r="F4456"/>
    </row>
    <row r="4457" spans="6:6" x14ac:dyDescent="0.35">
      <c r="F4457"/>
    </row>
    <row r="4458" spans="6:6" x14ac:dyDescent="0.35">
      <c r="F4458"/>
    </row>
    <row r="4459" spans="6:6" x14ac:dyDescent="0.35">
      <c r="F4459"/>
    </row>
    <row r="4460" spans="6:6" x14ac:dyDescent="0.35">
      <c r="F4460"/>
    </row>
    <row r="4461" spans="6:6" x14ac:dyDescent="0.35">
      <c r="F4461"/>
    </row>
    <row r="4462" spans="6:6" x14ac:dyDescent="0.35">
      <c r="F4462"/>
    </row>
    <row r="4463" spans="6:6" x14ac:dyDescent="0.35">
      <c r="F4463"/>
    </row>
    <row r="4464" spans="6:6" x14ac:dyDescent="0.35">
      <c r="F4464"/>
    </row>
    <row r="4465" spans="6:6" x14ac:dyDescent="0.35">
      <c r="F4465"/>
    </row>
    <row r="4466" spans="6:6" x14ac:dyDescent="0.35">
      <c r="F4466"/>
    </row>
    <row r="4467" spans="6:6" x14ac:dyDescent="0.35">
      <c r="F4467"/>
    </row>
    <row r="4468" spans="6:6" x14ac:dyDescent="0.35">
      <c r="F4468"/>
    </row>
    <row r="4469" spans="6:6" x14ac:dyDescent="0.35">
      <c r="F4469"/>
    </row>
    <row r="4470" spans="6:6" x14ac:dyDescent="0.35">
      <c r="F4470"/>
    </row>
    <row r="4471" spans="6:6" x14ac:dyDescent="0.35">
      <c r="F4471"/>
    </row>
    <row r="4472" spans="6:6" x14ac:dyDescent="0.35">
      <c r="F4472"/>
    </row>
    <row r="4473" spans="6:6" x14ac:dyDescent="0.35">
      <c r="F4473"/>
    </row>
    <row r="4474" spans="6:6" x14ac:dyDescent="0.35">
      <c r="F4474"/>
    </row>
    <row r="4475" spans="6:6" x14ac:dyDescent="0.35">
      <c r="F4475"/>
    </row>
    <row r="4476" spans="6:6" x14ac:dyDescent="0.35">
      <c r="F4476"/>
    </row>
    <row r="4477" spans="6:6" x14ac:dyDescent="0.35">
      <c r="F4477"/>
    </row>
    <row r="4478" spans="6:6" x14ac:dyDescent="0.35">
      <c r="F4478"/>
    </row>
    <row r="4479" spans="6:6" x14ac:dyDescent="0.35">
      <c r="F4479"/>
    </row>
    <row r="4480" spans="6:6" x14ac:dyDescent="0.35">
      <c r="F4480"/>
    </row>
    <row r="4481" spans="6:6" x14ac:dyDescent="0.35">
      <c r="F4481"/>
    </row>
    <row r="4482" spans="6:6" x14ac:dyDescent="0.35">
      <c r="F4482"/>
    </row>
    <row r="4483" spans="6:6" x14ac:dyDescent="0.35">
      <c r="F4483"/>
    </row>
    <row r="4484" spans="6:6" x14ac:dyDescent="0.35">
      <c r="F4484"/>
    </row>
    <row r="4485" spans="6:6" x14ac:dyDescent="0.35">
      <c r="F4485"/>
    </row>
    <row r="4486" spans="6:6" x14ac:dyDescent="0.35">
      <c r="F4486"/>
    </row>
    <row r="4487" spans="6:6" x14ac:dyDescent="0.35">
      <c r="F4487"/>
    </row>
    <row r="4488" spans="6:6" x14ac:dyDescent="0.35">
      <c r="F4488"/>
    </row>
    <row r="4489" spans="6:6" x14ac:dyDescent="0.35">
      <c r="F4489"/>
    </row>
    <row r="4490" spans="6:6" x14ac:dyDescent="0.35">
      <c r="F4490"/>
    </row>
    <row r="4491" spans="6:6" x14ac:dyDescent="0.35">
      <c r="F4491"/>
    </row>
    <row r="4492" spans="6:6" x14ac:dyDescent="0.35">
      <c r="F4492"/>
    </row>
    <row r="4493" spans="6:6" x14ac:dyDescent="0.35">
      <c r="F4493"/>
    </row>
    <row r="4494" spans="6:6" x14ac:dyDescent="0.35">
      <c r="F4494"/>
    </row>
    <row r="4495" spans="6:6" x14ac:dyDescent="0.35">
      <c r="F4495"/>
    </row>
    <row r="4496" spans="6:6" x14ac:dyDescent="0.35">
      <c r="F4496"/>
    </row>
    <row r="4497" spans="6:6" x14ac:dyDescent="0.35">
      <c r="F4497"/>
    </row>
    <row r="4498" spans="6:6" x14ac:dyDescent="0.35">
      <c r="F4498"/>
    </row>
    <row r="4499" spans="6:6" x14ac:dyDescent="0.35">
      <c r="F4499"/>
    </row>
    <row r="4500" spans="6:6" x14ac:dyDescent="0.35">
      <c r="F4500"/>
    </row>
    <row r="4501" spans="6:6" x14ac:dyDescent="0.35">
      <c r="F4501"/>
    </row>
    <row r="4502" spans="6:6" x14ac:dyDescent="0.35">
      <c r="F4502"/>
    </row>
    <row r="4503" spans="6:6" x14ac:dyDescent="0.35">
      <c r="F4503"/>
    </row>
    <row r="4504" spans="6:6" x14ac:dyDescent="0.35">
      <c r="F4504"/>
    </row>
    <row r="4505" spans="6:6" x14ac:dyDescent="0.35">
      <c r="F4505"/>
    </row>
    <row r="4506" spans="6:6" x14ac:dyDescent="0.35">
      <c r="F4506"/>
    </row>
    <row r="4507" spans="6:6" x14ac:dyDescent="0.35">
      <c r="F4507"/>
    </row>
    <row r="4508" spans="6:6" x14ac:dyDescent="0.35">
      <c r="F4508"/>
    </row>
    <row r="4509" spans="6:6" x14ac:dyDescent="0.35">
      <c r="F4509"/>
    </row>
    <row r="4510" spans="6:6" x14ac:dyDescent="0.35">
      <c r="F4510"/>
    </row>
    <row r="4511" spans="6:6" x14ac:dyDescent="0.35">
      <c r="F4511"/>
    </row>
    <row r="4512" spans="6:6" x14ac:dyDescent="0.35">
      <c r="F4512"/>
    </row>
    <row r="4513" spans="6:6" x14ac:dyDescent="0.35">
      <c r="F4513"/>
    </row>
    <row r="4514" spans="6:6" x14ac:dyDescent="0.35">
      <c r="F4514"/>
    </row>
    <row r="4515" spans="6:6" x14ac:dyDescent="0.35">
      <c r="F4515"/>
    </row>
    <row r="4516" spans="6:6" x14ac:dyDescent="0.35">
      <c r="F4516"/>
    </row>
    <row r="4517" spans="6:6" x14ac:dyDescent="0.35">
      <c r="F4517"/>
    </row>
    <row r="4518" spans="6:6" x14ac:dyDescent="0.35">
      <c r="F4518"/>
    </row>
    <row r="4519" spans="6:6" x14ac:dyDescent="0.35">
      <c r="F4519"/>
    </row>
    <row r="4520" spans="6:6" x14ac:dyDescent="0.35">
      <c r="F4520"/>
    </row>
    <row r="4521" spans="6:6" x14ac:dyDescent="0.35">
      <c r="F4521"/>
    </row>
    <row r="4522" spans="6:6" x14ac:dyDescent="0.35">
      <c r="F4522"/>
    </row>
    <row r="4523" spans="6:6" x14ac:dyDescent="0.35">
      <c r="F4523"/>
    </row>
    <row r="4524" spans="6:6" x14ac:dyDescent="0.35">
      <c r="F4524"/>
    </row>
    <row r="4525" spans="6:6" x14ac:dyDescent="0.35">
      <c r="F4525"/>
    </row>
    <row r="4526" spans="6:6" x14ac:dyDescent="0.35">
      <c r="F4526"/>
    </row>
    <row r="4527" spans="6:6" x14ac:dyDescent="0.35">
      <c r="F4527"/>
    </row>
    <row r="4528" spans="6:6" x14ac:dyDescent="0.35">
      <c r="F4528"/>
    </row>
    <row r="4529" spans="6:6" x14ac:dyDescent="0.35">
      <c r="F4529"/>
    </row>
    <row r="4530" spans="6:6" x14ac:dyDescent="0.35">
      <c r="F4530"/>
    </row>
    <row r="4531" spans="6:6" x14ac:dyDescent="0.35">
      <c r="F4531"/>
    </row>
    <row r="4532" spans="6:6" x14ac:dyDescent="0.35">
      <c r="F4532"/>
    </row>
    <row r="4533" spans="6:6" x14ac:dyDescent="0.35">
      <c r="F4533"/>
    </row>
    <row r="4534" spans="6:6" x14ac:dyDescent="0.35">
      <c r="F4534"/>
    </row>
    <row r="4535" spans="6:6" x14ac:dyDescent="0.35">
      <c r="F4535"/>
    </row>
    <row r="4536" spans="6:6" x14ac:dyDescent="0.35">
      <c r="F4536"/>
    </row>
    <row r="4537" spans="6:6" x14ac:dyDescent="0.35">
      <c r="F4537"/>
    </row>
    <row r="4538" spans="6:6" x14ac:dyDescent="0.35">
      <c r="F4538"/>
    </row>
    <row r="4539" spans="6:6" x14ac:dyDescent="0.35">
      <c r="F4539"/>
    </row>
    <row r="4540" spans="6:6" x14ac:dyDescent="0.35">
      <c r="F4540"/>
    </row>
    <row r="4541" spans="6:6" x14ac:dyDescent="0.35">
      <c r="F4541"/>
    </row>
    <row r="4542" spans="6:6" x14ac:dyDescent="0.35">
      <c r="F4542"/>
    </row>
    <row r="4543" spans="6:6" x14ac:dyDescent="0.35">
      <c r="F4543"/>
    </row>
    <row r="4544" spans="6:6" x14ac:dyDescent="0.35">
      <c r="F4544"/>
    </row>
    <row r="4545" spans="6:6" x14ac:dyDescent="0.35">
      <c r="F4545"/>
    </row>
    <row r="4546" spans="6:6" x14ac:dyDescent="0.35">
      <c r="F4546"/>
    </row>
    <row r="4547" spans="6:6" x14ac:dyDescent="0.35">
      <c r="F4547"/>
    </row>
    <row r="4548" spans="6:6" x14ac:dyDescent="0.35">
      <c r="F4548"/>
    </row>
    <row r="4549" spans="6:6" x14ac:dyDescent="0.35">
      <c r="F4549"/>
    </row>
    <row r="4550" spans="6:6" x14ac:dyDescent="0.35">
      <c r="F4550"/>
    </row>
    <row r="4551" spans="6:6" x14ac:dyDescent="0.35">
      <c r="F4551"/>
    </row>
    <row r="4552" spans="6:6" x14ac:dyDescent="0.35">
      <c r="F4552"/>
    </row>
    <row r="4553" spans="6:6" x14ac:dyDescent="0.35">
      <c r="F4553"/>
    </row>
    <row r="4554" spans="6:6" x14ac:dyDescent="0.35">
      <c r="F4554"/>
    </row>
    <row r="4555" spans="6:6" x14ac:dyDescent="0.35">
      <c r="F4555"/>
    </row>
    <row r="4556" spans="6:6" x14ac:dyDescent="0.35">
      <c r="F4556"/>
    </row>
    <row r="4557" spans="6:6" x14ac:dyDescent="0.35">
      <c r="F4557"/>
    </row>
    <row r="4558" spans="6:6" x14ac:dyDescent="0.35">
      <c r="F4558"/>
    </row>
    <row r="4559" spans="6:6" x14ac:dyDescent="0.35">
      <c r="F4559"/>
    </row>
    <row r="4560" spans="6:6" x14ac:dyDescent="0.35">
      <c r="F4560"/>
    </row>
    <row r="4561" spans="6:6" x14ac:dyDescent="0.35">
      <c r="F4561"/>
    </row>
    <row r="4562" spans="6:6" x14ac:dyDescent="0.35">
      <c r="F4562"/>
    </row>
    <row r="4563" spans="6:6" x14ac:dyDescent="0.35">
      <c r="F4563"/>
    </row>
    <row r="4564" spans="6:6" x14ac:dyDescent="0.35">
      <c r="F4564"/>
    </row>
    <row r="4565" spans="6:6" x14ac:dyDescent="0.35">
      <c r="F4565"/>
    </row>
    <row r="4566" spans="6:6" x14ac:dyDescent="0.35">
      <c r="F4566"/>
    </row>
    <row r="4567" spans="6:6" x14ac:dyDescent="0.35">
      <c r="F4567"/>
    </row>
    <row r="4568" spans="6:6" x14ac:dyDescent="0.35">
      <c r="F4568"/>
    </row>
    <row r="4569" spans="6:6" x14ac:dyDescent="0.35">
      <c r="F4569"/>
    </row>
    <row r="4570" spans="6:6" x14ac:dyDescent="0.35">
      <c r="F4570"/>
    </row>
    <row r="4571" spans="6:6" x14ac:dyDescent="0.35">
      <c r="F4571"/>
    </row>
    <row r="4572" spans="6:6" x14ac:dyDescent="0.35">
      <c r="F4572"/>
    </row>
    <row r="4573" spans="6:6" x14ac:dyDescent="0.35">
      <c r="F4573"/>
    </row>
    <row r="4574" spans="6:6" x14ac:dyDescent="0.35">
      <c r="F4574"/>
    </row>
    <row r="4575" spans="6:6" x14ac:dyDescent="0.35">
      <c r="F4575"/>
    </row>
    <row r="4576" spans="6:6" x14ac:dyDescent="0.35">
      <c r="F4576"/>
    </row>
    <row r="4577" spans="6:6" x14ac:dyDescent="0.35">
      <c r="F4577"/>
    </row>
    <row r="4578" spans="6:6" x14ac:dyDescent="0.35">
      <c r="F4578"/>
    </row>
    <row r="4579" spans="6:6" x14ac:dyDescent="0.35">
      <c r="F4579"/>
    </row>
    <row r="4580" spans="6:6" x14ac:dyDescent="0.35">
      <c r="F4580"/>
    </row>
    <row r="4581" spans="6:6" x14ac:dyDescent="0.35">
      <c r="F4581"/>
    </row>
    <row r="4582" spans="6:6" x14ac:dyDescent="0.35">
      <c r="F4582"/>
    </row>
    <row r="4583" spans="6:6" x14ac:dyDescent="0.35">
      <c r="F4583"/>
    </row>
    <row r="4584" spans="6:6" x14ac:dyDescent="0.35">
      <c r="F4584"/>
    </row>
    <row r="4585" spans="6:6" x14ac:dyDescent="0.35">
      <c r="F4585"/>
    </row>
    <row r="4586" spans="6:6" x14ac:dyDescent="0.35">
      <c r="F4586"/>
    </row>
    <row r="4587" spans="6:6" x14ac:dyDescent="0.35">
      <c r="F4587"/>
    </row>
    <row r="4588" spans="6:6" x14ac:dyDescent="0.35">
      <c r="F4588"/>
    </row>
    <row r="4589" spans="6:6" x14ac:dyDescent="0.35">
      <c r="F4589"/>
    </row>
    <row r="4590" spans="6:6" x14ac:dyDescent="0.35">
      <c r="F4590"/>
    </row>
    <row r="4591" spans="6:6" x14ac:dyDescent="0.35">
      <c r="F4591"/>
    </row>
    <row r="4592" spans="6:6" x14ac:dyDescent="0.35">
      <c r="F4592"/>
    </row>
    <row r="4593" spans="6:6" x14ac:dyDescent="0.35">
      <c r="F4593"/>
    </row>
    <row r="4594" spans="6:6" x14ac:dyDescent="0.35">
      <c r="F4594"/>
    </row>
    <row r="4595" spans="6:6" x14ac:dyDescent="0.35">
      <c r="F4595"/>
    </row>
    <row r="4596" spans="6:6" x14ac:dyDescent="0.35">
      <c r="F4596"/>
    </row>
    <row r="4597" spans="6:6" x14ac:dyDescent="0.35">
      <c r="F4597"/>
    </row>
    <row r="4598" spans="6:6" x14ac:dyDescent="0.35">
      <c r="F4598"/>
    </row>
    <row r="4599" spans="6:6" x14ac:dyDescent="0.35">
      <c r="F4599"/>
    </row>
    <row r="4600" spans="6:6" x14ac:dyDescent="0.35">
      <c r="F4600"/>
    </row>
    <row r="4601" spans="6:6" x14ac:dyDescent="0.35">
      <c r="F4601"/>
    </row>
    <row r="4602" spans="6:6" x14ac:dyDescent="0.35">
      <c r="F4602"/>
    </row>
    <row r="4603" spans="6:6" x14ac:dyDescent="0.35">
      <c r="F4603"/>
    </row>
    <row r="4604" spans="6:6" x14ac:dyDescent="0.35">
      <c r="F4604"/>
    </row>
    <row r="4605" spans="6:6" x14ac:dyDescent="0.35">
      <c r="F4605"/>
    </row>
    <row r="4606" spans="6:6" x14ac:dyDescent="0.35">
      <c r="F4606"/>
    </row>
    <row r="4607" spans="6:6" x14ac:dyDescent="0.35">
      <c r="F4607"/>
    </row>
    <row r="4608" spans="6:6" x14ac:dyDescent="0.35">
      <c r="F4608"/>
    </row>
    <row r="4609" spans="6:6" x14ac:dyDescent="0.35">
      <c r="F4609"/>
    </row>
    <row r="4610" spans="6:6" x14ac:dyDescent="0.35">
      <c r="F4610"/>
    </row>
    <row r="4611" spans="6:6" x14ac:dyDescent="0.35">
      <c r="F4611"/>
    </row>
    <row r="4612" spans="6:6" x14ac:dyDescent="0.35">
      <c r="F4612"/>
    </row>
    <row r="4613" spans="6:6" x14ac:dyDescent="0.35">
      <c r="F4613"/>
    </row>
    <row r="4614" spans="6:6" x14ac:dyDescent="0.35">
      <c r="F4614"/>
    </row>
    <row r="4615" spans="6:6" x14ac:dyDescent="0.35">
      <c r="F4615"/>
    </row>
    <row r="4616" spans="6:6" x14ac:dyDescent="0.35">
      <c r="F4616"/>
    </row>
    <row r="4617" spans="6:6" x14ac:dyDescent="0.35">
      <c r="F4617"/>
    </row>
    <row r="4618" spans="6:6" x14ac:dyDescent="0.35">
      <c r="F4618"/>
    </row>
    <row r="4619" spans="6:6" x14ac:dyDescent="0.35">
      <c r="F4619"/>
    </row>
    <row r="4620" spans="6:6" x14ac:dyDescent="0.35">
      <c r="F4620"/>
    </row>
    <row r="4621" spans="6:6" x14ac:dyDescent="0.35">
      <c r="F4621"/>
    </row>
    <row r="4622" spans="6:6" x14ac:dyDescent="0.35">
      <c r="F4622"/>
    </row>
    <row r="4623" spans="6:6" x14ac:dyDescent="0.35">
      <c r="F4623"/>
    </row>
    <row r="4624" spans="6:6" x14ac:dyDescent="0.35">
      <c r="F4624"/>
    </row>
    <row r="4625" spans="6:6" x14ac:dyDescent="0.35">
      <c r="F4625"/>
    </row>
    <row r="4626" spans="6:6" x14ac:dyDescent="0.35">
      <c r="F4626"/>
    </row>
    <row r="4627" spans="6:6" x14ac:dyDescent="0.35">
      <c r="F4627"/>
    </row>
    <row r="4628" spans="6:6" x14ac:dyDescent="0.35">
      <c r="F4628"/>
    </row>
    <row r="4629" spans="6:6" x14ac:dyDescent="0.35">
      <c r="F4629"/>
    </row>
    <row r="4630" spans="6:6" x14ac:dyDescent="0.35">
      <c r="F4630"/>
    </row>
    <row r="4631" spans="6:6" x14ac:dyDescent="0.35">
      <c r="F4631"/>
    </row>
    <row r="4632" spans="6:6" x14ac:dyDescent="0.35">
      <c r="F4632"/>
    </row>
    <row r="4633" spans="6:6" x14ac:dyDescent="0.35">
      <c r="F4633"/>
    </row>
    <row r="4634" spans="6:6" x14ac:dyDescent="0.35">
      <c r="F4634"/>
    </row>
    <row r="4635" spans="6:6" x14ac:dyDescent="0.35">
      <c r="F4635"/>
    </row>
    <row r="4636" spans="6:6" x14ac:dyDescent="0.35">
      <c r="F4636"/>
    </row>
    <row r="4637" spans="6:6" x14ac:dyDescent="0.35">
      <c r="F4637"/>
    </row>
    <row r="4638" spans="6:6" x14ac:dyDescent="0.35">
      <c r="F4638"/>
    </row>
    <row r="4639" spans="6:6" x14ac:dyDescent="0.35">
      <c r="F4639"/>
    </row>
    <row r="4640" spans="6:6" x14ac:dyDescent="0.35">
      <c r="F4640"/>
    </row>
    <row r="4641" spans="6:6" x14ac:dyDescent="0.35">
      <c r="F4641"/>
    </row>
    <row r="4642" spans="6:6" x14ac:dyDescent="0.35">
      <c r="F4642"/>
    </row>
    <row r="4643" spans="6:6" x14ac:dyDescent="0.35">
      <c r="F4643"/>
    </row>
    <row r="4644" spans="6:6" x14ac:dyDescent="0.35">
      <c r="F4644"/>
    </row>
    <row r="4645" spans="6:6" x14ac:dyDescent="0.35">
      <c r="F4645"/>
    </row>
    <row r="4646" spans="6:6" x14ac:dyDescent="0.35">
      <c r="F4646"/>
    </row>
    <row r="4647" spans="6:6" x14ac:dyDescent="0.35">
      <c r="F4647"/>
    </row>
    <row r="4648" spans="6:6" x14ac:dyDescent="0.35">
      <c r="F4648"/>
    </row>
    <row r="4649" spans="6:6" x14ac:dyDescent="0.35">
      <c r="F4649"/>
    </row>
    <row r="4650" spans="6:6" x14ac:dyDescent="0.35">
      <c r="F4650"/>
    </row>
    <row r="4651" spans="6:6" x14ac:dyDescent="0.35">
      <c r="F4651"/>
    </row>
    <row r="4652" spans="6:6" x14ac:dyDescent="0.35">
      <c r="F4652"/>
    </row>
    <row r="4653" spans="6:6" x14ac:dyDescent="0.35">
      <c r="F4653"/>
    </row>
    <row r="4654" spans="6:6" x14ac:dyDescent="0.35">
      <c r="F4654"/>
    </row>
    <row r="4655" spans="6:6" x14ac:dyDescent="0.35">
      <c r="F4655"/>
    </row>
    <row r="4656" spans="6:6" x14ac:dyDescent="0.35">
      <c r="F4656"/>
    </row>
    <row r="4657" spans="6:6" x14ac:dyDescent="0.35">
      <c r="F4657"/>
    </row>
    <row r="4658" spans="6:6" x14ac:dyDescent="0.35">
      <c r="F4658"/>
    </row>
    <row r="4659" spans="6:6" x14ac:dyDescent="0.35">
      <c r="F4659"/>
    </row>
    <row r="4660" spans="6:6" x14ac:dyDescent="0.35">
      <c r="F4660"/>
    </row>
    <row r="4661" spans="6:6" x14ac:dyDescent="0.35">
      <c r="F4661"/>
    </row>
    <row r="4662" spans="6:6" x14ac:dyDescent="0.35">
      <c r="F4662"/>
    </row>
    <row r="4663" spans="6:6" x14ac:dyDescent="0.35">
      <c r="F4663"/>
    </row>
    <row r="4664" spans="6:6" x14ac:dyDescent="0.35">
      <c r="F4664"/>
    </row>
    <row r="4665" spans="6:6" x14ac:dyDescent="0.35">
      <c r="F4665"/>
    </row>
    <row r="4666" spans="6:6" x14ac:dyDescent="0.35">
      <c r="F4666"/>
    </row>
    <row r="4667" spans="6:6" x14ac:dyDescent="0.35">
      <c r="F4667"/>
    </row>
    <row r="4668" spans="6:6" x14ac:dyDescent="0.35">
      <c r="F4668"/>
    </row>
    <row r="4669" spans="6:6" x14ac:dyDescent="0.35">
      <c r="F4669"/>
    </row>
    <row r="4670" spans="6:6" x14ac:dyDescent="0.35">
      <c r="F4670"/>
    </row>
    <row r="4671" spans="6:6" x14ac:dyDescent="0.35">
      <c r="F4671"/>
    </row>
    <row r="4672" spans="6:6" x14ac:dyDescent="0.35">
      <c r="F4672"/>
    </row>
    <row r="4673" spans="6:6" x14ac:dyDescent="0.35">
      <c r="F4673"/>
    </row>
    <row r="4674" spans="6:6" x14ac:dyDescent="0.35">
      <c r="F4674"/>
    </row>
    <row r="4675" spans="6:6" x14ac:dyDescent="0.35">
      <c r="F4675"/>
    </row>
    <row r="4676" spans="6:6" x14ac:dyDescent="0.35">
      <c r="F4676"/>
    </row>
    <row r="4677" spans="6:6" x14ac:dyDescent="0.35">
      <c r="F4677"/>
    </row>
    <row r="4678" spans="6:6" x14ac:dyDescent="0.35">
      <c r="F4678"/>
    </row>
    <row r="4679" spans="6:6" x14ac:dyDescent="0.35">
      <c r="F4679"/>
    </row>
    <row r="4680" spans="6:6" x14ac:dyDescent="0.35">
      <c r="F4680"/>
    </row>
    <row r="4681" spans="6:6" x14ac:dyDescent="0.35">
      <c r="F4681"/>
    </row>
    <row r="4682" spans="6:6" x14ac:dyDescent="0.35">
      <c r="F4682"/>
    </row>
    <row r="4683" spans="6:6" x14ac:dyDescent="0.35">
      <c r="F4683"/>
    </row>
    <row r="4684" spans="6:6" x14ac:dyDescent="0.35">
      <c r="F4684"/>
    </row>
    <row r="4685" spans="6:6" x14ac:dyDescent="0.35">
      <c r="F4685"/>
    </row>
    <row r="4686" spans="6:6" x14ac:dyDescent="0.35">
      <c r="F4686"/>
    </row>
    <row r="4687" spans="6:6" x14ac:dyDescent="0.35">
      <c r="F4687"/>
    </row>
    <row r="4688" spans="6:6" x14ac:dyDescent="0.35">
      <c r="F4688"/>
    </row>
    <row r="4689" spans="6:6" x14ac:dyDescent="0.35">
      <c r="F4689"/>
    </row>
    <row r="4690" spans="6:6" x14ac:dyDescent="0.35">
      <c r="F4690"/>
    </row>
    <row r="4691" spans="6:6" x14ac:dyDescent="0.35">
      <c r="F4691"/>
    </row>
    <row r="4692" spans="6:6" x14ac:dyDescent="0.35">
      <c r="F4692"/>
    </row>
    <row r="4693" spans="6:6" x14ac:dyDescent="0.35">
      <c r="F4693"/>
    </row>
    <row r="4694" spans="6:6" x14ac:dyDescent="0.35">
      <c r="F4694"/>
    </row>
    <row r="4695" spans="6:6" x14ac:dyDescent="0.35">
      <c r="F4695"/>
    </row>
    <row r="4696" spans="6:6" x14ac:dyDescent="0.35">
      <c r="F4696"/>
    </row>
    <row r="4697" spans="6:6" x14ac:dyDescent="0.35">
      <c r="F4697"/>
    </row>
    <row r="4698" spans="6:6" x14ac:dyDescent="0.35">
      <c r="F4698"/>
    </row>
    <row r="4699" spans="6:6" x14ac:dyDescent="0.35">
      <c r="F4699"/>
    </row>
    <row r="4700" spans="6:6" x14ac:dyDescent="0.35">
      <c r="F4700"/>
    </row>
    <row r="4701" spans="6:6" x14ac:dyDescent="0.35">
      <c r="F4701"/>
    </row>
    <row r="4702" spans="6:6" x14ac:dyDescent="0.35">
      <c r="F4702"/>
    </row>
    <row r="4703" spans="6:6" x14ac:dyDescent="0.35">
      <c r="F4703"/>
    </row>
    <row r="4704" spans="6:6" x14ac:dyDescent="0.35">
      <c r="F4704"/>
    </row>
    <row r="4705" spans="6:6" x14ac:dyDescent="0.35">
      <c r="F4705"/>
    </row>
    <row r="4706" spans="6:6" x14ac:dyDescent="0.35">
      <c r="F4706"/>
    </row>
    <row r="4707" spans="6:6" x14ac:dyDescent="0.35">
      <c r="F4707"/>
    </row>
    <row r="4708" spans="6:6" x14ac:dyDescent="0.35">
      <c r="F4708"/>
    </row>
    <row r="4709" spans="6:6" x14ac:dyDescent="0.35">
      <c r="F4709"/>
    </row>
    <row r="4710" spans="6:6" x14ac:dyDescent="0.35">
      <c r="F4710"/>
    </row>
    <row r="4711" spans="6:6" x14ac:dyDescent="0.35">
      <c r="F4711"/>
    </row>
    <row r="4712" spans="6:6" x14ac:dyDescent="0.35">
      <c r="F4712"/>
    </row>
    <row r="4713" spans="6:6" x14ac:dyDescent="0.35">
      <c r="F4713"/>
    </row>
    <row r="4714" spans="6:6" x14ac:dyDescent="0.35">
      <c r="F4714"/>
    </row>
    <row r="4715" spans="6:6" x14ac:dyDescent="0.35">
      <c r="F4715"/>
    </row>
    <row r="4716" spans="6:6" x14ac:dyDescent="0.35">
      <c r="F4716"/>
    </row>
    <row r="4717" spans="6:6" x14ac:dyDescent="0.35">
      <c r="F4717"/>
    </row>
    <row r="4718" spans="6:6" x14ac:dyDescent="0.35">
      <c r="F4718"/>
    </row>
    <row r="4719" spans="6:6" x14ac:dyDescent="0.35">
      <c r="F4719"/>
    </row>
    <row r="4720" spans="6:6" x14ac:dyDescent="0.35">
      <c r="F4720"/>
    </row>
    <row r="4721" spans="6:6" x14ac:dyDescent="0.35">
      <c r="F4721"/>
    </row>
    <row r="4722" spans="6:6" x14ac:dyDescent="0.35">
      <c r="F4722"/>
    </row>
    <row r="4723" spans="6:6" x14ac:dyDescent="0.35">
      <c r="F4723"/>
    </row>
    <row r="4724" spans="6:6" x14ac:dyDescent="0.35">
      <c r="F4724"/>
    </row>
    <row r="4725" spans="6:6" x14ac:dyDescent="0.35">
      <c r="F4725"/>
    </row>
    <row r="4726" spans="6:6" x14ac:dyDescent="0.35">
      <c r="F4726"/>
    </row>
    <row r="4727" spans="6:6" x14ac:dyDescent="0.35">
      <c r="F4727"/>
    </row>
    <row r="4728" spans="6:6" x14ac:dyDescent="0.35">
      <c r="F4728"/>
    </row>
    <row r="4729" spans="6:6" x14ac:dyDescent="0.35">
      <c r="F4729"/>
    </row>
    <row r="4730" spans="6:6" x14ac:dyDescent="0.35">
      <c r="F4730"/>
    </row>
    <row r="4731" spans="6:6" x14ac:dyDescent="0.35">
      <c r="F4731"/>
    </row>
    <row r="4732" spans="6:6" x14ac:dyDescent="0.35">
      <c r="F4732"/>
    </row>
    <row r="4733" spans="6:6" x14ac:dyDescent="0.35">
      <c r="F4733"/>
    </row>
    <row r="4734" spans="6:6" x14ac:dyDescent="0.35">
      <c r="F4734"/>
    </row>
    <row r="4735" spans="6:6" x14ac:dyDescent="0.35">
      <c r="F4735"/>
    </row>
    <row r="4736" spans="6:6" x14ac:dyDescent="0.35">
      <c r="F4736"/>
    </row>
    <row r="4737" spans="6:6" x14ac:dyDescent="0.35">
      <c r="F4737"/>
    </row>
    <row r="4738" spans="6:6" x14ac:dyDescent="0.35">
      <c r="F4738"/>
    </row>
    <row r="4739" spans="6:6" x14ac:dyDescent="0.35">
      <c r="F4739"/>
    </row>
    <row r="4740" spans="6:6" x14ac:dyDescent="0.35">
      <c r="F4740"/>
    </row>
    <row r="4741" spans="6:6" x14ac:dyDescent="0.35">
      <c r="F4741"/>
    </row>
    <row r="4742" spans="6:6" x14ac:dyDescent="0.35">
      <c r="F4742"/>
    </row>
    <row r="4743" spans="6:6" x14ac:dyDescent="0.35">
      <c r="F4743"/>
    </row>
    <row r="4744" spans="6:6" x14ac:dyDescent="0.35">
      <c r="F4744"/>
    </row>
    <row r="4745" spans="6:6" x14ac:dyDescent="0.35">
      <c r="F4745"/>
    </row>
    <row r="4746" spans="6:6" x14ac:dyDescent="0.35">
      <c r="F4746"/>
    </row>
    <row r="4747" spans="6:6" x14ac:dyDescent="0.35">
      <c r="F4747"/>
    </row>
    <row r="4748" spans="6:6" x14ac:dyDescent="0.35">
      <c r="F4748"/>
    </row>
    <row r="4749" spans="6:6" x14ac:dyDescent="0.35">
      <c r="F4749"/>
    </row>
    <row r="4750" spans="6:6" x14ac:dyDescent="0.35">
      <c r="F4750"/>
    </row>
    <row r="4751" spans="6:6" x14ac:dyDescent="0.35">
      <c r="F4751"/>
    </row>
    <row r="4752" spans="6:6" x14ac:dyDescent="0.35">
      <c r="F4752"/>
    </row>
    <row r="4753" spans="6:6" x14ac:dyDescent="0.35">
      <c r="F4753"/>
    </row>
    <row r="4754" spans="6:6" x14ac:dyDescent="0.35">
      <c r="F4754"/>
    </row>
    <row r="4755" spans="6:6" x14ac:dyDescent="0.35">
      <c r="F4755"/>
    </row>
    <row r="4756" spans="6:6" x14ac:dyDescent="0.35">
      <c r="F4756"/>
    </row>
    <row r="4757" spans="6:6" x14ac:dyDescent="0.35">
      <c r="F4757"/>
    </row>
    <row r="4758" spans="6:6" x14ac:dyDescent="0.35">
      <c r="F4758"/>
    </row>
    <row r="4759" spans="6:6" x14ac:dyDescent="0.35">
      <c r="F4759"/>
    </row>
    <row r="4760" spans="6:6" x14ac:dyDescent="0.35">
      <c r="F4760"/>
    </row>
    <row r="4761" spans="6:6" x14ac:dyDescent="0.35">
      <c r="F4761"/>
    </row>
    <row r="4762" spans="6:6" x14ac:dyDescent="0.35">
      <c r="F4762"/>
    </row>
    <row r="4763" spans="6:6" x14ac:dyDescent="0.35">
      <c r="F4763"/>
    </row>
    <row r="4764" spans="6:6" x14ac:dyDescent="0.35">
      <c r="F4764"/>
    </row>
    <row r="4765" spans="6:6" x14ac:dyDescent="0.35">
      <c r="F4765"/>
    </row>
    <row r="4766" spans="6:6" x14ac:dyDescent="0.35">
      <c r="F4766"/>
    </row>
    <row r="4767" spans="6:6" x14ac:dyDescent="0.35">
      <c r="F4767"/>
    </row>
    <row r="4768" spans="6:6" x14ac:dyDescent="0.35">
      <c r="F4768"/>
    </row>
    <row r="4769" spans="6:6" x14ac:dyDescent="0.35">
      <c r="F4769"/>
    </row>
    <row r="4770" spans="6:6" x14ac:dyDescent="0.35">
      <c r="F4770"/>
    </row>
    <row r="4771" spans="6:6" x14ac:dyDescent="0.35">
      <c r="F4771"/>
    </row>
    <row r="4772" spans="6:6" x14ac:dyDescent="0.35">
      <c r="F4772"/>
    </row>
    <row r="4773" spans="6:6" x14ac:dyDescent="0.35">
      <c r="F4773"/>
    </row>
    <row r="4774" spans="6:6" x14ac:dyDescent="0.35">
      <c r="F4774"/>
    </row>
    <row r="4775" spans="6:6" x14ac:dyDescent="0.35">
      <c r="F4775"/>
    </row>
    <row r="4776" spans="6:6" x14ac:dyDescent="0.35">
      <c r="F4776"/>
    </row>
    <row r="4777" spans="6:6" x14ac:dyDescent="0.35">
      <c r="F4777"/>
    </row>
    <row r="4778" spans="6:6" x14ac:dyDescent="0.35">
      <c r="F4778"/>
    </row>
    <row r="4779" spans="6:6" x14ac:dyDescent="0.35">
      <c r="F4779"/>
    </row>
    <row r="4780" spans="6:6" x14ac:dyDescent="0.35">
      <c r="F4780"/>
    </row>
    <row r="4781" spans="6:6" x14ac:dyDescent="0.35">
      <c r="F4781"/>
    </row>
    <row r="4782" spans="6:6" x14ac:dyDescent="0.35">
      <c r="F4782"/>
    </row>
    <row r="4783" spans="6:6" x14ac:dyDescent="0.35">
      <c r="F4783"/>
    </row>
    <row r="4784" spans="6:6" x14ac:dyDescent="0.35">
      <c r="F4784"/>
    </row>
    <row r="4785" spans="6:6" x14ac:dyDescent="0.35">
      <c r="F4785"/>
    </row>
    <row r="4786" spans="6:6" x14ac:dyDescent="0.35">
      <c r="F4786"/>
    </row>
    <row r="4787" spans="6:6" x14ac:dyDescent="0.35">
      <c r="F4787"/>
    </row>
    <row r="4788" spans="6:6" x14ac:dyDescent="0.35">
      <c r="F4788"/>
    </row>
    <row r="4789" spans="6:6" x14ac:dyDescent="0.35">
      <c r="F4789"/>
    </row>
    <row r="4790" spans="6:6" x14ac:dyDescent="0.35">
      <c r="F4790"/>
    </row>
    <row r="4791" spans="6:6" x14ac:dyDescent="0.35">
      <c r="F4791"/>
    </row>
    <row r="4792" spans="6:6" x14ac:dyDescent="0.35">
      <c r="F4792"/>
    </row>
    <row r="4793" spans="6:6" x14ac:dyDescent="0.35">
      <c r="F4793"/>
    </row>
    <row r="4794" spans="6:6" x14ac:dyDescent="0.35">
      <c r="F4794"/>
    </row>
    <row r="4795" spans="6:6" x14ac:dyDescent="0.35">
      <c r="F4795"/>
    </row>
    <row r="4796" spans="6:6" x14ac:dyDescent="0.35">
      <c r="F4796"/>
    </row>
    <row r="4797" spans="6:6" x14ac:dyDescent="0.35">
      <c r="F4797"/>
    </row>
    <row r="4798" spans="6:6" x14ac:dyDescent="0.35">
      <c r="F4798"/>
    </row>
    <row r="4799" spans="6:6" x14ac:dyDescent="0.35">
      <c r="F4799"/>
    </row>
    <row r="4800" spans="6:6" x14ac:dyDescent="0.35">
      <c r="F4800"/>
    </row>
    <row r="4801" spans="6:6" x14ac:dyDescent="0.35">
      <c r="F4801"/>
    </row>
    <row r="4802" spans="6:6" x14ac:dyDescent="0.35">
      <c r="F4802"/>
    </row>
    <row r="4803" spans="6:6" x14ac:dyDescent="0.35">
      <c r="F4803"/>
    </row>
    <row r="4804" spans="6:6" x14ac:dyDescent="0.35">
      <c r="F4804"/>
    </row>
    <row r="4805" spans="6:6" x14ac:dyDescent="0.35">
      <c r="F4805"/>
    </row>
    <row r="4806" spans="6:6" x14ac:dyDescent="0.35">
      <c r="F4806"/>
    </row>
    <row r="4807" spans="6:6" x14ac:dyDescent="0.35">
      <c r="F4807"/>
    </row>
    <row r="4808" spans="6:6" x14ac:dyDescent="0.35">
      <c r="F4808"/>
    </row>
    <row r="4809" spans="6:6" x14ac:dyDescent="0.35">
      <c r="F4809"/>
    </row>
    <row r="4810" spans="6:6" x14ac:dyDescent="0.35">
      <c r="F4810"/>
    </row>
    <row r="4811" spans="6:6" x14ac:dyDescent="0.35">
      <c r="F4811"/>
    </row>
    <row r="4812" spans="6:6" x14ac:dyDescent="0.35">
      <c r="F4812"/>
    </row>
    <row r="4813" spans="6:6" x14ac:dyDescent="0.35">
      <c r="F4813"/>
    </row>
    <row r="4814" spans="6:6" x14ac:dyDescent="0.35">
      <c r="F4814"/>
    </row>
    <row r="4815" spans="6:6" x14ac:dyDescent="0.35">
      <c r="F4815"/>
    </row>
    <row r="4816" spans="6:6" x14ac:dyDescent="0.35">
      <c r="F4816"/>
    </row>
    <row r="4817" spans="6:6" x14ac:dyDescent="0.35">
      <c r="F4817"/>
    </row>
    <row r="4818" spans="6:6" x14ac:dyDescent="0.35">
      <c r="F4818"/>
    </row>
    <row r="4819" spans="6:6" x14ac:dyDescent="0.35">
      <c r="F4819"/>
    </row>
    <row r="4820" spans="6:6" x14ac:dyDescent="0.35">
      <c r="F4820"/>
    </row>
    <row r="4821" spans="6:6" x14ac:dyDescent="0.35">
      <c r="F4821"/>
    </row>
    <row r="4822" spans="6:6" x14ac:dyDescent="0.35">
      <c r="F4822"/>
    </row>
    <row r="4823" spans="6:6" x14ac:dyDescent="0.35">
      <c r="F4823"/>
    </row>
    <row r="4824" spans="6:6" x14ac:dyDescent="0.35">
      <c r="F4824"/>
    </row>
    <row r="4825" spans="6:6" x14ac:dyDescent="0.35">
      <c r="F4825"/>
    </row>
    <row r="4826" spans="6:6" x14ac:dyDescent="0.35">
      <c r="F4826"/>
    </row>
    <row r="4827" spans="6:6" x14ac:dyDescent="0.35">
      <c r="F4827"/>
    </row>
    <row r="4828" spans="6:6" x14ac:dyDescent="0.35">
      <c r="F4828"/>
    </row>
    <row r="4829" spans="6:6" x14ac:dyDescent="0.35">
      <c r="F4829"/>
    </row>
    <row r="4830" spans="6:6" x14ac:dyDescent="0.35">
      <c r="F4830"/>
    </row>
    <row r="4831" spans="6:6" x14ac:dyDescent="0.35">
      <c r="F4831"/>
    </row>
    <row r="4832" spans="6:6" x14ac:dyDescent="0.35">
      <c r="F4832"/>
    </row>
    <row r="4833" spans="6:6" x14ac:dyDescent="0.35">
      <c r="F4833"/>
    </row>
    <row r="4834" spans="6:6" x14ac:dyDescent="0.35">
      <c r="F4834"/>
    </row>
    <row r="4835" spans="6:6" x14ac:dyDescent="0.35">
      <c r="F4835"/>
    </row>
    <row r="4836" spans="6:6" x14ac:dyDescent="0.35">
      <c r="F4836"/>
    </row>
    <row r="4837" spans="6:6" x14ac:dyDescent="0.35">
      <c r="F4837"/>
    </row>
    <row r="4838" spans="6:6" x14ac:dyDescent="0.35">
      <c r="F4838"/>
    </row>
    <row r="4839" spans="6:6" x14ac:dyDescent="0.35">
      <c r="F4839"/>
    </row>
    <row r="4840" spans="6:6" x14ac:dyDescent="0.35">
      <c r="F4840"/>
    </row>
    <row r="4841" spans="6:6" x14ac:dyDescent="0.35">
      <c r="F4841"/>
    </row>
    <row r="4842" spans="6:6" x14ac:dyDescent="0.35">
      <c r="F4842"/>
    </row>
    <row r="4843" spans="6:6" x14ac:dyDescent="0.35">
      <c r="F4843"/>
    </row>
    <row r="4844" spans="6:6" x14ac:dyDescent="0.35">
      <c r="F4844"/>
    </row>
    <row r="4845" spans="6:6" x14ac:dyDescent="0.35">
      <c r="F4845"/>
    </row>
    <row r="4846" spans="6:6" x14ac:dyDescent="0.35">
      <c r="F4846"/>
    </row>
    <row r="4847" spans="6:6" x14ac:dyDescent="0.35">
      <c r="F4847"/>
    </row>
    <row r="4848" spans="6:6" x14ac:dyDescent="0.35">
      <c r="F4848"/>
    </row>
    <row r="4849" spans="6:6" x14ac:dyDescent="0.35">
      <c r="F4849"/>
    </row>
    <row r="4850" spans="6:6" x14ac:dyDescent="0.35">
      <c r="F4850"/>
    </row>
    <row r="4851" spans="6:6" x14ac:dyDescent="0.35">
      <c r="F4851"/>
    </row>
    <row r="4852" spans="6:6" x14ac:dyDescent="0.35">
      <c r="F4852"/>
    </row>
    <row r="4853" spans="6:6" x14ac:dyDescent="0.35">
      <c r="F4853"/>
    </row>
    <row r="4854" spans="6:6" x14ac:dyDescent="0.35">
      <c r="F4854"/>
    </row>
    <row r="4855" spans="6:6" x14ac:dyDescent="0.35">
      <c r="F4855"/>
    </row>
    <row r="4856" spans="6:6" x14ac:dyDescent="0.35">
      <c r="F4856"/>
    </row>
    <row r="4857" spans="6:6" x14ac:dyDescent="0.35">
      <c r="F4857"/>
    </row>
    <row r="4858" spans="6:6" x14ac:dyDescent="0.35">
      <c r="F4858"/>
    </row>
    <row r="4859" spans="6:6" x14ac:dyDescent="0.35">
      <c r="F4859"/>
    </row>
    <row r="4860" spans="6:6" x14ac:dyDescent="0.35">
      <c r="F4860"/>
    </row>
    <row r="4861" spans="6:6" x14ac:dyDescent="0.35">
      <c r="F4861"/>
    </row>
    <row r="4862" spans="6:6" x14ac:dyDescent="0.35">
      <c r="F4862"/>
    </row>
    <row r="4863" spans="6:6" x14ac:dyDescent="0.35">
      <c r="F4863"/>
    </row>
    <row r="4864" spans="6:6" x14ac:dyDescent="0.35">
      <c r="F4864"/>
    </row>
    <row r="4865" spans="6:6" x14ac:dyDescent="0.35">
      <c r="F4865"/>
    </row>
    <row r="4866" spans="6:6" x14ac:dyDescent="0.35">
      <c r="F4866"/>
    </row>
    <row r="4867" spans="6:6" x14ac:dyDescent="0.35">
      <c r="F4867"/>
    </row>
    <row r="4868" spans="6:6" x14ac:dyDescent="0.35">
      <c r="F4868"/>
    </row>
    <row r="4869" spans="6:6" x14ac:dyDescent="0.35">
      <c r="F4869"/>
    </row>
    <row r="4870" spans="6:6" x14ac:dyDescent="0.35">
      <c r="F4870"/>
    </row>
    <row r="4871" spans="6:6" x14ac:dyDescent="0.35">
      <c r="F4871"/>
    </row>
    <row r="4872" spans="6:6" x14ac:dyDescent="0.35">
      <c r="F4872"/>
    </row>
    <row r="4873" spans="6:6" x14ac:dyDescent="0.35">
      <c r="F4873"/>
    </row>
    <row r="4874" spans="6:6" x14ac:dyDescent="0.35">
      <c r="F4874"/>
    </row>
    <row r="4875" spans="6:6" x14ac:dyDescent="0.35">
      <c r="F4875"/>
    </row>
    <row r="4876" spans="6:6" x14ac:dyDescent="0.35">
      <c r="F4876"/>
    </row>
    <row r="4877" spans="6:6" x14ac:dyDescent="0.35">
      <c r="F4877"/>
    </row>
    <row r="4878" spans="6:6" x14ac:dyDescent="0.35">
      <c r="F4878"/>
    </row>
    <row r="4879" spans="6:6" x14ac:dyDescent="0.35">
      <c r="F4879"/>
    </row>
    <row r="4880" spans="6:6" x14ac:dyDescent="0.35">
      <c r="F4880"/>
    </row>
    <row r="4881" spans="6:6" x14ac:dyDescent="0.35">
      <c r="F4881"/>
    </row>
    <row r="4882" spans="6:6" x14ac:dyDescent="0.35">
      <c r="F4882"/>
    </row>
    <row r="4883" spans="6:6" x14ac:dyDescent="0.35">
      <c r="F4883"/>
    </row>
    <row r="4884" spans="6:6" x14ac:dyDescent="0.35">
      <c r="F4884"/>
    </row>
    <row r="4885" spans="6:6" x14ac:dyDescent="0.35">
      <c r="F4885"/>
    </row>
    <row r="4886" spans="6:6" x14ac:dyDescent="0.35">
      <c r="F4886"/>
    </row>
    <row r="4887" spans="6:6" x14ac:dyDescent="0.35">
      <c r="F4887"/>
    </row>
    <row r="4888" spans="6:6" x14ac:dyDescent="0.35">
      <c r="F4888"/>
    </row>
    <row r="4889" spans="6:6" x14ac:dyDescent="0.35">
      <c r="F4889"/>
    </row>
    <row r="4890" spans="6:6" x14ac:dyDescent="0.35">
      <c r="F4890"/>
    </row>
    <row r="4891" spans="6:6" x14ac:dyDescent="0.35">
      <c r="F4891"/>
    </row>
    <row r="4892" spans="6:6" x14ac:dyDescent="0.35">
      <c r="F4892"/>
    </row>
    <row r="4893" spans="6:6" x14ac:dyDescent="0.35">
      <c r="F4893"/>
    </row>
    <row r="4894" spans="6:6" x14ac:dyDescent="0.35">
      <c r="F4894"/>
    </row>
    <row r="4895" spans="6:6" x14ac:dyDescent="0.35">
      <c r="F4895"/>
    </row>
    <row r="4896" spans="6:6" x14ac:dyDescent="0.35">
      <c r="F4896"/>
    </row>
    <row r="4897" spans="6:6" x14ac:dyDescent="0.35">
      <c r="F4897"/>
    </row>
    <row r="4898" spans="6:6" x14ac:dyDescent="0.35">
      <c r="F4898"/>
    </row>
    <row r="4899" spans="6:6" x14ac:dyDescent="0.35">
      <c r="F4899"/>
    </row>
    <row r="4900" spans="6:6" x14ac:dyDescent="0.35">
      <c r="F4900"/>
    </row>
    <row r="4901" spans="6:6" x14ac:dyDescent="0.35">
      <c r="F4901"/>
    </row>
    <row r="4902" spans="6:6" x14ac:dyDescent="0.35">
      <c r="F4902"/>
    </row>
    <row r="4903" spans="6:6" x14ac:dyDescent="0.35">
      <c r="F4903"/>
    </row>
    <row r="4904" spans="6:6" x14ac:dyDescent="0.35">
      <c r="F4904"/>
    </row>
    <row r="4905" spans="6:6" x14ac:dyDescent="0.35">
      <c r="F4905"/>
    </row>
    <row r="4906" spans="6:6" x14ac:dyDescent="0.35">
      <c r="F4906"/>
    </row>
    <row r="4907" spans="6:6" x14ac:dyDescent="0.35">
      <c r="F4907"/>
    </row>
    <row r="4908" spans="6:6" x14ac:dyDescent="0.35">
      <c r="F4908"/>
    </row>
    <row r="4909" spans="6:6" x14ac:dyDescent="0.35">
      <c r="F4909"/>
    </row>
    <row r="4910" spans="6:6" x14ac:dyDescent="0.35">
      <c r="F4910"/>
    </row>
    <row r="4911" spans="6:6" x14ac:dyDescent="0.35">
      <c r="F4911"/>
    </row>
    <row r="4912" spans="6:6" x14ac:dyDescent="0.35">
      <c r="F4912"/>
    </row>
    <row r="4913" spans="6:6" x14ac:dyDescent="0.35">
      <c r="F4913"/>
    </row>
    <row r="4914" spans="6:6" x14ac:dyDescent="0.35">
      <c r="F4914"/>
    </row>
    <row r="4915" spans="6:6" x14ac:dyDescent="0.35">
      <c r="F4915"/>
    </row>
    <row r="4916" spans="6:6" x14ac:dyDescent="0.35">
      <c r="F4916"/>
    </row>
    <row r="4917" spans="6:6" x14ac:dyDescent="0.35">
      <c r="F4917"/>
    </row>
    <row r="4918" spans="6:6" x14ac:dyDescent="0.35">
      <c r="F4918"/>
    </row>
    <row r="4919" spans="6:6" x14ac:dyDescent="0.35">
      <c r="F4919"/>
    </row>
    <row r="4920" spans="6:6" x14ac:dyDescent="0.35">
      <c r="F4920"/>
    </row>
    <row r="4921" spans="6:6" x14ac:dyDescent="0.35">
      <c r="F4921"/>
    </row>
    <row r="4922" spans="6:6" x14ac:dyDescent="0.35">
      <c r="F4922"/>
    </row>
    <row r="4923" spans="6:6" x14ac:dyDescent="0.35">
      <c r="F4923"/>
    </row>
    <row r="4924" spans="6:6" x14ac:dyDescent="0.35">
      <c r="F4924"/>
    </row>
    <row r="4925" spans="6:6" x14ac:dyDescent="0.35">
      <c r="F4925"/>
    </row>
    <row r="4926" spans="6:6" x14ac:dyDescent="0.35">
      <c r="F4926"/>
    </row>
    <row r="4927" spans="6:6" x14ac:dyDescent="0.35">
      <c r="F4927"/>
    </row>
    <row r="4928" spans="6:6" x14ac:dyDescent="0.35">
      <c r="F4928"/>
    </row>
    <row r="4929" spans="6:6" x14ac:dyDescent="0.35">
      <c r="F4929"/>
    </row>
    <row r="4930" spans="6:6" x14ac:dyDescent="0.35">
      <c r="F4930"/>
    </row>
    <row r="4931" spans="6:6" x14ac:dyDescent="0.35">
      <c r="F4931"/>
    </row>
    <row r="4932" spans="6:6" x14ac:dyDescent="0.35">
      <c r="F4932"/>
    </row>
    <row r="4933" spans="6:6" x14ac:dyDescent="0.35">
      <c r="F4933"/>
    </row>
    <row r="4934" spans="6:6" x14ac:dyDescent="0.35">
      <c r="F4934"/>
    </row>
    <row r="4935" spans="6:6" x14ac:dyDescent="0.35">
      <c r="F4935"/>
    </row>
    <row r="4936" spans="6:6" x14ac:dyDescent="0.35">
      <c r="F4936"/>
    </row>
    <row r="4937" spans="6:6" x14ac:dyDescent="0.35">
      <c r="F4937"/>
    </row>
    <row r="4938" spans="6:6" x14ac:dyDescent="0.35">
      <c r="F4938"/>
    </row>
    <row r="4939" spans="6:6" x14ac:dyDescent="0.35">
      <c r="F4939"/>
    </row>
    <row r="4940" spans="6:6" x14ac:dyDescent="0.35">
      <c r="F4940"/>
    </row>
    <row r="4941" spans="6:6" x14ac:dyDescent="0.35">
      <c r="F4941"/>
    </row>
    <row r="4942" spans="6:6" x14ac:dyDescent="0.35">
      <c r="F4942"/>
    </row>
    <row r="4943" spans="6:6" x14ac:dyDescent="0.35">
      <c r="F4943"/>
    </row>
    <row r="4944" spans="6:6" x14ac:dyDescent="0.35">
      <c r="F4944"/>
    </row>
    <row r="4945" spans="6:6" x14ac:dyDescent="0.35">
      <c r="F4945"/>
    </row>
    <row r="4946" spans="6:6" x14ac:dyDescent="0.35">
      <c r="F4946"/>
    </row>
    <row r="4947" spans="6:6" x14ac:dyDescent="0.35">
      <c r="F4947"/>
    </row>
    <row r="4948" spans="6:6" x14ac:dyDescent="0.35">
      <c r="F4948"/>
    </row>
    <row r="4949" spans="6:6" x14ac:dyDescent="0.35">
      <c r="F4949"/>
    </row>
    <row r="4950" spans="6:6" x14ac:dyDescent="0.35">
      <c r="F4950"/>
    </row>
    <row r="4951" spans="6:6" x14ac:dyDescent="0.35">
      <c r="F4951"/>
    </row>
    <row r="4952" spans="6:6" x14ac:dyDescent="0.35">
      <c r="F4952"/>
    </row>
    <row r="4953" spans="6:6" x14ac:dyDescent="0.35">
      <c r="F4953"/>
    </row>
    <row r="4954" spans="6:6" x14ac:dyDescent="0.35">
      <c r="F4954"/>
    </row>
    <row r="4955" spans="6:6" x14ac:dyDescent="0.35">
      <c r="F4955"/>
    </row>
    <row r="4956" spans="6:6" x14ac:dyDescent="0.35">
      <c r="F4956"/>
    </row>
    <row r="4957" spans="6:6" x14ac:dyDescent="0.35">
      <c r="F4957"/>
    </row>
    <row r="4958" spans="6:6" x14ac:dyDescent="0.35">
      <c r="F4958"/>
    </row>
    <row r="4959" spans="6:6" x14ac:dyDescent="0.35">
      <c r="F4959"/>
    </row>
    <row r="4960" spans="6:6" x14ac:dyDescent="0.35">
      <c r="F4960"/>
    </row>
    <row r="4961" spans="6:6" x14ac:dyDescent="0.35">
      <c r="F4961"/>
    </row>
    <row r="4962" spans="6:6" x14ac:dyDescent="0.35">
      <c r="F4962"/>
    </row>
    <row r="4963" spans="6:6" x14ac:dyDescent="0.35">
      <c r="F4963"/>
    </row>
    <row r="4964" spans="6:6" x14ac:dyDescent="0.35">
      <c r="F4964"/>
    </row>
    <row r="4965" spans="6:6" x14ac:dyDescent="0.35">
      <c r="F4965"/>
    </row>
    <row r="4966" spans="6:6" x14ac:dyDescent="0.35">
      <c r="F4966"/>
    </row>
    <row r="4967" spans="6:6" x14ac:dyDescent="0.35">
      <c r="F4967"/>
    </row>
    <row r="4968" spans="6:6" x14ac:dyDescent="0.35">
      <c r="F4968"/>
    </row>
    <row r="4969" spans="6:6" x14ac:dyDescent="0.35">
      <c r="F4969"/>
    </row>
    <row r="4970" spans="6:6" x14ac:dyDescent="0.35">
      <c r="F4970"/>
    </row>
    <row r="4971" spans="6:6" x14ac:dyDescent="0.35">
      <c r="F4971"/>
    </row>
    <row r="4972" spans="6:6" x14ac:dyDescent="0.35">
      <c r="F4972"/>
    </row>
    <row r="4973" spans="6:6" x14ac:dyDescent="0.35">
      <c r="F4973"/>
    </row>
    <row r="4974" spans="6:6" x14ac:dyDescent="0.35">
      <c r="F4974"/>
    </row>
    <row r="4975" spans="6:6" x14ac:dyDescent="0.35">
      <c r="F4975"/>
    </row>
    <row r="4976" spans="6:6" x14ac:dyDescent="0.35">
      <c r="F4976"/>
    </row>
    <row r="4977" spans="6:6" x14ac:dyDescent="0.35">
      <c r="F4977"/>
    </row>
    <row r="4978" spans="6:6" x14ac:dyDescent="0.35">
      <c r="F4978"/>
    </row>
    <row r="4979" spans="6:6" x14ac:dyDescent="0.35">
      <c r="F4979"/>
    </row>
    <row r="4980" spans="6:6" x14ac:dyDescent="0.35">
      <c r="F4980"/>
    </row>
    <row r="4981" spans="6:6" x14ac:dyDescent="0.35">
      <c r="F4981"/>
    </row>
    <row r="4982" spans="6:6" x14ac:dyDescent="0.35">
      <c r="F4982"/>
    </row>
    <row r="4983" spans="6:6" x14ac:dyDescent="0.35">
      <c r="F4983"/>
    </row>
    <row r="4984" spans="6:6" x14ac:dyDescent="0.35">
      <c r="F4984"/>
    </row>
    <row r="4985" spans="6:6" x14ac:dyDescent="0.35">
      <c r="F4985"/>
    </row>
    <row r="4986" spans="6:6" x14ac:dyDescent="0.35">
      <c r="F4986"/>
    </row>
    <row r="4987" spans="6:6" x14ac:dyDescent="0.35">
      <c r="F4987"/>
    </row>
    <row r="4988" spans="6:6" x14ac:dyDescent="0.35">
      <c r="F4988"/>
    </row>
    <row r="4989" spans="6:6" x14ac:dyDescent="0.35">
      <c r="F4989"/>
    </row>
    <row r="4990" spans="6:6" x14ac:dyDescent="0.35">
      <c r="F4990"/>
    </row>
    <row r="4991" spans="6:6" x14ac:dyDescent="0.35">
      <c r="F4991"/>
    </row>
    <row r="4992" spans="6:6" x14ac:dyDescent="0.35">
      <c r="F4992"/>
    </row>
    <row r="4993" spans="6:6" x14ac:dyDescent="0.35">
      <c r="F4993"/>
    </row>
    <row r="4994" spans="6:6" x14ac:dyDescent="0.35">
      <c r="F4994"/>
    </row>
    <row r="4995" spans="6:6" x14ac:dyDescent="0.35">
      <c r="F4995"/>
    </row>
    <row r="4996" spans="6:6" x14ac:dyDescent="0.35">
      <c r="F4996"/>
    </row>
    <row r="4997" spans="6:6" x14ac:dyDescent="0.35">
      <c r="F4997"/>
    </row>
    <row r="4998" spans="6:6" x14ac:dyDescent="0.35">
      <c r="F4998"/>
    </row>
    <row r="4999" spans="6:6" x14ac:dyDescent="0.35">
      <c r="F4999"/>
    </row>
    <row r="5000" spans="6:6" x14ac:dyDescent="0.35">
      <c r="F5000"/>
    </row>
    <row r="5001" spans="6:6" x14ac:dyDescent="0.35">
      <c r="F5001"/>
    </row>
    <row r="5002" spans="6:6" x14ac:dyDescent="0.35">
      <c r="F5002"/>
    </row>
    <row r="5003" spans="6:6" x14ac:dyDescent="0.35">
      <c r="F5003"/>
    </row>
    <row r="5004" spans="6:6" x14ac:dyDescent="0.35">
      <c r="F5004"/>
    </row>
    <row r="5005" spans="6:6" x14ac:dyDescent="0.35">
      <c r="F5005"/>
    </row>
    <row r="5006" spans="6:6" x14ac:dyDescent="0.35">
      <c r="F5006"/>
    </row>
    <row r="5007" spans="6:6" x14ac:dyDescent="0.35">
      <c r="F5007"/>
    </row>
    <row r="5008" spans="6:6" x14ac:dyDescent="0.35">
      <c r="F5008"/>
    </row>
    <row r="5009" spans="6:6" x14ac:dyDescent="0.35">
      <c r="F5009"/>
    </row>
    <row r="5010" spans="6:6" x14ac:dyDescent="0.35">
      <c r="F5010"/>
    </row>
    <row r="5011" spans="6:6" x14ac:dyDescent="0.35">
      <c r="F5011"/>
    </row>
    <row r="5012" spans="6:6" x14ac:dyDescent="0.35">
      <c r="F5012"/>
    </row>
    <row r="5013" spans="6:6" x14ac:dyDescent="0.35">
      <c r="F5013"/>
    </row>
    <row r="5014" spans="6:6" x14ac:dyDescent="0.35">
      <c r="F5014"/>
    </row>
    <row r="5015" spans="6:6" x14ac:dyDescent="0.35">
      <c r="F5015"/>
    </row>
    <row r="5016" spans="6:6" x14ac:dyDescent="0.35">
      <c r="F5016"/>
    </row>
    <row r="5017" spans="6:6" x14ac:dyDescent="0.35">
      <c r="F5017"/>
    </row>
    <row r="5018" spans="6:6" x14ac:dyDescent="0.35">
      <c r="F5018"/>
    </row>
    <row r="5019" spans="6:6" x14ac:dyDescent="0.35">
      <c r="F5019"/>
    </row>
    <row r="5020" spans="6:6" x14ac:dyDescent="0.35">
      <c r="F5020"/>
    </row>
    <row r="5021" spans="6:6" x14ac:dyDescent="0.35">
      <c r="F5021"/>
    </row>
    <row r="5022" spans="6:6" x14ac:dyDescent="0.35">
      <c r="F5022"/>
    </row>
    <row r="5023" spans="6:6" x14ac:dyDescent="0.35">
      <c r="F5023"/>
    </row>
    <row r="5024" spans="6:6" x14ac:dyDescent="0.35">
      <c r="F5024"/>
    </row>
    <row r="5025" spans="6:6" x14ac:dyDescent="0.35">
      <c r="F5025"/>
    </row>
    <row r="5026" spans="6:6" x14ac:dyDescent="0.35">
      <c r="F5026"/>
    </row>
    <row r="5027" spans="6:6" x14ac:dyDescent="0.35">
      <c r="F5027"/>
    </row>
    <row r="5028" spans="6:6" x14ac:dyDescent="0.35">
      <c r="F5028"/>
    </row>
    <row r="5029" spans="6:6" x14ac:dyDescent="0.35">
      <c r="F5029"/>
    </row>
    <row r="5030" spans="6:6" x14ac:dyDescent="0.35">
      <c r="F5030"/>
    </row>
    <row r="5031" spans="6:6" x14ac:dyDescent="0.35">
      <c r="F5031"/>
    </row>
    <row r="5032" spans="6:6" x14ac:dyDescent="0.35">
      <c r="F5032"/>
    </row>
    <row r="5033" spans="6:6" x14ac:dyDescent="0.35">
      <c r="F5033"/>
    </row>
    <row r="5034" spans="6:6" x14ac:dyDescent="0.35">
      <c r="F5034"/>
    </row>
    <row r="5035" spans="6:6" x14ac:dyDescent="0.35">
      <c r="F5035"/>
    </row>
    <row r="5036" spans="6:6" x14ac:dyDescent="0.35">
      <c r="F5036"/>
    </row>
    <row r="5037" spans="6:6" x14ac:dyDescent="0.35">
      <c r="F5037"/>
    </row>
    <row r="5038" spans="6:6" x14ac:dyDescent="0.35">
      <c r="F5038"/>
    </row>
    <row r="5039" spans="6:6" x14ac:dyDescent="0.35">
      <c r="F5039"/>
    </row>
    <row r="5040" spans="6:6" x14ac:dyDescent="0.35">
      <c r="F5040"/>
    </row>
    <row r="5041" spans="6:6" x14ac:dyDescent="0.35">
      <c r="F5041"/>
    </row>
    <row r="5042" spans="6:6" x14ac:dyDescent="0.35">
      <c r="F5042"/>
    </row>
    <row r="5043" spans="6:6" x14ac:dyDescent="0.35">
      <c r="F5043"/>
    </row>
    <row r="5044" spans="6:6" x14ac:dyDescent="0.35">
      <c r="F5044"/>
    </row>
    <row r="5045" spans="6:6" x14ac:dyDescent="0.35">
      <c r="F5045"/>
    </row>
    <row r="5046" spans="6:6" x14ac:dyDescent="0.35">
      <c r="F5046"/>
    </row>
    <row r="5047" spans="6:6" x14ac:dyDescent="0.35">
      <c r="F5047"/>
    </row>
    <row r="5048" spans="6:6" x14ac:dyDescent="0.35">
      <c r="F5048"/>
    </row>
    <row r="5049" spans="6:6" x14ac:dyDescent="0.35">
      <c r="F5049"/>
    </row>
    <row r="5050" spans="6:6" x14ac:dyDescent="0.35">
      <c r="F5050"/>
    </row>
    <row r="5051" spans="6:6" x14ac:dyDescent="0.35">
      <c r="F5051"/>
    </row>
    <row r="5052" spans="6:6" x14ac:dyDescent="0.35">
      <c r="F5052"/>
    </row>
    <row r="5053" spans="6:6" x14ac:dyDescent="0.35">
      <c r="F5053"/>
    </row>
    <row r="5054" spans="6:6" x14ac:dyDescent="0.35">
      <c r="F5054"/>
    </row>
    <row r="5055" spans="6:6" x14ac:dyDescent="0.35">
      <c r="F5055"/>
    </row>
    <row r="5056" spans="6:6" x14ac:dyDescent="0.35">
      <c r="F5056"/>
    </row>
    <row r="5057" spans="6:6" x14ac:dyDescent="0.35">
      <c r="F5057"/>
    </row>
    <row r="5058" spans="6:6" x14ac:dyDescent="0.35">
      <c r="F5058"/>
    </row>
    <row r="5059" spans="6:6" x14ac:dyDescent="0.35">
      <c r="F5059"/>
    </row>
    <row r="5060" spans="6:6" x14ac:dyDescent="0.35">
      <c r="F5060"/>
    </row>
    <row r="5061" spans="6:6" x14ac:dyDescent="0.35">
      <c r="F5061"/>
    </row>
    <row r="5062" spans="6:6" x14ac:dyDescent="0.35">
      <c r="F5062"/>
    </row>
    <row r="5063" spans="6:6" x14ac:dyDescent="0.35">
      <c r="F5063"/>
    </row>
    <row r="5064" spans="6:6" x14ac:dyDescent="0.35">
      <c r="F5064"/>
    </row>
    <row r="5065" spans="6:6" x14ac:dyDescent="0.35">
      <c r="F5065"/>
    </row>
    <row r="5066" spans="6:6" x14ac:dyDescent="0.35">
      <c r="F5066"/>
    </row>
    <row r="5067" spans="6:6" x14ac:dyDescent="0.35">
      <c r="F5067"/>
    </row>
    <row r="5068" spans="6:6" x14ac:dyDescent="0.35">
      <c r="F5068"/>
    </row>
    <row r="5069" spans="6:6" x14ac:dyDescent="0.35">
      <c r="F5069"/>
    </row>
    <row r="5070" spans="6:6" x14ac:dyDescent="0.35">
      <c r="F5070"/>
    </row>
    <row r="5071" spans="6:6" x14ac:dyDescent="0.35">
      <c r="F5071"/>
    </row>
    <row r="5072" spans="6:6" x14ac:dyDescent="0.35">
      <c r="F5072"/>
    </row>
    <row r="5073" spans="6:6" x14ac:dyDescent="0.35">
      <c r="F5073"/>
    </row>
    <row r="5074" spans="6:6" x14ac:dyDescent="0.35">
      <c r="F5074"/>
    </row>
    <row r="5075" spans="6:6" x14ac:dyDescent="0.35">
      <c r="F5075"/>
    </row>
    <row r="5076" spans="6:6" x14ac:dyDescent="0.35">
      <c r="F5076"/>
    </row>
    <row r="5077" spans="6:6" x14ac:dyDescent="0.35">
      <c r="F5077"/>
    </row>
    <row r="5078" spans="6:6" x14ac:dyDescent="0.35">
      <c r="F5078"/>
    </row>
    <row r="5079" spans="6:6" x14ac:dyDescent="0.35">
      <c r="F5079"/>
    </row>
    <row r="5080" spans="6:6" x14ac:dyDescent="0.35">
      <c r="F5080"/>
    </row>
    <row r="5081" spans="6:6" x14ac:dyDescent="0.35">
      <c r="F5081"/>
    </row>
    <row r="5082" spans="6:6" x14ac:dyDescent="0.35">
      <c r="F5082"/>
    </row>
    <row r="5083" spans="6:6" x14ac:dyDescent="0.35">
      <c r="F5083"/>
    </row>
    <row r="5084" spans="6:6" x14ac:dyDescent="0.35">
      <c r="F5084"/>
    </row>
    <row r="5085" spans="6:6" x14ac:dyDescent="0.35">
      <c r="F5085"/>
    </row>
    <row r="5086" spans="6:6" x14ac:dyDescent="0.35">
      <c r="F5086"/>
    </row>
    <row r="5087" spans="6:6" x14ac:dyDescent="0.35">
      <c r="F5087"/>
    </row>
    <row r="5088" spans="6:6" x14ac:dyDescent="0.35">
      <c r="F5088"/>
    </row>
    <row r="5089" spans="6:6" x14ac:dyDescent="0.35">
      <c r="F5089"/>
    </row>
    <row r="5090" spans="6:6" x14ac:dyDescent="0.35">
      <c r="F5090"/>
    </row>
    <row r="5091" spans="6:6" x14ac:dyDescent="0.35">
      <c r="F5091"/>
    </row>
    <row r="5092" spans="6:6" x14ac:dyDescent="0.35">
      <c r="F5092"/>
    </row>
    <row r="5093" spans="6:6" x14ac:dyDescent="0.35">
      <c r="F5093"/>
    </row>
    <row r="5094" spans="6:6" x14ac:dyDescent="0.35">
      <c r="F5094"/>
    </row>
    <row r="5095" spans="6:6" x14ac:dyDescent="0.35">
      <c r="F5095"/>
    </row>
    <row r="5096" spans="6:6" x14ac:dyDescent="0.35">
      <c r="F5096"/>
    </row>
    <row r="5097" spans="6:6" x14ac:dyDescent="0.35">
      <c r="F5097"/>
    </row>
    <row r="5098" spans="6:6" x14ac:dyDescent="0.35">
      <c r="F5098"/>
    </row>
    <row r="5099" spans="6:6" x14ac:dyDescent="0.35">
      <c r="F5099"/>
    </row>
    <row r="5100" spans="6:6" x14ac:dyDescent="0.35">
      <c r="F5100"/>
    </row>
    <row r="5101" spans="6:6" x14ac:dyDescent="0.35">
      <c r="F5101"/>
    </row>
    <row r="5102" spans="6:6" x14ac:dyDescent="0.35">
      <c r="F5102"/>
    </row>
    <row r="5103" spans="6:6" x14ac:dyDescent="0.35">
      <c r="F5103"/>
    </row>
    <row r="5104" spans="6:6" x14ac:dyDescent="0.35">
      <c r="F5104"/>
    </row>
    <row r="5105" spans="6:6" x14ac:dyDescent="0.35">
      <c r="F5105"/>
    </row>
    <row r="5106" spans="6:6" x14ac:dyDescent="0.35">
      <c r="F5106"/>
    </row>
    <row r="5107" spans="6:6" x14ac:dyDescent="0.35">
      <c r="F5107"/>
    </row>
    <row r="5108" spans="6:6" x14ac:dyDescent="0.35">
      <c r="F5108"/>
    </row>
    <row r="5109" spans="6:6" x14ac:dyDescent="0.35">
      <c r="F5109"/>
    </row>
    <row r="5110" spans="6:6" x14ac:dyDescent="0.35">
      <c r="F5110"/>
    </row>
    <row r="5111" spans="6:6" x14ac:dyDescent="0.35">
      <c r="F5111"/>
    </row>
    <row r="5112" spans="6:6" x14ac:dyDescent="0.35">
      <c r="F5112"/>
    </row>
    <row r="5113" spans="6:6" x14ac:dyDescent="0.35">
      <c r="F5113"/>
    </row>
    <row r="5114" spans="6:6" x14ac:dyDescent="0.35">
      <c r="F5114"/>
    </row>
    <row r="5115" spans="6:6" x14ac:dyDescent="0.35">
      <c r="F5115"/>
    </row>
    <row r="5116" spans="6:6" x14ac:dyDescent="0.35">
      <c r="F5116"/>
    </row>
    <row r="5117" spans="6:6" x14ac:dyDescent="0.35">
      <c r="F5117"/>
    </row>
    <row r="5118" spans="6:6" x14ac:dyDescent="0.35">
      <c r="F5118"/>
    </row>
    <row r="5119" spans="6:6" x14ac:dyDescent="0.35">
      <c r="F5119"/>
    </row>
    <row r="5120" spans="6:6" x14ac:dyDescent="0.35">
      <c r="F5120"/>
    </row>
    <row r="5121" spans="6:6" x14ac:dyDescent="0.35">
      <c r="F5121"/>
    </row>
    <row r="5122" spans="6:6" x14ac:dyDescent="0.35">
      <c r="F5122"/>
    </row>
    <row r="5123" spans="6:6" x14ac:dyDescent="0.35">
      <c r="F5123"/>
    </row>
    <row r="5124" spans="6:6" x14ac:dyDescent="0.35">
      <c r="F5124"/>
    </row>
    <row r="5125" spans="6:6" x14ac:dyDescent="0.35">
      <c r="F5125"/>
    </row>
    <row r="5126" spans="6:6" x14ac:dyDescent="0.35">
      <c r="F5126"/>
    </row>
    <row r="5127" spans="6:6" x14ac:dyDescent="0.35">
      <c r="F5127"/>
    </row>
    <row r="5128" spans="6:6" x14ac:dyDescent="0.35">
      <c r="F5128"/>
    </row>
    <row r="5129" spans="6:6" x14ac:dyDescent="0.35">
      <c r="F5129"/>
    </row>
    <row r="5130" spans="6:6" x14ac:dyDescent="0.35">
      <c r="F5130"/>
    </row>
    <row r="5131" spans="6:6" x14ac:dyDescent="0.35">
      <c r="F5131"/>
    </row>
    <row r="5132" spans="6:6" x14ac:dyDescent="0.35">
      <c r="F5132"/>
    </row>
    <row r="5133" spans="6:6" x14ac:dyDescent="0.35">
      <c r="F5133"/>
    </row>
    <row r="5134" spans="6:6" x14ac:dyDescent="0.35">
      <c r="F5134"/>
    </row>
    <row r="5135" spans="6:6" x14ac:dyDescent="0.35">
      <c r="F5135"/>
    </row>
    <row r="5136" spans="6:6" x14ac:dyDescent="0.35">
      <c r="F5136"/>
    </row>
    <row r="5137" spans="6:6" x14ac:dyDescent="0.35">
      <c r="F5137"/>
    </row>
    <row r="5138" spans="6:6" x14ac:dyDescent="0.35">
      <c r="F5138"/>
    </row>
    <row r="5139" spans="6:6" x14ac:dyDescent="0.35">
      <c r="F5139"/>
    </row>
    <row r="5140" spans="6:6" x14ac:dyDescent="0.35">
      <c r="F5140"/>
    </row>
    <row r="5141" spans="6:6" x14ac:dyDescent="0.35">
      <c r="F5141"/>
    </row>
    <row r="5142" spans="6:6" x14ac:dyDescent="0.35">
      <c r="F5142"/>
    </row>
    <row r="5143" spans="6:6" x14ac:dyDescent="0.35">
      <c r="F5143"/>
    </row>
    <row r="5144" spans="6:6" x14ac:dyDescent="0.35">
      <c r="F5144"/>
    </row>
    <row r="5145" spans="6:6" x14ac:dyDescent="0.35">
      <c r="F5145"/>
    </row>
    <row r="5146" spans="6:6" x14ac:dyDescent="0.35">
      <c r="F5146"/>
    </row>
    <row r="5147" spans="6:6" x14ac:dyDescent="0.35">
      <c r="F5147"/>
    </row>
    <row r="5148" spans="6:6" x14ac:dyDescent="0.35">
      <c r="F5148"/>
    </row>
    <row r="5149" spans="6:6" x14ac:dyDescent="0.35">
      <c r="F5149"/>
    </row>
    <row r="5150" spans="6:6" x14ac:dyDescent="0.35">
      <c r="F5150"/>
    </row>
    <row r="5151" spans="6:6" x14ac:dyDescent="0.35">
      <c r="F5151"/>
    </row>
    <row r="5152" spans="6:6" x14ac:dyDescent="0.35">
      <c r="F5152"/>
    </row>
    <row r="5153" spans="6:6" x14ac:dyDescent="0.35">
      <c r="F5153"/>
    </row>
    <row r="5154" spans="6:6" x14ac:dyDescent="0.35">
      <c r="F5154"/>
    </row>
    <row r="5155" spans="6:6" x14ac:dyDescent="0.35">
      <c r="F5155"/>
    </row>
    <row r="5156" spans="6:6" x14ac:dyDescent="0.35">
      <c r="F5156"/>
    </row>
    <row r="5157" spans="6:6" x14ac:dyDescent="0.35">
      <c r="F5157"/>
    </row>
    <row r="5158" spans="6:6" x14ac:dyDescent="0.35">
      <c r="F5158"/>
    </row>
    <row r="5159" spans="6:6" x14ac:dyDescent="0.35">
      <c r="F5159"/>
    </row>
    <row r="5160" spans="6:6" x14ac:dyDescent="0.35">
      <c r="F5160"/>
    </row>
    <row r="5161" spans="6:6" x14ac:dyDescent="0.35">
      <c r="F5161"/>
    </row>
    <row r="5162" spans="6:6" x14ac:dyDescent="0.35">
      <c r="F5162"/>
    </row>
    <row r="5163" spans="6:6" x14ac:dyDescent="0.35">
      <c r="F5163"/>
    </row>
    <row r="5164" spans="6:6" x14ac:dyDescent="0.35">
      <c r="F5164"/>
    </row>
    <row r="5165" spans="6:6" x14ac:dyDescent="0.35">
      <c r="F5165"/>
    </row>
    <row r="5166" spans="6:6" x14ac:dyDescent="0.35">
      <c r="F5166"/>
    </row>
    <row r="5167" spans="6:6" x14ac:dyDescent="0.35">
      <c r="F5167"/>
    </row>
    <row r="5168" spans="6:6" x14ac:dyDescent="0.35">
      <c r="F5168"/>
    </row>
    <row r="5169" spans="6:6" x14ac:dyDescent="0.35">
      <c r="F5169"/>
    </row>
    <row r="5170" spans="6:6" x14ac:dyDescent="0.35">
      <c r="F5170"/>
    </row>
    <row r="5171" spans="6:6" x14ac:dyDescent="0.35">
      <c r="F5171"/>
    </row>
    <row r="5172" spans="6:6" x14ac:dyDescent="0.35">
      <c r="F5172"/>
    </row>
    <row r="5173" spans="6:6" x14ac:dyDescent="0.35">
      <c r="F5173"/>
    </row>
    <row r="5174" spans="6:6" x14ac:dyDescent="0.35">
      <c r="F5174"/>
    </row>
    <row r="5175" spans="6:6" x14ac:dyDescent="0.35">
      <c r="F5175"/>
    </row>
    <row r="5176" spans="6:6" x14ac:dyDescent="0.35">
      <c r="F5176"/>
    </row>
    <row r="5177" spans="6:6" x14ac:dyDescent="0.35">
      <c r="F5177"/>
    </row>
    <row r="5178" spans="6:6" x14ac:dyDescent="0.35">
      <c r="F5178"/>
    </row>
    <row r="5179" spans="6:6" x14ac:dyDescent="0.35">
      <c r="F5179"/>
    </row>
    <row r="5180" spans="6:6" x14ac:dyDescent="0.35">
      <c r="F5180"/>
    </row>
    <row r="5181" spans="6:6" x14ac:dyDescent="0.35">
      <c r="F5181"/>
    </row>
    <row r="5182" spans="6:6" x14ac:dyDescent="0.35">
      <c r="F5182"/>
    </row>
    <row r="5183" spans="6:6" x14ac:dyDescent="0.35">
      <c r="F5183"/>
    </row>
    <row r="5184" spans="6:6" x14ac:dyDescent="0.35">
      <c r="F5184"/>
    </row>
    <row r="5185" spans="6:6" x14ac:dyDescent="0.35">
      <c r="F5185"/>
    </row>
    <row r="5186" spans="6:6" x14ac:dyDescent="0.35">
      <c r="F5186"/>
    </row>
    <row r="5187" spans="6:6" x14ac:dyDescent="0.35">
      <c r="F5187"/>
    </row>
    <row r="5188" spans="6:6" x14ac:dyDescent="0.35">
      <c r="F5188"/>
    </row>
    <row r="5189" spans="6:6" x14ac:dyDescent="0.35">
      <c r="F5189"/>
    </row>
    <row r="5190" spans="6:6" x14ac:dyDescent="0.35">
      <c r="F5190"/>
    </row>
    <row r="5191" spans="6:6" x14ac:dyDescent="0.35">
      <c r="F5191"/>
    </row>
    <row r="5192" spans="6:6" x14ac:dyDescent="0.35">
      <c r="F5192"/>
    </row>
    <row r="5193" spans="6:6" x14ac:dyDescent="0.35">
      <c r="F5193"/>
    </row>
    <row r="5194" spans="6:6" x14ac:dyDescent="0.35">
      <c r="F5194"/>
    </row>
    <row r="5195" spans="6:6" x14ac:dyDescent="0.35">
      <c r="F5195"/>
    </row>
    <row r="5196" spans="6:6" x14ac:dyDescent="0.35">
      <c r="F5196"/>
    </row>
    <row r="5197" spans="6:6" x14ac:dyDescent="0.35">
      <c r="F5197"/>
    </row>
    <row r="5198" spans="6:6" x14ac:dyDescent="0.35">
      <c r="F5198"/>
    </row>
    <row r="5199" spans="6:6" x14ac:dyDescent="0.35">
      <c r="F5199"/>
    </row>
    <row r="5200" spans="6:6" x14ac:dyDescent="0.35">
      <c r="F5200"/>
    </row>
    <row r="5201" spans="6:6" x14ac:dyDescent="0.35">
      <c r="F5201"/>
    </row>
    <row r="5202" spans="6:6" x14ac:dyDescent="0.35">
      <c r="F5202"/>
    </row>
    <row r="5203" spans="6:6" x14ac:dyDescent="0.35">
      <c r="F5203"/>
    </row>
    <row r="5204" spans="6:6" x14ac:dyDescent="0.35">
      <c r="F5204"/>
    </row>
    <row r="5205" spans="6:6" x14ac:dyDescent="0.35">
      <c r="F5205"/>
    </row>
    <row r="5206" spans="6:6" x14ac:dyDescent="0.35">
      <c r="F5206"/>
    </row>
    <row r="5207" spans="6:6" x14ac:dyDescent="0.35">
      <c r="F5207"/>
    </row>
    <row r="5208" spans="6:6" x14ac:dyDescent="0.35">
      <c r="F5208"/>
    </row>
    <row r="5209" spans="6:6" x14ac:dyDescent="0.35">
      <c r="F5209"/>
    </row>
    <row r="5210" spans="6:6" x14ac:dyDescent="0.35">
      <c r="F5210"/>
    </row>
    <row r="5211" spans="6:6" x14ac:dyDescent="0.35">
      <c r="F5211"/>
    </row>
    <row r="5212" spans="6:6" x14ac:dyDescent="0.35">
      <c r="F5212"/>
    </row>
    <row r="5213" spans="6:6" x14ac:dyDescent="0.35">
      <c r="F5213"/>
    </row>
    <row r="5214" spans="6:6" x14ac:dyDescent="0.35">
      <c r="F5214"/>
    </row>
    <row r="5215" spans="6:6" x14ac:dyDescent="0.35">
      <c r="F5215"/>
    </row>
    <row r="5216" spans="6:6" x14ac:dyDescent="0.35">
      <c r="F5216"/>
    </row>
    <row r="5217" spans="6:6" x14ac:dyDescent="0.35">
      <c r="F5217"/>
    </row>
    <row r="5218" spans="6:6" x14ac:dyDescent="0.35">
      <c r="F5218"/>
    </row>
    <row r="5219" spans="6:6" x14ac:dyDescent="0.35">
      <c r="F5219"/>
    </row>
    <row r="5220" spans="6:6" x14ac:dyDescent="0.35">
      <c r="F5220"/>
    </row>
    <row r="5221" spans="6:6" x14ac:dyDescent="0.35">
      <c r="F5221"/>
    </row>
    <row r="5222" spans="6:6" x14ac:dyDescent="0.35">
      <c r="F5222"/>
    </row>
    <row r="5223" spans="6:6" x14ac:dyDescent="0.35">
      <c r="F5223"/>
    </row>
    <row r="5224" spans="6:6" x14ac:dyDescent="0.35">
      <c r="F5224"/>
    </row>
    <row r="5225" spans="6:6" x14ac:dyDescent="0.35">
      <c r="F5225"/>
    </row>
    <row r="5226" spans="6:6" x14ac:dyDescent="0.35">
      <c r="F5226"/>
    </row>
    <row r="5227" spans="6:6" x14ac:dyDescent="0.35">
      <c r="F5227"/>
    </row>
    <row r="5228" spans="6:6" x14ac:dyDescent="0.35">
      <c r="F5228"/>
    </row>
    <row r="5229" spans="6:6" x14ac:dyDescent="0.35">
      <c r="F5229"/>
    </row>
    <row r="5230" spans="6:6" x14ac:dyDescent="0.35">
      <c r="F5230"/>
    </row>
    <row r="5231" spans="6:6" x14ac:dyDescent="0.35">
      <c r="F5231"/>
    </row>
    <row r="5232" spans="6:6" x14ac:dyDescent="0.35">
      <c r="F5232"/>
    </row>
    <row r="5233" spans="6:6" x14ac:dyDescent="0.35">
      <c r="F5233"/>
    </row>
    <row r="5234" spans="6:6" x14ac:dyDescent="0.35">
      <c r="F5234"/>
    </row>
    <row r="5235" spans="6:6" x14ac:dyDescent="0.35">
      <c r="F5235"/>
    </row>
    <row r="5236" spans="6:6" x14ac:dyDescent="0.35">
      <c r="F5236"/>
    </row>
    <row r="5237" spans="6:6" x14ac:dyDescent="0.35">
      <c r="F5237"/>
    </row>
    <row r="5238" spans="6:6" x14ac:dyDescent="0.35">
      <c r="F5238"/>
    </row>
    <row r="5239" spans="6:6" x14ac:dyDescent="0.35">
      <c r="F5239"/>
    </row>
    <row r="5240" spans="6:6" x14ac:dyDescent="0.35">
      <c r="F5240"/>
    </row>
    <row r="5241" spans="6:6" x14ac:dyDescent="0.35">
      <c r="F5241"/>
    </row>
    <row r="5242" spans="6:6" x14ac:dyDescent="0.35">
      <c r="F5242"/>
    </row>
    <row r="5243" spans="6:6" x14ac:dyDescent="0.35">
      <c r="F5243"/>
    </row>
    <row r="5244" spans="6:6" x14ac:dyDescent="0.35">
      <c r="F5244"/>
    </row>
    <row r="5245" spans="6:6" x14ac:dyDescent="0.35">
      <c r="F5245"/>
    </row>
    <row r="5246" spans="6:6" x14ac:dyDescent="0.35">
      <c r="F5246"/>
    </row>
    <row r="5247" spans="6:6" x14ac:dyDescent="0.35">
      <c r="F5247"/>
    </row>
    <row r="5248" spans="6:6" x14ac:dyDescent="0.35">
      <c r="F5248"/>
    </row>
    <row r="5249" spans="6:6" x14ac:dyDescent="0.35">
      <c r="F5249"/>
    </row>
    <row r="5250" spans="6:6" x14ac:dyDescent="0.35">
      <c r="F5250"/>
    </row>
    <row r="5251" spans="6:6" x14ac:dyDescent="0.35">
      <c r="F5251"/>
    </row>
    <row r="5252" spans="6:6" x14ac:dyDescent="0.35">
      <c r="F5252"/>
    </row>
    <row r="5253" spans="6:6" x14ac:dyDescent="0.35">
      <c r="F5253"/>
    </row>
    <row r="5254" spans="6:6" x14ac:dyDescent="0.35">
      <c r="F5254"/>
    </row>
    <row r="5255" spans="6:6" x14ac:dyDescent="0.35">
      <c r="F5255"/>
    </row>
    <row r="5256" spans="6:6" x14ac:dyDescent="0.35">
      <c r="F5256"/>
    </row>
    <row r="5257" spans="6:6" x14ac:dyDescent="0.35">
      <c r="F5257"/>
    </row>
    <row r="5258" spans="6:6" x14ac:dyDescent="0.35">
      <c r="F5258"/>
    </row>
    <row r="5259" spans="6:6" x14ac:dyDescent="0.35">
      <c r="F5259"/>
    </row>
    <row r="5260" spans="6:6" x14ac:dyDescent="0.35">
      <c r="F5260"/>
    </row>
    <row r="5261" spans="6:6" x14ac:dyDescent="0.35">
      <c r="F5261"/>
    </row>
    <row r="5262" spans="6:6" x14ac:dyDescent="0.35">
      <c r="F5262"/>
    </row>
    <row r="5263" spans="6:6" x14ac:dyDescent="0.35">
      <c r="F5263"/>
    </row>
    <row r="5264" spans="6:6" x14ac:dyDescent="0.35">
      <c r="F5264"/>
    </row>
    <row r="5265" spans="6:6" x14ac:dyDescent="0.35">
      <c r="F5265"/>
    </row>
    <row r="5266" spans="6:6" x14ac:dyDescent="0.35">
      <c r="F5266"/>
    </row>
    <row r="5267" spans="6:6" x14ac:dyDescent="0.35">
      <c r="F5267"/>
    </row>
    <row r="5268" spans="6:6" x14ac:dyDescent="0.35">
      <c r="F5268"/>
    </row>
    <row r="5269" spans="6:6" x14ac:dyDescent="0.35">
      <c r="F5269"/>
    </row>
    <row r="5270" spans="6:6" x14ac:dyDescent="0.35">
      <c r="F5270"/>
    </row>
    <row r="5271" spans="6:6" x14ac:dyDescent="0.35">
      <c r="F5271"/>
    </row>
    <row r="5272" spans="6:6" x14ac:dyDescent="0.35">
      <c r="F5272"/>
    </row>
    <row r="5273" spans="6:6" x14ac:dyDescent="0.35">
      <c r="F5273"/>
    </row>
    <row r="5274" spans="6:6" x14ac:dyDescent="0.35">
      <c r="F5274"/>
    </row>
    <row r="5275" spans="6:6" x14ac:dyDescent="0.35">
      <c r="F5275"/>
    </row>
    <row r="5276" spans="6:6" x14ac:dyDescent="0.35">
      <c r="F5276"/>
    </row>
    <row r="5277" spans="6:6" x14ac:dyDescent="0.35">
      <c r="F5277"/>
    </row>
    <row r="5278" spans="6:6" x14ac:dyDescent="0.35">
      <c r="F5278"/>
    </row>
    <row r="5279" spans="6:6" x14ac:dyDescent="0.35">
      <c r="F5279"/>
    </row>
    <row r="5280" spans="6:6" x14ac:dyDescent="0.35">
      <c r="F5280"/>
    </row>
    <row r="5281" spans="6:6" x14ac:dyDescent="0.35">
      <c r="F5281"/>
    </row>
    <row r="5282" spans="6:6" x14ac:dyDescent="0.35">
      <c r="F5282"/>
    </row>
    <row r="5283" spans="6:6" x14ac:dyDescent="0.35">
      <c r="F5283"/>
    </row>
    <row r="5284" spans="6:6" x14ac:dyDescent="0.35">
      <c r="F5284"/>
    </row>
    <row r="5285" spans="6:6" x14ac:dyDescent="0.35">
      <c r="F5285"/>
    </row>
    <row r="5286" spans="6:6" x14ac:dyDescent="0.35">
      <c r="F5286"/>
    </row>
    <row r="5287" spans="6:6" x14ac:dyDescent="0.35">
      <c r="F5287"/>
    </row>
    <row r="5288" spans="6:6" x14ac:dyDescent="0.35">
      <c r="F5288"/>
    </row>
    <row r="5289" spans="6:6" x14ac:dyDescent="0.35">
      <c r="F5289"/>
    </row>
    <row r="5290" spans="6:6" x14ac:dyDescent="0.35">
      <c r="F5290"/>
    </row>
    <row r="5291" spans="6:6" x14ac:dyDescent="0.35">
      <c r="F5291"/>
    </row>
    <row r="5292" spans="6:6" x14ac:dyDescent="0.35">
      <c r="F5292"/>
    </row>
    <row r="5293" spans="6:6" x14ac:dyDescent="0.35">
      <c r="F5293"/>
    </row>
    <row r="5294" spans="6:6" x14ac:dyDescent="0.35">
      <c r="F5294"/>
    </row>
    <row r="5295" spans="6:6" x14ac:dyDescent="0.35">
      <c r="F5295"/>
    </row>
    <row r="5296" spans="6:6" x14ac:dyDescent="0.35">
      <c r="F5296"/>
    </row>
    <row r="5297" spans="6:6" x14ac:dyDescent="0.35">
      <c r="F5297"/>
    </row>
    <row r="5298" spans="6:6" x14ac:dyDescent="0.35">
      <c r="F5298"/>
    </row>
    <row r="5299" spans="6:6" x14ac:dyDescent="0.35">
      <c r="F5299"/>
    </row>
    <row r="5300" spans="6:6" x14ac:dyDescent="0.35">
      <c r="F5300"/>
    </row>
    <row r="5301" spans="6:6" x14ac:dyDescent="0.35">
      <c r="F5301"/>
    </row>
    <row r="5302" spans="6:6" x14ac:dyDescent="0.35">
      <c r="F5302"/>
    </row>
    <row r="5303" spans="6:6" x14ac:dyDescent="0.35">
      <c r="F5303"/>
    </row>
    <row r="5304" spans="6:6" x14ac:dyDescent="0.35">
      <c r="F5304"/>
    </row>
    <row r="5305" spans="6:6" x14ac:dyDescent="0.35">
      <c r="F5305"/>
    </row>
    <row r="5306" spans="6:6" x14ac:dyDescent="0.35">
      <c r="F5306"/>
    </row>
    <row r="5307" spans="6:6" x14ac:dyDescent="0.35">
      <c r="F5307"/>
    </row>
    <row r="5308" spans="6:6" x14ac:dyDescent="0.35">
      <c r="F5308"/>
    </row>
    <row r="5309" spans="6:6" x14ac:dyDescent="0.35">
      <c r="F5309"/>
    </row>
    <row r="5310" spans="6:6" x14ac:dyDescent="0.35">
      <c r="F5310"/>
    </row>
    <row r="5311" spans="6:6" x14ac:dyDescent="0.35">
      <c r="F5311"/>
    </row>
    <row r="5312" spans="6:6" x14ac:dyDescent="0.35">
      <c r="F5312"/>
    </row>
    <row r="5313" spans="6:6" x14ac:dyDescent="0.35">
      <c r="F5313"/>
    </row>
    <row r="5314" spans="6:6" x14ac:dyDescent="0.35">
      <c r="F5314"/>
    </row>
    <row r="5315" spans="6:6" x14ac:dyDescent="0.35">
      <c r="F5315"/>
    </row>
    <row r="5316" spans="6:6" x14ac:dyDescent="0.35">
      <c r="F5316"/>
    </row>
    <row r="5317" spans="6:6" x14ac:dyDescent="0.35">
      <c r="F5317"/>
    </row>
    <row r="5318" spans="6:6" x14ac:dyDescent="0.35">
      <c r="F5318"/>
    </row>
    <row r="5319" spans="6:6" x14ac:dyDescent="0.35">
      <c r="F5319"/>
    </row>
    <row r="5320" spans="6:6" x14ac:dyDescent="0.35">
      <c r="F5320"/>
    </row>
    <row r="5321" spans="6:6" x14ac:dyDescent="0.35">
      <c r="F5321"/>
    </row>
    <row r="5322" spans="6:6" x14ac:dyDescent="0.35">
      <c r="F5322"/>
    </row>
    <row r="5323" spans="6:6" x14ac:dyDescent="0.35">
      <c r="F5323"/>
    </row>
    <row r="5324" spans="6:6" x14ac:dyDescent="0.35">
      <c r="F5324"/>
    </row>
    <row r="5325" spans="6:6" x14ac:dyDescent="0.35">
      <c r="F5325"/>
    </row>
    <row r="5326" spans="6:6" x14ac:dyDescent="0.35">
      <c r="F5326"/>
    </row>
    <row r="5327" spans="6:6" x14ac:dyDescent="0.35">
      <c r="F5327"/>
    </row>
    <row r="5328" spans="6:6" x14ac:dyDescent="0.35">
      <c r="F5328"/>
    </row>
    <row r="5329" spans="6:6" x14ac:dyDescent="0.35">
      <c r="F5329"/>
    </row>
    <row r="5330" spans="6:6" x14ac:dyDescent="0.35">
      <c r="F5330"/>
    </row>
    <row r="5331" spans="6:6" x14ac:dyDescent="0.35">
      <c r="F5331"/>
    </row>
    <row r="5332" spans="6:6" x14ac:dyDescent="0.35">
      <c r="F5332"/>
    </row>
    <row r="5333" spans="6:6" x14ac:dyDescent="0.35">
      <c r="F5333"/>
    </row>
    <row r="5334" spans="6:6" x14ac:dyDescent="0.35">
      <c r="F5334"/>
    </row>
    <row r="5335" spans="6:6" x14ac:dyDescent="0.35">
      <c r="F5335"/>
    </row>
    <row r="5336" spans="6:6" x14ac:dyDescent="0.35">
      <c r="F5336"/>
    </row>
    <row r="5337" spans="6:6" x14ac:dyDescent="0.35">
      <c r="F5337"/>
    </row>
    <row r="5338" spans="6:6" x14ac:dyDescent="0.35">
      <c r="F5338"/>
    </row>
    <row r="5339" spans="6:6" x14ac:dyDescent="0.35">
      <c r="F5339"/>
    </row>
    <row r="5340" spans="6:6" x14ac:dyDescent="0.35">
      <c r="F5340"/>
    </row>
    <row r="5341" spans="6:6" x14ac:dyDescent="0.35">
      <c r="F5341"/>
    </row>
    <row r="5342" spans="6:6" x14ac:dyDescent="0.35">
      <c r="F5342"/>
    </row>
    <row r="5343" spans="6:6" x14ac:dyDescent="0.35">
      <c r="F5343"/>
    </row>
    <row r="5344" spans="6:6" x14ac:dyDescent="0.35">
      <c r="F5344"/>
    </row>
    <row r="5345" spans="6:6" x14ac:dyDescent="0.35">
      <c r="F5345"/>
    </row>
    <row r="5346" spans="6:6" x14ac:dyDescent="0.35">
      <c r="F5346"/>
    </row>
    <row r="5347" spans="6:6" x14ac:dyDescent="0.35">
      <c r="F5347"/>
    </row>
    <row r="5348" spans="6:6" x14ac:dyDescent="0.35">
      <c r="F5348"/>
    </row>
    <row r="5349" spans="6:6" x14ac:dyDescent="0.35">
      <c r="F5349"/>
    </row>
    <row r="5350" spans="6:6" x14ac:dyDescent="0.35">
      <c r="F5350"/>
    </row>
    <row r="5351" spans="6:6" x14ac:dyDescent="0.35">
      <c r="F5351"/>
    </row>
    <row r="5352" spans="6:6" x14ac:dyDescent="0.35">
      <c r="F5352"/>
    </row>
    <row r="5353" spans="6:6" x14ac:dyDescent="0.35">
      <c r="F5353"/>
    </row>
    <row r="5354" spans="6:6" x14ac:dyDescent="0.35">
      <c r="F5354"/>
    </row>
    <row r="5355" spans="6:6" x14ac:dyDescent="0.35">
      <c r="F5355"/>
    </row>
    <row r="5356" spans="6:6" x14ac:dyDescent="0.35">
      <c r="F5356"/>
    </row>
    <row r="5357" spans="6:6" x14ac:dyDescent="0.35">
      <c r="F5357"/>
    </row>
    <row r="5358" spans="6:6" x14ac:dyDescent="0.35">
      <c r="F5358"/>
    </row>
    <row r="5359" spans="6:6" x14ac:dyDescent="0.35">
      <c r="F5359"/>
    </row>
    <row r="5360" spans="6:6" x14ac:dyDescent="0.35">
      <c r="F5360"/>
    </row>
    <row r="5361" spans="6:6" x14ac:dyDescent="0.35">
      <c r="F5361"/>
    </row>
    <row r="5362" spans="6:6" x14ac:dyDescent="0.35">
      <c r="F5362"/>
    </row>
    <row r="5363" spans="6:6" x14ac:dyDescent="0.35">
      <c r="F5363"/>
    </row>
    <row r="5364" spans="6:6" x14ac:dyDescent="0.35">
      <c r="F5364"/>
    </row>
    <row r="5365" spans="6:6" x14ac:dyDescent="0.35">
      <c r="F5365"/>
    </row>
    <row r="5366" spans="6:6" x14ac:dyDescent="0.35">
      <c r="F5366"/>
    </row>
    <row r="5367" spans="6:6" x14ac:dyDescent="0.35">
      <c r="F5367"/>
    </row>
    <row r="5368" spans="6:6" x14ac:dyDescent="0.35">
      <c r="F5368"/>
    </row>
    <row r="5369" spans="6:6" x14ac:dyDescent="0.35">
      <c r="F5369"/>
    </row>
    <row r="5370" spans="6:6" x14ac:dyDescent="0.35">
      <c r="F5370"/>
    </row>
    <row r="5371" spans="6:6" x14ac:dyDescent="0.35">
      <c r="F5371"/>
    </row>
    <row r="5372" spans="6:6" x14ac:dyDescent="0.35">
      <c r="F5372"/>
    </row>
    <row r="5373" spans="6:6" x14ac:dyDescent="0.35">
      <c r="F5373"/>
    </row>
    <row r="5374" spans="6:6" x14ac:dyDescent="0.35">
      <c r="F5374"/>
    </row>
    <row r="5375" spans="6:6" x14ac:dyDescent="0.35">
      <c r="F5375"/>
    </row>
    <row r="5376" spans="6:6" x14ac:dyDescent="0.35">
      <c r="F5376"/>
    </row>
    <row r="5377" spans="6:6" x14ac:dyDescent="0.35">
      <c r="F5377"/>
    </row>
    <row r="5378" spans="6:6" x14ac:dyDescent="0.35">
      <c r="F5378"/>
    </row>
    <row r="5379" spans="6:6" x14ac:dyDescent="0.35">
      <c r="F5379"/>
    </row>
    <row r="5380" spans="6:6" x14ac:dyDescent="0.35">
      <c r="F5380"/>
    </row>
    <row r="5381" spans="6:6" x14ac:dyDescent="0.35">
      <c r="F5381"/>
    </row>
    <row r="5382" spans="6:6" x14ac:dyDescent="0.35">
      <c r="F5382"/>
    </row>
    <row r="5383" spans="6:6" x14ac:dyDescent="0.35">
      <c r="F5383"/>
    </row>
    <row r="5384" spans="6:6" x14ac:dyDescent="0.35">
      <c r="F5384"/>
    </row>
    <row r="5385" spans="6:6" x14ac:dyDescent="0.35">
      <c r="F5385"/>
    </row>
    <row r="5386" spans="6:6" x14ac:dyDescent="0.35">
      <c r="F5386"/>
    </row>
    <row r="5387" spans="6:6" x14ac:dyDescent="0.35">
      <c r="F5387"/>
    </row>
    <row r="5388" spans="6:6" x14ac:dyDescent="0.35">
      <c r="F5388"/>
    </row>
    <row r="5389" spans="6:6" x14ac:dyDescent="0.35">
      <c r="F5389"/>
    </row>
    <row r="5390" spans="6:6" x14ac:dyDescent="0.35">
      <c r="F5390"/>
    </row>
    <row r="5391" spans="6:6" x14ac:dyDescent="0.35">
      <c r="F5391"/>
    </row>
    <row r="5392" spans="6:6" x14ac:dyDescent="0.35">
      <c r="F5392"/>
    </row>
    <row r="5393" spans="6:6" x14ac:dyDescent="0.35">
      <c r="F5393"/>
    </row>
    <row r="5394" spans="6:6" x14ac:dyDescent="0.35">
      <c r="F5394"/>
    </row>
    <row r="5395" spans="6:6" x14ac:dyDescent="0.35">
      <c r="F5395"/>
    </row>
    <row r="5396" spans="6:6" x14ac:dyDescent="0.35">
      <c r="F5396"/>
    </row>
    <row r="5397" spans="6:6" x14ac:dyDescent="0.35">
      <c r="F5397"/>
    </row>
    <row r="5398" spans="6:6" x14ac:dyDescent="0.35">
      <c r="F5398"/>
    </row>
    <row r="5399" spans="6:6" x14ac:dyDescent="0.35">
      <c r="F5399"/>
    </row>
    <row r="5400" spans="6:6" x14ac:dyDescent="0.35">
      <c r="F5400"/>
    </row>
    <row r="5401" spans="6:6" x14ac:dyDescent="0.35">
      <c r="F5401"/>
    </row>
    <row r="5402" spans="6:6" x14ac:dyDescent="0.35">
      <c r="F5402"/>
    </row>
    <row r="5403" spans="6:6" x14ac:dyDescent="0.35">
      <c r="F5403"/>
    </row>
    <row r="5404" spans="6:6" x14ac:dyDescent="0.35">
      <c r="F5404"/>
    </row>
    <row r="5405" spans="6:6" x14ac:dyDescent="0.35">
      <c r="F5405"/>
    </row>
    <row r="5406" spans="6:6" x14ac:dyDescent="0.35">
      <c r="F5406"/>
    </row>
    <row r="5407" spans="6:6" x14ac:dyDescent="0.35">
      <c r="F5407"/>
    </row>
    <row r="5408" spans="6:6" x14ac:dyDescent="0.35">
      <c r="F5408"/>
    </row>
    <row r="5409" spans="6:6" x14ac:dyDescent="0.35">
      <c r="F5409"/>
    </row>
    <row r="5410" spans="6:6" x14ac:dyDescent="0.35">
      <c r="F5410"/>
    </row>
    <row r="5411" spans="6:6" x14ac:dyDescent="0.35">
      <c r="F5411"/>
    </row>
    <row r="5412" spans="6:6" x14ac:dyDescent="0.35">
      <c r="F5412"/>
    </row>
    <row r="5413" spans="6:6" x14ac:dyDescent="0.35">
      <c r="F5413"/>
    </row>
    <row r="5414" spans="6:6" x14ac:dyDescent="0.35">
      <c r="F5414"/>
    </row>
    <row r="5415" spans="6:6" x14ac:dyDescent="0.35">
      <c r="F5415"/>
    </row>
    <row r="5416" spans="6:6" x14ac:dyDescent="0.35">
      <c r="F5416"/>
    </row>
    <row r="5417" spans="6:6" x14ac:dyDescent="0.35">
      <c r="F5417"/>
    </row>
    <row r="5418" spans="6:6" x14ac:dyDescent="0.35">
      <c r="F5418"/>
    </row>
    <row r="5419" spans="6:6" x14ac:dyDescent="0.35">
      <c r="F5419"/>
    </row>
    <row r="5420" spans="6:6" x14ac:dyDescent="0.35">
      <c r="F5420"/>
    </row>
    <row r="5421" spans="6:6" x14ac:dyDescent="0.35">
      <c r="F5421"/>
    </row>
    <row r="5422" spans="6:6" x14ac:dyDescent="0.35">
      <c r="F5422"/>
    </row>
    <row r="5423" spans="6:6" x14ac:dyDescent="0.35">
      <c r="F5423"/>
    </row>
    <row r="5424" spans="6:6" x14ac:dyDescent="0.35">
      <c r="F5424"/>
    </row>
    <row r="5425" spans="6:6" x14ac:dyDescent="0.35">
      <c r="F5425"/>
    </row>
    <row r="5426" spans="6:6" x14ac:dyDescent="0.35">
      <c r="F5426"/>
    </row>
    <row r="5427" spans="6:6" x14ac:dyDescent="0.35">
      <c r="F5427"/>
    </row>
    <row r="5428" spans="6:6" x14ac:dyDescent="0.35">
      <c r="F5428"/>
    </row>
    <row r="5429" spans="6:6" x14ac:dyDescent="0.35">
      <c r="F5429"/>
    </row>
    <row r="5430" spans="6:6" x14ac:dyDescent="0.35">
      <c r="F5430"/>
    </row>
    <row r="5431" spans="6:6" x14ac:dyDescent="0.35">
      <c r="F5431"/>
    </row>
    <row r="5432" spans="6:6" x14ac:dyDescent="0.35">
      <c r="F5432"/>
    </row>
    <row r="5433" spans="6:6" x14ac:dyDescent="0.35">
      <c r="F5433"/>
    </row>
    <row r="5434" spans="6:6" x14ac:dyDescent="0.35">
      <c r="F5434"/>
    </row>
    <row r="5435" spans="6:6" x14ac:dyDescent="0.35">
      <c r="F5435"/>
    </row>
    <row r="5436" spans="6:6" x14ac:dyDescent="0.35">
      <c r="F5436"/>
    </row>
    <row r="5437" spans="6:6" x14ac:dyDescent="0.35">
      <c r="F5437"/>
    </row>
    <row r="5438" spans="6:6" x14ac:dyDescent="0.35">
      <c r="F5438"/>
    </row>
    <row r="5439" spans="6:6" x14ac:dyDescent="0.35">
      <c r="F5439"/>
    </row>
    <row r="5440" spans="6:6" x14ac:dyDescent="0.35">
      <c r="F5440"/>
    </row>
    <row r="5441" spans="6:6" x14ac:dyDescent="0.35">
      <c r="F5441"/>
    </row>
    <row r="5442" spans="6:6" x14ac:dyDescent="0.35">
      <c r="F5442"/>
    </row>
    <row r="5443" spans="6:6" x14ac:dyDescent="0.35">
      <c r="F5443"/>
    </row>
    <row r="5444" spans="6:6" x14ac:dyDescent="0.35">
      <c r="F5444"/>
    </row>
    <row r="5445" spans="6:6" x14ac:dyDescent="0.35">
      <c r="F5445"/>
    </row>
    <row r="5446" spans="6:6" x14ac:dyDescent="0.35">
      <c r="F5446"/>
    </row>
    <row r="5447" spans="6:6" x14ac:dyDescent="0.35">
      <c r="F5447"/>
    </row>
    <row r="5448" spans="6:6" x14ac:dyDescent="0.35">
      <c r="F5448"/>
    </row>
    <row r="5449" spans="6:6" x14ac:dyDescent="0.35">
      <c r="F5449"/>
    </row>
    <row r="5450" spans="6:6" x14ac:dyDescent="0.35">
      <c r="F5450"/>
    </row>
    <row r="5451" spans="6:6" x14ac:dyDescent="0.35">
      <c r="F5451"/>
    </row>
    <row r="5452" spans="6:6" x14ac:dyDescent="0.35">
      <c r="F5452"/>
    </row>
    <row r="5453" spans="6:6" x14ac:dyDescent="0.35">
      <c r="F5453"/>
    </row>
    <row r="5454" spans="6:6" x14ac:dyDescent="0.35">
      <c r="F5454"/>
    </row>
    <row r="5455" spans="6:6" x14ac:dyDescent="0.35">
      <c r="F5455"/>
    </row>
    <row r="5456" spans="6:6" x14ac:dyDescent="0.35">
      <c r="F5456"/>
    </row>
    <row r="5457" spans="6:6" x14ac:dyDescent="0.35">
      <c r="F5457"/>
    </row>
    <row r="5458" spans="6:6" x14ac:dyDescent="0.35">
      <c r="F5458"/>
    </row>
    <row r="5459" spans="6:6" x14ac:dyDescent="0.35">
      <c r="F5459"/>
    </row>
    <row r="5460" spans="6:6" x14ac:dyDescent="0.35">
      <c r="F5460"/>
    </row>
    <row r="5461" spans="6:6" x14ac:dyDescent="0.35">
      <c r="F5461"/>
    </row>
    <row r="5462" spans="6:6" x14ac:dyDescent="0.35">
      <c r="F5462"/>
    </row>
    <row r="5463" spans="6:6" x14ac:dyDescent="0.35">
      <c r="F5463"/>
    </row>
    <row r="5464" spans="6:6" x14ac:dyDescent="0.35">
      <c r="F5464"/>
    </row>
    <row r="5465" spans="6:6" x14ac:dyDescent="0.35">
      <c r="F5465"/>
    </row>
    <row r="5466" spans="6:6" x14ac:dyDescent="0.35">
      <c r="F5466"/>
    </row>
    <row r="5467" spans="6:6" x14ac:dyDescent="0.35">
      <c r="F5467"/>
    </row>
    <row r="5468" spans="6:6" x14ac:dyDescent="0.35">
      <c r="F5468"/>
    </row>
    <row r="5469" spans="6:6" x14ac:dyDescent="0.35">
      <c r="F5469"/>
    </row>
    <row r="5470" spans="6:6" x14ac:dyDescent="0.35">
      <c r="F5470"/>
    </row>
    <row r="5471" spans="6:6" x14ac:dyDescent="0.35">
      <c r="F5471"/>
    </row>
    <row r="5472" spans="6:6" x14ac:dyDescent="0.35">
      <c r="F5472"/>
    </row>
    <row r="5473" spans="6:6" x14ac:dyDescent="0.35">
      <c r="F5473"/>
    </row>
    <row r="5474" spans="6:6" x14ac:dyDescent="0.35">
      <c r="F5474"/>
    </row>
    <row r="5475" spans="6:6" x14ac:dyDescent="0.35">
      <c r="F5475"/>
    </row>
    <row r="5476" spans="6:6" x14ac:dyDescent="0.35">
      <c r="F5476"/>
    </row>
    <row r="5477" spans="6:6" x14ac:dyDescent="0.35">
      <c r="F5477"/>
    </row>
    <row r="5478" spans="6:6" x14ac:dyDescent="0.35">
      <c r="F5478"/>
    </row>
    <row r="5479" spans="6:6" x14ac:dyDescent="0.35">
      <c r="F5479"/>
    </row>
    <row r="5480" spans="6:6" x14ac:dyDescent="0.35">
      <c r="F5480"/>
    </row>
    <row r="5481" spans="6:6" x14ac:dyDescent="0.35">
      <c r="F5481"/>
    </row>
    <row r="5482" spans="6:6" x14ac:dyDescent="0.35">
      <c r="F5482"/>
    </row>
    <row r="5483" spans="6:6" x14ac:dyDescent="0.35">
      <c r="F5483"/>
    </row>
    <row r="5484" spans="6:6" x14ac:dyDescent="0.35">
      <c r="F5484"/>
    </row>
    <row r="5485" spans="6:6" x14ac:dyDescent="0.35">
      <c r="F5485"/>
    </row>
    <row r="5486" spans="6:6" x14ac:dyDescent="0.35">
      <c r="F5486"/>
    </row>
    <row r="5487" spans="6:6" x14ac:dyDescent="0.35">
      <c r="F5487"/>
    </row>
    <row r="5488" spans="6:6" x14ac:dyDescent="0.35">
      <c r="F5488"/>
    </row>
    <row r="5489" spans="6:6" x14ac:dyDescent="0.35">
      <c r="F5489"/>
    </row>
    <row r="5490" spans="6:6" x14ac:dyDescent="0.35">
      <c r="F5490"/>
    </row>
    <row r="5491" spans="6:6" x14ac:dyDescent="0.35">
      <c r="F5491"/>
    </row>
    <row r="5492" spans="6:6" x14ac:dyDescent="0.35">
      <c r="F5492"/>
    </row>
    <row r="5493" spans="6:6" x14ac:dyDescent="0.35">
      <c r="F5493"/>
    </row>
    <row r="5494" spans="6:6" x14ac:dyDescent="0.35">
      <c r="F5494"/>
    </row>
    <row r="5495" spans="6:6" x14ac:dyDescent="0.35">
      <c r="F5495"/>
    </row>
    <row r="5496" spans="6:6" x14ac:dyDescent="0.35">
      <c r="F5496"/>
    </row>
    <row r="5497" spans="6:6" x14ac:dyDescent="0.35">
      <c r="F5497"/>
    </row>
    <row r="5498" spans="6:6" x14ac:dyDescent="0.35">
      <c r="F5498"/>
    </row>
    <row r="5499" spans="6:6" x14ac:dyDescent="0.35">
      <c r="F5499"/>
    </row>
    <row r="5500" spans="6:6" x14ac:dyDescent="0.35">
      <c r="F5500"/>
    </row>
    <row r="5501" spans="6:6" x14ac:dyDescent="0.35">
      <c r="F5501"/>
    </row>
    <row r="5502" spans="6:6" x14ac:dyDescent="0.35">
      <c r="F5502"/>
    </row>
    <row r="5503" spans="6:6" x14ac:dyDescent="0.35">
      <c r="F5503"/>
    </row>
    <row r="5504" spans="6:6" x14ac:dyDescent="0.35">
      <c r="F5504"/>
    </row>
    <row r="5505" spans="6:6" x14ac:dyDescent="0.35">
      <c r="F5505"/>
    </row>
    <row r="5506" spans="6:6" x14ac:dyDescent="0.35">
      <c r="F5506"/>
    </row>
    <row r="5507" spans="6:6" x14ac:dyDescent="0.35">
      <c r="F5507"/>
    </row>
    <row r="5508" spans="6:6" x14ac:dyDescent="0.35">
      <c r="F5508"/>
    </row>
    <row r="5509" spans="6:6" x14ac:dyDescent="0.35">
      <c r="F5509"/>
    </row>
    <row r="5510" spans="6:6" x14ac:dyDescent="0.35">
      <c r="F5510"/>
    </row>
    <row r="5511" spans="6:6" x14ac:dyDescent="0.35">
      <c r="F5511"/>
    </row>
    <row r="5512" spans="6:6" x14ac:dyDescent="0.35">
      <c r="F5512"/>
    </row>
    <row r="5513" spans="6:6" x14ac:dyDescent="0.35">
      <c r="F5513"/>
    </row>
    <row r="5514" spans="6:6" x14ac:dyDescent="0.35">
      <c r="F5514"/>
    </row>
    <row r="5515" spans="6:6" x14ac:dyDescent="0.35">
      <c r="F5515"/>
    </row>
    <row r="5516" spans="6:6" x14ac:dyDescent="0.35">
      <c r="F5516"/>
    </row>
    <row r="5517" spans="6:6" x14ac:dyDescent="0.35">
      <c r="F5517"/>
    </row>
    <row r="5518" spans="6:6" x14ac:dyDescent="0.35">
      <c r="F5518"/>
    </row>
    <row r="5519" spans="6:6" x14ac:dyDescent="0.35">
      <c r="F5519"/>
    </row>
    <row r="5520" spans="6:6" x14ac:dyDescent="0.35">
      <c r="F5520"/>
    </row>
    <row r="5521" spans="6:6" x14ac:dyDescent="0.35">
      <c r="F5521"/>
    </row>
    <row r="5522" spans="6:6" x14ac:dyDescent="0.35">
      <c r="F5522"/>
    </row>
    <row r="5523" spans="6:6" x14ac:dyDescent="0.35">
      <c r="F5523"/>
    </row>
    <row r="5524" spans="6:6" x14ac:dyDescent="0.35">
      <c r="F5524"/>
    </row>
    <row r="5525" spans="6:6" x14ac:dyDescent="0.35">
      <c r="F5525"/>
    </row>
    <row r="5526" spans="6:6" x14ac:dyDescent="0.35">
      <c r="F5526"/>
    </row>
    <row r="5527" spans="6:6" x14ac:dyDescent="0.35">
      <c r="F5527"/>
    </row>
    <row r="5528" spans="6:6" x14ac:dyDescent="0.35">
      <c r="F5528"/>
    </row>
    <row r="5529" spans="6:6" x14ac:dyDescent="0.35">
      <c r="F5529"/>
    </row>
    <row r="5530" spans="6:6" x14ac:dyDescent="0.35">
      <c r="F5530"/>
    </row>
    <row r="5531" spans="6:6" x14ac:dyDescent="0.35">
      <c r="F5531"/>
    </row>
    <row r="5532" spans="6:6" x14ac:dyDescent="0.35">
      <c r="F5532"/>
    </row>
    <row r="5533" spans="6:6" x14ac:dyDescent="0.35">
      <c r="F5533"/>
    </row>
    <row r="5534" spans="6:6" x14ac:dyDescent="0.35">
      <c r="F5534"/>
    </row>
    <row r="5535" spans="6:6" x14ac:dyDescent="0.35">
      <c r="F5535"/>
    </row>
    <row r="5536" spans="6:6" x14ac:dyDescent="0.35">
      <c r="F5536"/>
    </row>
    <row r="5537" spans="6:6" x14ac:dyDescent="0.35">
      <c r="F5537"/>
    </row>
    <row r="5538" spans="6:6" x14ac:dyDescent="0.35">
      <c r="F5538"/>
    </row>
    <row r="5539" spans="6:6" x14ac:dyDescent="0.35">
      <c r="F5539"/>
    </row>
    <row r="5540" spans="6:6" x14ac:dyDescent="0.35">
      <c r="F5540"/>
    </row>
    <row r="5541" spans="6:6" x14ac:dyDescent="0.35">
      <c r="F5541"/>
    </row>
    <row r="5542" spans="6:6" x14ac:dyDescent="0.35">
      <c r="F5542"/>
    </row>
    <row r="5543" spans="6:6" x14ac:dyDescent="0.35">
      <c r="F5543"/>
    </row>
    <row r="5544" spans="6:6" x14ac:dyDescent="0.35">
      <c r="F5544"/>
    </row>
    <row r="5545" spans="6:6" x14ac:dyDescent="0.35">
      <c r="F5545"/>
    </row>
    <row r="5546" spans="6:6" x14ac:dyDescent="0.35">
      <c r="F5546"/>
    </row>
    <row r="5547" spans="6:6" x14ac:dyDescent="0.35">
      <c r="F5547"/>
    </row>
    <row r="5548" spans="6:6" x14ac:dyDescent="0.35">
      <c r="F5548"/>
    </row>
    <row r="5549" spans="6:6" x14ac:dyDescent="0.35">
      <c r="F5549"/>
    </row>
    <row r="5550" spans="6:6" x14ac:dyDescent="0.35">
      <c r="F5550"/>
    </row>
    <row r="5551" spans="6:6" x14ac:dyDescent="0.35">
      <c r="F5551"/>
    </row>
    <row r="5552" spans="6:6" x14ac:dyDescent="0.35">
      <c r="F5552"/>
    </row>
    <row r="5553" spans="6:6" x14ac:dyDescent="0.35">
      <c r="F5553"/>
    </row>
    <row r="5554" spans="6:6" x14ac:dyDescent="0.35">
      <c r="F5554"/>
    </row>
    <row r="5555" spans="6:6" x14ac:dyDescent="0.35">
      <c r="F5555"/>
    </row>
    <row r="5556" spans="6:6" x14ac:dyDescent="0.35">
      <c r="F5556"/>
    </row>
    <row r="5557" spans="6:6" x14ac:dyDescent="0.35">
      <c r="F5557"/>
    </row>
    <row r="5558" spans="6:6" x14ac:dyDescent="0.35">
      <c r="F5558"/>
    </row>
    <row r="5559" spans="6:6" x14ac:dyDescent="0.35">
      <c r="F5559"/>
    </row>
    <row r="5560" spans="6:6" x14ac:dyDescent="0.35">
      <c r="F5560"/>
    </row>
    <row r="5561" spans="6:6" x14ac:dyDescent="0.35">
      <c r="F5561"/>
    </row>
    <row r="5562" spans="6:6" x14ac:dyDescent="0.35">
      <c r="F5562"/>
    </row>
    <row r="5563" spans="6:6" x14ac:dyDescent="0.35">
      <c r="F5563"/>
    </row>
    <row r="5564" spans="6:6" x14ac:dyDescent="0.35">
      <c r="F5564"/>
    </row>
    <row r="5565" spans="6:6" x14ac:dyDescent="0.35">
      <c r="F5565"/>
    </row>
    <row r="5566" spans="6:6" x14ac:dyDescent="0.35">
      <c r="F5566"/>
    </row>
    <row r="5567" spans="6:6" x14ac:dyDescent="0.35">
      <c r="F5567"/>
    </row>
    <row r="5568" spans="6:6" x14ac:dyDescent="0.35">
      <c r="F5568"/>
    </row>
    <row r="5569" spans="6:6" x14ac:dyDescent="0.35">
      <c r="F5569"/>
    </row>
    <row r="5570" spans="6:6" x14ac:dyDescent="0.35">
      <c r="F5570"/>
    </row>
    <row r="5571" spans="6:6" x14ac:dyDescent="0.35">
      <c r="F5571"/>
    </row>
    <row r="5572" spans="6:6" x14ac:dyDescent="0.35">
      <c r="F5572"/>
    </row>
    <row r="5573" spans="6:6" x14ac:dyDescent="0.35">
      <c r="F5573"/>
    </row>
    <row r="5574" spans="6:6" x14ac:dyDescent="0.35">
      <c r="F5574"/>
    </row>
    <row r="5575" spans="6:6" x14ac:dyDescent="0.35">
      <c r="F5575"/>
    </row>
    <row r="5576" spans="6:6" x14ac:dyDescent="0.35">
      <c r="F5576"/>
    </row>
    <row r="5577" spans="6:6" x14ac:dyDescent="0.35">
      <c r="F5577"/>
    </row>
    <row r="5578" spans="6:6" x14ac:dyDescent="0.35">
      <c r="F5578"/>
    </row>
    <row r="5579" spans="6:6" x14ac:dyDescent="0.35">
      <c r="F5579"/>
    </row>
    <row r="5580" spans="6:6" x14ac:dyDescent="0.35">
      <c r="F5580"/>
    </row>
    <row r="5581" spans="6:6" x14ac:dyDescent="0.35">
      <c r="F5581"/>
    </row>
    <row r="5582" spans="6:6" x14ac:dyDescent="0.35">
      <c r="F5582"/>
    </row>
    <row r="5583" spans="6:6" x14ac:dyDescent="0.35">
      <c r="F5583"/>
    </row>
    <row r="5584" spans="6:6" x14ac:dyDescent="0.35">
      <c r="F5584"/>
    </row>
    <row r="5585" spans="6:6" x14ac:dyDescent="0.35">
      <c r="F5585"/>
    </row>
    <row r="5586" spans="6:6" x14ac:dyDescent="0.35">
      <c r="F5586"/>
    </row>
    <row r="5587" spans="6:6" x14ac:dyDescent="0.35">
      <c r="F5587"/>
    </row>
    <row r="5588" spans="6:6" x14ac:dyDescent="0.35">
      <c r="F5588"/>
    </row>
    <row r="5589" spans="6:6" x14ac:dyDescent="0.35">
      <c r="F5589"/>
    </row>
    <row r="5590" spans="6:6" x14ac:dyDescent="0.35">
      <c r="F5590"/>
    </row>
    <row r="5591" spans="6:6" x14ac:dyDescent="0.35">
      <c r="F5591"/>
    </row>
    <row r="5592" spans="6:6" x14ac:dyDescent="0.35">
      <c r="F5592"/>
    </row>
    <row r="5593" spans="6:6" x14ac:dyDescent="0.35">
      <c r="F5593"/>
    </row>
    <row r="5594" spans="6:6" x14ac:dyDescent="0.35">
      <c r="F5594"/>
    </row>
    <row r="5595" spans="6:6" x14ac:dyDescent="0.35">
      <c r="F5595"/>
    </row>
    <row r="5596" spans="6:6" x14ac:dyDescent="0.35">
      <c r="F5596"/>
    </row>
    <row r="5597" spans="6:6" x14ac:dyDescent="0.35">
      <c r="F5597"/>
    </row>
    <row r="5598" spans="6:6" x14ac:dyDescent="0.35">
      <c r="F5598"/>
    </row>
    <row r="5599" spans="6:6" x14ac:dyDescent="0.35">
      <c r="F5599"/>
    </row>
    <row r="5600" spans="6:6" x14ac:dyDescent="0.35">
      <c r="F5600"/>
    </row>
    <row r="5601" spans="6:6" x14ac:dyDescent="0.35">
      <c r="F5601"/>
    </row>
    <row r="5602" spans="6:6" x14ac:dyDescent="0.35">
      <c r="F5602"/>
    </row>
    <row r="5603" spans="6:6" x14ac:dyDescent="0.35">
      <c r="F5603"/>
    </row>
    <row r="5604" spans="6:6" x14ac:dyDescent="0.35">
      <c r="F5604"/>
    </row>
    <row r="5605" spans="6:6" x14ac:dyDescent="0.35">
      <c r="F5605"/>
    </row>
    <row r="5606" spans="6:6" x14ac:dyDescent="0.35">
      <c r="F5606"/>
    </row>
    <row r="5607" spans="6:6" x14ac:dyDescent="0.35">
      <c r="F5607"/>
    </row>
    <row r="5608" spans="6:6" x14ac:dyDescent="0.35">
      <c r="F5608"/>
    </row>
    <row r="5609" spans="6:6" x14ac:dyDescent="0.35">
      <c r="F5609"/>
    </row>
    <row r="5610" spans="6:6" x14ac:dyDescent="0.35">
      <c r="F5610"/>
    </row>
    <row r="5611" spans="6:6" x14ac:dyDescent="0.35">
      <c r="F5611"/>
    </row>
    <row r="5612" spans="6:6" x14ac:dyDescent="0.35">
      <c r="F5612"/>
    </row>
    <row r="5613" spans="6:6" x14ac:dyDescent="0.35">
      <c r="F5613"/>
    </row>
    <row r="5614" spans="6:6" x14ac:dyDescent="0.35">
      <c r="F5614"/>
    </row>
    <row r="5615" spans="6:6" x14ac:dyDescent="0.35">
      <c r="F5615"/>
    </row>
    <row r="5616" spans="6:6" x14ac:dyDescent="0.35">
      <c r="F5616"/>
    </row>
    <row r="5617" spans="6:6" x14ac:dyDescent="0.35">
      <c r="F5617"/>
    </row>
    <row r="5618" spans="6:6" x14ac:dyDescent="0.35">
      <c r="F5618"/>
    </row>
    <row r="5619" spans="6:6" x14ac:dyDescent="0.35">
      <c r="F5619"/>
    </row>
    <row r="5620" spans="6:6" x14ac:dyDescent="0.35">
      <c r="F5620"/>
    </row>
    <row r="5621" spans="6:6" x14ac:dyDescent="0.35">
      <c r="F5621"/>
    </row>
    <row r="5622" spans="6:6" x14ac:dyDescent="0.35">
      <c r="F5622"/>
    </row>
    <row r="5623" spans="6:6" x14ac:dyDescent="0.35">
      <c r="F5623"/>
    </row>
    <row r="5624" spans="6:6" x14ac:dyDescent="0.35">
      <c r="F5624"/>
    </row>
    <row r="5625" spans="6:6" x14ac:dyDescent="0.35">
      <c r="F5625"/>
    </row>
    <row r="5626" spans="6:6" x14ac:dyDescent="0.35">
      <c r="F5626"/>
    </row>
    <row r="5627" spans="6:6" x14ac:dyDescent="0.35">
      <c r="F5627"/>
    </row>
    <row r="5628" spans="6:6" x14ac:dyDescent="0.35">
      <c r="F5628"/>
    </row>
    <row r="5629" spans="6:6" x14ac:dyDescent="0.35">
      <c r="F5629"/>
    </row>
    <row r="5630" spans="6:6" x14ac:dyDescent="0.35">
      <c r="F5630"/>
    </row>
    <row r="5631" spans="6:6" x14ac:dyDescent="0.35">
      <c r="F5631"/>
    </row>
    <row r="5632" spans="6:6" x14ac:dyDescent="0.35">
      <c r="F5632"/>
    </row>
    <row r="5633" spans="6:6" x14ac:dyDescent="0.35">
      <c r="F5633"/>
    </row>
    <row r="5634" spans="6:6" x14ac:dyDescent="0.35">
      <c r="F5634"/>
    </row>
    <row r="5635" spans="6:6" x14ac:dyDescent="0.35">
      <c r="F5635"/>
    </row>
    <row r="5636" spans="6:6" x14ac:dyDescent="0.35">
      <c r="F5636"/>
    </row>
    <row r="5637" spans="6:6" x14ac:dyDescent="0.35">
      <c r="F5637"/>
    </row>
    <row r="5638" spans="6:6" x14ac:dyDescent="0.35">
      <c r="F5638"/>
    </row>
    <row r="5639" spans="6:6" x14ac:dyDescent="0.35">
      <c r="F5639"/>
    </row>
    <row r="5640" spans="6:6" x14ac:dyDescent="0.35">
      <c r="F5640"/>
    </row>
    <row r="5641" spans="6:6" x14ac:dyDescent="0.35">
      <c r="F5641"/>
    </row>
    <row r="5642" spans="6:6" x14ac:dyDescent="0.35">
      <c r="F5642"/>
    </row>
    <row r="5643" spans="6:6" x14ac:dyDescent="0.35">
      <c r="F5643"/>
    </row>
    <row r="5644" spans="6:6" x14ac:dyDescent="0.35">
      <c r="F5644"/>
    </row>
    <row r="5645" spans="6:6" x14ac:dyDescent="0.35">
      <c r="F5645"/>
    </row>
    <row r="5646" spans="6:6" x14ac:dyDescent="0.35">
      <c r="F5646"/>
    </row>
    <row r="5647" spans="6:6" x14ac:dyDescent="0.35">
      <c r="F5647"/>
    </row>
    <row r="5648" spans="6:6" x14ac:dyDescent="0.35">
      <c r="F5648"/>
    </row>
    <row r="5649" spans="6:6" x14ac:dyDescent="0.35">
      <c r="F5649"/>
    </row>
    <row r="5650" spans="6:6" x14ac:dyDescent="0.35">
      <c r="F5650"/>
    </row>
    <row r="5651" spans="6:6" x14ac:dyDescent="0.35">
      <c r="F5651"/>
    </row>
    <row r="5652" spans="6:6" x14ac:dyDescent="0.35">
      <c r="F5652"/>
    </row>
    <row r="5653" spans="6:6" x14ac:dyDescent="0.35">
      <c r="F5653"/>
    </row>
    <row r="5654" spans="6:6" x14ac:dyDescent="0.35">
      <c r="F5654"/>
    </row>
    <row r="5655" spans="6:6" x14ac:dyDescent="0.35">
      <c r="F5655"/>
    </row>
    <row r="5656" spans="6:6" x14ac:dyDescent="0.35">
      <c r="F5656"/>
    </row>
    <row r="5657" spans="6:6" x14ac:dyDescent="0.35">
      <c r="F5657"/>
    </row>
    <row r="5658" spans="6:6" x14ac:dyDescent="0.35">
      <c r="F5658"/>
    </row>
    <row r="5659" spans="6:6" x14ac:dyDescent="0.35">
      <c r="F5659"/>
    </row>
    <row r="5660" spans="6:6" x14ac:dyDescent="0.35">
      <c r="F5660"/>
    </row>
    <row r="5661" spans="6:6" x14ac:dyDescent="0.35">
      <c r="F5661"/>
    </row>
    <row r="5662" spans="6:6" x14ac:dyDescent="0.35">
      <c r="F5662"/>
    </row>
    <row r="5663" spans="6:6" x14ac:dyDescent="0.35">
      <c r="F5663"/>
    </row>
    <row r="5664" spans="6:6" x14ac:dyDescent="0.35">
      <c r="F5664"/>
    </row>
    <row r="5665" spans="6:6" x14ac:dyDescent="0.35">
      <c r="F5665"/>
    </row>
    <row r="5666" spans="6:6" x14ac:dyDescent="0.35">
      <c r="F5666"/>
    </row>
    <row r="5667" spans="6:6" x14ac:dyDescent="0.35">
      <c r="F5667"/>
    </row>
    <row r="5668" spans="6:6" x14ac:dyDescent="0.35">
      <c r="F5668"/>
    </row>
    <row r="5669" spans="6:6" x14ac:dyDescent="0.35">
      <c r="F5669"/>
    </row>
    <row r="5670" spans="6:6" x14ac:dyDescent="0.35">
      <c r="F5670"/>
    </row>
    <row r="5671" spans="6:6" x14ac:dyDescent="0.35">
      <c r="F5671"/>
    </row>
    <row r="5672" spans="6:6" x14ac:dyDescent="0.35">
      <c r="F5672"/>
    </row>
    <row r="5673" spans="6:6" x14ac:dyDescent="0.35">
      <c r="F5673"/>
    </row>
    <row r="5674" spans="6:6" x14ac:dyDescent="0.35">
      <c r="F5674"/>
    </row>
    <row r="5675" spans="6:6" x14ac:dyDescent="0.35">
      <c r="F5675"/>
    </row>
    <row r="5676" spans="6:6" x14ac:dyDescent="0.35">
      <c r="F5676"/>
    </row>
    <row r="5677" spans="6:6" x14ac:dyDescent="0.35">
      <c r="F5677"/>
    </row>
    <row r="5678" spans="6:6" x14ac:dyDescent="0.35">
      <c r="F5678"/>
    </row>
    <row r="5679" spans="6:6" x14ac:dyDescent="0.35">
      <c r="F5679"/>
    </row>
    <row r="5680" spans="6:6" x14ac:dyDescent="0.35">
      <c r="F5680"/>
    </row>
    <row r="5681" spans="6:6" x14ac:dyDescent="0.35">
      <c r="F5681"/>
    </row>
    <row r="5682" spans="6:6" x14ac:dyDescent="0.35">
      <c r="F5682"/>
    </row>
    <row r="5683" spans="6:6" x14ac:dyDescent="0.35">
      <c r="F5683"/>
    </row>
    <row r="5684" spans="6:6" x14ac:dyDescent="0.35">
      <c r="F5684"/>
    </row>
    <row r="5685" spans="6:6" x14ac:dyDescent="0.35">
      <c r="F5685"/>
    </row>
    <row r="5686" spans="6:6" x14ac:dyDescent="0.35">
      <c r="F5686"/>
    </row>
    <row r="5687" spans="6:6" x14ac:dyDescent="0.35">
      <c r="F5687"/>
    </row>
    <row r="5688" spans="6:6" x14ac:dyDescent="0.35">
      <c r="F5688"/>
    </row>
    <row r="5689" spans="6:6" x14ac:dyDescent="0.35">
      <c r="F5689"/>
    </row>
    <row r="5690" spans="6:6" x14ac:dyDescent="0.35">
      <c r="F5690"/>
    </row>
    <row r="5691" spans="6:6" x14ac:dyDescent="0.35">
      <c r="F5691"/>
    </row>
    <row r="5692" spans="6:6" x14ac:dyDescent="0.35">
      <c r="F5692"/>
    </row>
    <row r="5693" spans="6:6" x14ac:dyDescent="0.35">
      <c r="F5693"/>
    </row>
    <row r="5694" spans="6:6" x14ac:dyDescent="0.35">
      <c r="F5694"/>
    </row>
    <row r="5695" spans="6:6" x14ac:dyDescent="0.35">
      <c r="F5695"/>
    </row>
    <row r="5696" spans="6:6" x14ac:dyDescent="0.35">
      <c r="F5696"/>
    </row>
    <row r="5697" spans="6:6" x14ac:dyDescent="0.35">
      <c r="F5697"/>
    </row>
    <row r="5698" spans="6:6" x14ac:dyDescent="0.35">
      <c r="F5698"/>
    </row>
    <row r="5699" spans="6:6" x14ac:dyDescent="0.35">
      <c r="F5699"/>
    </row>
    <row r="5700" spans="6:6" x14ac:dyDescent="0.35">
      <c r="F5700"/>
    </row>
    <row r="5701" spans="6:6" x14ac:dyDescent="0.35">
      <c r="F5701"/>
    </row>
    <row r="5702" spans="6:6" x14ac:dyDescent="0.35">
      <c r="F5702"/>
    </row>
    <row r="5703" spans="6:6" x14ac:dyDescent="0.35">
      <c r="F5703"/>
    </row>
    <row r="5704" spans="6:6" x14ac:dyDescent="0.35">
      <c r="F5704"/>
    </row>
    <row r="5705" spans="6:6" x14ac:dyDescent="0.35">
      <c r="F5705"/>
    </row>
    <row r="5706" spans="6:6" x14ac:dyDescent="0.35">
      <c r="F5706"/>
    </row>
    <row r="5707" spans="6:6" x14ac:dyDescent="0.35">
      <c r="F5707"/>
    </row>
    <row r="5708" spans="6:6" x14ac:dyDescent="0.35">
      <c r="F5708"/>
    </row>
    <row r="5709" spans="6:6" x14ac:dyDescent="0.35">
      <c r="F5709"/>
    </row>
    <row r="5710" spans="6:6" x14ac:dyDescent="0.35">
      <c r="F5710"/>
    </row>
    <row r="5711" spans="6:6" x14ac:dyDescent="0.35">
      <c r="F5711"/>
    </row>
    <row r="5712" spans="6:6" x14ac:dyDescent="0.35">
      <c r="F5712"/>
    </row>
    <row r="5713" spans="6:6" x14ac:dyDescent="0.35">
      <c r="F5713"/>
    </row>
    <row r="5714" spans="6:6" x14ac:dyDescent="0.35">
      <c r="F5714"/>
    </row>
    <row r="5715" spans="6:6" x14ac:dyDescent="0.35">
      <c r="F5715"/>
    </row>
    <row r="5716" spans="6:6" x14ac:dyDescent="0.35">
      <c r="F5716"/>
    </row>
    <row r="5717" spans="6:6" x14ac:dyDescent="0.35">
      <c r="F5717"/>
    </row>
    <row r="5718" spans="6:6" x14ac:dyDescent="0.35">
      <c r="F5718"/>
    </row>
    <row r="5719" spans="6:6" x14ac:dyDescent="0.35">
      <c r="F5719"/>
    </row>
    <row r="5720" spans="6:6" x14ac:dyDescent="0.35">
      <c r="F5720"/>
    </row>
    <row r="5721" spans="6:6" x14ac:dyDescent="0.35">
      <c r="F5721"/>
    </row>
    <row r="5722" spans="6:6" x14ac:dyDescent="0.35">
      <c r="F5722"/>
    </row>
    <row r="5723" spans="6:6" x14ac:dyDescent="0.35">
      <c r="F5723"/>
    </row>
    <row r="5724" spans="6:6" x14ac:dyDescent="0.35">
      <c r="F5724"/>
    </row>
    <row r="5725" spans="6:6" x14ac:dyDescent="0.35">
      <c r="F5725"/>
    </row>
    <row r="5726" spans="6:6" x14ac:dyDescent="0.35">
      <c r="F5726"/>
    </row>
    <row r="5727" spans="6:6" x14ac:dyDescent="0.35">
      <c r="F5727"/>
    </row>
    <row r="5728" spans="6:6" x14ac:dyDescent="0.35">
      <c r="F5728"/>
    </row>
    <row r="5729" spans="6:6" x14ac:dyDescent="0.35">
      <c r="F5729"/>
    </row>
    <row r="5730" spans="6:6" x14ac:dyDescent="0.35">
      <c r="F5730"/>
    </row>
    <row r="5731" spans="6:6" x14ac:dyDescent="0.35">
      <c r="F5731"/>
    </row>
    <row r="5732" spans="6:6" x14ac:dyDescent="0.35">
      <c r="F5732"/>
    </row>
    <row r="5733" spans="6:6" x14ac:dyDescent="0.35">
      <c r="F5733"/>
    </row>
    <row r="5734" spans="6:6" x14ac:dyDescent="0.35">
      <c r="F5734"/>
    </row>
    <row r="5735" spans="6:6" x14ac:dyDescent="0.35">
      <c r="F5735"/>
    </row>
    <row r="5736" spans="6:6" x14ac:dyDescent="0.35">
      <c r="F5736"/>
    </row>
    <row r="5737" spans="6:6" x14ac:dyDescent="0.35">
      <c r="F5737"/>
    </row>
    <row r="5738" spans="6:6" x14ac:dyDescent="0.35">
      <c r="F5738"/>
    </row>
    <row r="5739" spans="6:6" x14ac:dyDescent="0.35">
      <c r="F5739"/>
    </row>
    <row r="5740" spans="6:6" x14ac:dyDescent="0.35">
      <c r="F5740"/>
    </row>
    <row r="5741" spans="6:6" x14ac:dyDescent="0.35">
      <c r="F5741"/>
    </row>
    <row r="5742" spans="6:6" x14ac:dyDescent="0.35">
      <c r="F5742"/>
    </row>
    <row r="5743" spans="6:6" x14ac:dyDescent="0.35">
      <c r="F5743"/>
    </row>
    <row r="5744" spans="6:6" x14ac:dyDescent="0.35">
      <c r="F5744"/>
    </row>
    <row r="5745" spans="6:6" x14ac:dyDescent="0.35">
      <c r="F5745"/>
    </row>
    <row r="5746" spans="6:6" x14ac:dyDescent="0.35">
      <c r="F5746"/>
    </row>
    <row r="5747" spans="6:6" x14ac:dyDescent="0.35">
      <c r="F5747"/>
    </row>
    <row r="5748" spans="6:6" x14ac:dyDescent="0.35">
      <c r="F5748"/>
    </row>
    <row r="5749" spans="6:6" x14ac:dyDescent="0.35">
      <c r="F5749"/>
    </row>
    <row r="5750" spans="6:6" x14ac:dyDescent="0.35">
      <c r="F5750"/>
    </row>
    <row r="5751" spans="6:6" x14ac:dyDescent="0.35">
      <c r="F5751"/>
    </row>
    <row r="5752" spans="6:6" x14ac:dyDescent="0.35">
      <c r="F5752"/>
    </row>
    <row r="5753" spans="6:6" x14ac:dyDescent="0.35">
      <c r="F5753"/>
    </row>
    <row r="5754" spans="6:6" x14ac:dyDescent="0.35">
      <c r="F5754"/>
    </row>
    <row r="5755" spans="6:6" x14ac:dyDescent="0.35">
      <c r="F5755"/>
    </row>
    <row r="5756" spans="6:6" x14ac:dyDescent="0.35">
      <c r="F5756"/>
    </row>
    <row r="5757" spans="6:6" x14ac:dyDescent="0.35">
      <c r="F5757"/>
    </row>
    <row r="5758" spans="6:6" x14ac:dyDescent="0.35">
      <c r="F5758"/>
    </row>
    <row r="5759" spans="6:6" x14ac:dyDescent="0.35">
      <c r="F5759"/>
    </row>
    <row r="5760" spans="6:6" x14ac:dyDescent="0.35">
      <c r="F5760"/>
    </row>
    <row r="5761" spans="6:6" x14ac:dyDescent="0.35">
      <c r="F5761"/>
    </row>
    <row r="5762" spans="6:6" x14ac:dyDescent="0.35">
      <c r="F5762"/>
    </row>
    <row r="5763" spans="6:6" x14ac:dyDescent="0.35">
      <c r="F5763"/>
    </row>
    <row r="5764" spans="6:6" x14ac:dyDescent="0.35">
      <c r="F5764"/>
    </row>
    <row r="5765" spans="6:6" x14ac:dyDescent="0.35">
      <c r="F5765"/>
    </row>
    <row r="5766" spans="6:6" x14ac:dyDescent="0.35">
      <c r="F5766"/>
    </row>
    <row r="5767" spans="6:6" x14ac:dyDescent="0.35">
      <c r="F5767"/>
    </row>
    <row r="5768" spans="6:6" x14ac:dyDescent="0.35">
      <c r="F5768"/>
    </row>
    <row r="5769" spans="6:6" x14ac:dyDescent="0.35">
      <c r="F5769"/>
    </row>
    <row r="5770" spans="6:6" x14ac:dyDescent="0.35">
      <c r="F5770"/>
    </row>
    <row r="5771" spans="6:6" x14ac:dyDescent="0.35">
      <c r="F5771"/>
    </row>
    <row r="5772" spans="6:6" x14ac:dyDescent="0.35">
      <c r="F5772"/>
    </row>
    <row r="5773" spans="6:6" x14ac:dyDescent="0.35">
      <c r="F5773"/>
    </row>
    <row r="5774" spans="6:6" x14ac:dyDescent="0.35">
      <c r="F5774"/>
    </row>
    <row r="5775" spans="6:6" x14ac:dyDescent="0.35">
      <c r="F5775"/>
    </row>
    <row r="5776" spans="6:6" x14ac:dyDescent="0.35">
      <c r="F5776"/>
    </row>
    <row r="5777" spans="6:6" x14ac:dyDescent="0.35">
      <c r="F5777"/>
    </row>
    <row r="5778" spans="6:6" x14ac:dyDescent="0.35">
      <c r="F5778"/>
    </row>
    <row r="5779" spans="6:6" x14ac:dyDescent="0.35">
      <c r="F5779"/>
    </row>
    <row r="5780" spans="6:6" x14ac:dyDescent="0.35">
      <c r="F5780"/>
    </row>
    <row r="5781" spans="6:6" x14ac:dyDescent="0.35">
      <c r="F5781"/>
    </row>
    <row r="5782" spans="6:6" x14ac:dyDescent="0.35">
      <c r="F5782"/>
    </row>
    <row r="5783" spans="6:6" x14ac:dyDescent="0.35">
      <c r="F5783"/>
    </row>
    <row r="5784" spans="6:6" x14ac:dyDescent="0.35">
      <c r="F5784"/>
    </row>
    <row r="5785" spans="6:6" x14ac:dyDescent="0.35">
      <c r="F5785"/>
    </row>
    <row r="5786" spans="6:6" x14ac:dyDescent="0.35">
      <c r="F5786"/>
    </row>
    <row r="5787" spans="6:6" x14ac:dyDescent="0.35">
      <c r="F5787"/>
    </row>
    <row r="5788" spans="6:6" x14ac:dyDescent="0.35">
      <c r="F5788"/>
    </row>
    <row r="5789" spans="6:6" x14ac:dyDescent="0.35">
      <c r="F5789"/>
    </row>
    <row r="5790" spans="6:6" x14ac:dyDescent="0.35">
      <c r="F5790"/>
    </row>
    <row r="5791" spans="6:6" x14ac:dyDescent="0.35">
      <c r="F5791"/>
    </row>
    <row r="5792" spans="6:6" x14ac:dyDescent="0.35">
      <c r="F5792"/>
    </row>
    <row r="5793" spans="6:6" x14ac:dyDescent="0.35">
      <c r="F5793"/>
    </row>
    <row r="5794" spans="6:6" x14ac:dyDescent="0.35">
      <c r="F5794"/>
    </row>
    <row r="5795" spans="6:6" x14ac:dyDescent="0.35">
      <c r="F5795"/>
    </row>
    <row r="5796" spans="6:6" x14ac:dyDescent="0.35">
      <c r="F5796"/>
    </row>
    <row r="5797" spans="6:6" x14ac:dyDescent="0.35">
      <c r="F5797"/>
    </row>
    <row r="5798" spans="6:6" x14ac:dyDescent="0.35">
      <c r="F5798"/>
    </row>
    <row r="5799" spans="6:6" x14ac:dyDescent="0.35">
      <c r="F5799"/>
    </row>
    <row r="5800" spans="6:6" x14ac:dyDescent="0.35">
      <c r="F5800"/>
    </row>
    <row r="5801" spans="6:6" x14ac:dyDescent="0.35">
      <c r="F5801"/>
    </row>
    <row r="5802" spans="6:6" x14ac:dyDescent="0.35">
      <c r="F5802"/>
    </row>
    <row r="5803" spans="6:6" x14ac:dyDescent="0.35">
      <c r="F5803"/>
    </row>
    <row r="5804" spans="6:6" x14ac:dyDescent="0.35">
      <c r="F5804"/>
    </row>
    <row r="5805" spans="6:6" x14ac:dyDescent="0.35">
      <c r="F5805"/>
    </row>
    <row r="5806" spans="6:6" x14ac:dyDescent="0.35">
      <c r="F5806"/>
    </row>
    <row r="5807" spans="6:6" x14ac:dyDescent="0.35">
      <c r="F5807"/>
    </row>
    <row r="5808" spans="6:6" x14ac:dyDescent="0.35">
      <c r="F5808"/>
    </row>
    <row r="5809" spans="6:6" x14ac:dyDescent="0.35">
      <c r="F5809"/>
    </row>
    <row r="5810" spans="6:6" x14ac:dyDescent="0.35">
      <c r="F5810"/>
    </row>
    <row r="5811" spans="6:6" x14ac:dyDescent="0.35">
      <c r="F5811"/>
    </row>
    <row r="5812" spans="6:6" x14ac:dyDescent="0.35">
      <c r="F5812"/>
    </row>
    <row r="5813" spans="6:6" x14ac:dyDescent="0.35">
      <c r="F5813"/>
    </row>
    <row r="5814" spans="6:6" x14ac:dyDescent="0.35">
      <c r="F5814"/>
    </row>
    <row r="5815" spans="6:6" x14ac:dyDescent="0.35">
      <c r="F5815"/>
    </row>
    <row r="5816" spans="6:6" x14ac:dyDescent="0.35">
      <c r="F5816"/>
    </row>
    <row r="5817" spans="6:6" x14ac:dyDescent="0.35">
      <c r="F5817"/>
    </row>
    <row r="5818" spans="6:6" x14ac:dyDescent="0.35">
      <c r="F5818"/>
    </row>
    <row r="5819" spans="6:6" x14ac:dyDescent="0.35">
      <c r="F5819"/>
    </row>
    <row r="5820" spans="6:6" x14ac:dyDescent="0.35">
      <c r="F5820"/>
    </row>
    <row r="5821" spans="6:6" x14ac:dyDescent="0.35">
      <c r="F5821"/>
    </row>
    <row r="5822" spans="6:6" x14ac:dyDescent="0.35">
      <c r="F5822"/>
    </row>
    <row r="5823" spans="6:6" x14ac:dyDescent="0.35">
      <c r="F5823"/>
    </row>
    <row r="5824" spans="6:6" x14ac:dyDescent="0.35">
      <c r="F5824"/>
    </row>
    <row r="5825" spans="6:6" x14ac:dyDescent="0.35">
      <c r="F5825"/>
    </row>
    <row r="5826" spans="6:6" x14ac:dyDescent="0.35">
      <c r="F5826"/>
    </row>
    <row r="5827" spans="6:6" x14ac:dyDescent="0.35">
      <c r="F5827"/>
    </row>
    <row r="5828" spans="6:6" x14ac:dyDescent="0.35">
      <c r="F5828"/>
    </row>
    <row r="5829" spans="6:6" x14ac:dyDescent="0.35">
      <c r="F5829"/>
    </row>
    <row r="5830" spans="6:6" x14ac:dyDescent="0.35">
      <c r="F5830"/>
    </row>
    <row r="5831" spans="6:6" x14ac:dyDescent="0.35">
      <c r="F5831"/>
    </row>
    <row r="5832" spans="6:6" x14ac:dyDescent="0.35">
      <c r="F5832"/>
    </row>
    <row r="5833" spans="6:6" x14ac:dyDescent="0.35">
      <c r="F5833"/>
    </row>
    <row r="5834" spans="6:6" x14ac:dyDescent="0.35">
      <c r="F5834"/>
    </row>
    <row r="5835" spans="6:6" x14ac:dyDescent="0.35">
      <c r="F5835"/>
    </row>
    <row r="5836" spans="6:6" x14ac:dyDescent="0.35">
      <c r="F5836"/>
    </row>
    <row r="5837" spans="6:6" x14ac:dyDescent="0.35">
      <c r="F5837"/>
    </row>
    <row r="5838" spans="6:6" x14ac:dyDescent="0.35">
      <c r="F5838"/>
    </row>
    <row r="5839" spans="6:6" x14ac:dyDescent="0.35">
      <c r="F5839"/>
    </row>
    <row r="5840" spans="6:6" x14ac:dyDescent="0.35">
      <c r="F5840"/>
    </row>
    <row r="5841" spans="6:6" x14ac:dyDescent="0.35">
      <c r="F5841"/>
    </row>
    <row r="5842" spans="6:6" x14ac:dyDescent="0.35">
      <c r="F5842"/>
    </row>
    <row r="5843" spans="6:6" x14ac:dyDescent="0.35">
      <c r="F5843"/>
    </row>
    <row r="5844" spans="6:6" x14ac:dyDescent="0.35">
      <c r="F5844"/>
    </row>
    <row r="5845" spans="6:6" x14ac:dyDescent="0.35">
      <c r="F5845"/>
    </row>
    <row r="5846" spans="6:6" x14ac:dyDescent="0.35">
      <c r="F5846"/>
    </row>
    <row r="5847" spans="6:6" x14ac:dyDescent="0.35">
      <c r="F5847"/>
    </row>
    <row r="5848" spans="6:6" x14ac:dyDescent="0.35">
      <c r="F5848"/>
    </row>
    <row r="5849" spans="6:6" x14ac:dyDescent="0.35">
      <c r="F5849"/>
    </row>
    <row r="5850" spans="6:6" x14ac:dyDescent="0.35">
      <c r="F5850"/>
    </row>
    <row r="5851" spans="6:6" x14ac:dyDescent="0.35">
      <c r="F5851"/>
    </row>
    <row r="5852" spans="6:6" x14ac:dyDescent="0.35">
      <c r="F5852"/>
    </row>
    <row r="5853" spans="6:6" x14ac:dyDescent="0.35">
      <c r="F5853"/>
    </row>
    <row r="5854" spans="6:6" x14ac:dyDescent="0.35">
      <c r="F5854"/>
    </row>
    <row r="5855" spans="6:6" x14ac:dyDescent="0.35">
      <c r="F5855"/>
    </row>
    <row r="5856" spans="6:6" x14ac:dyDescent="0.35">
      <c r="F5856"/>
    </row>
    <row r="5857" spans="6:6" x14ac:dyDescent="0.35">
      <c r="F5857"/>
    </row>
    <row r="5858" spans="6:6" x14ac:dyDescent="0.35">
      <c r="F5858"/>
    </row>
    <row r="5859" spans="6:6" x14ac:dyDescent="0.35">
      <c r="F5859"/>
    </row>
    <row r="5860" spans="6:6" x14ac:dyDescent="0.35">
      <c r="F5860"/>
    </row>
    <row r="5861" spans="6:6" x14ac:dyDescent="0.35">
      <c r="F5861"/>
    </row>
    <row r="5862" spans="6:6" x14ac:dyDescent="0.35">
      <c r="F5862"/>
    </row>
    <row r="5863" spans="6:6" x14ac:dyDescent="0.35">
      <c r="F5863"/>
    </row>
    <row r="5864" spans="6:6" x14ac:dyDescent="0.35">
      <c r="F5864"/>
    </row>
    <row r="5865" spans="6:6" x14ac:dyDescent="0.35">
      <c r="F5865"/>
    </row>
    <row r="5866" spans="6:6" x14ac:dyDescent="0.35">
      <c r="F5866"/>
    </row>
    <row r="5867" spans="6:6" x14ac:dyDescent="0.35">
      <c r="F5867"/>
    </row>
    <row r="5868" spans="6:6" x14ac:dyDescent="0.35">
      <c r="F5868"/>
    </row>
    <row r="5869" spans="6:6" x14ac:dyDescent="0.35">
      <c r="F5869"/>
    </row>
    <row r="5870" spans="6:6" x14ac:dyDescent="0.35">
      <c r="F5870"/>
    </row>
    <row r="5871" spans="6:6" x14ac:dyDescent="0.35">
      <c r="F5871"/>
    </row>
    <row r="5872" spans="6:6" x14ac:dyDescent="0.35">
      <c r="F5872"/>
    </row>
    <row r="5873" spans="6:6" x14ac:dyDescent="0.35">
      <c r="F5873"/>
    </row>
    <row r="5874" spans="6:6" x14ac:dyDescent="0.35">
      <c r="F5874"/>
    </row>
    <row r="5875" spans="6:6" x14ac:dyDescent="0.35">
      <c r="F5875"/>
    </row>
    <row r="5876" spans="6:6" x14ac:dyDescent="0.35">
      <c r="F5876"/>
    </row>
    <row r="5877" spans="6:6" x14ac:dyDescent="0.35">
      <c r="F5877"/>
    </row>
    <row r="5878" spans="6:6" x14ac:dyDescent="0.35">
      <c r="F5878"/>
    </row>
    <row r="5879" spans="6:6" x14ac:dyDescent="0.35">
      <c r="F5879"/>
    </row>
    <row r="5880" spans="6:6" x14ac:dyDescent="0.35">
      <c r="F5880"/>
    </row>
    <row r="5881" spans="6:6" x14ac:dyDescent="0.35">
      <c r="F5881"/>
    </row>
    <row r="5882" spans="6:6" x14ac:dyDescent="0.35">
      <c r="F5882"/>
    </row>
    <row r="5883" spans="6:6" x14ac:dyDescent="0.35">
      <c r="F5883"/>
    </row>
    <row r="5884" spans="6:6" x14ac:dyDescent="0.35">
      <c r="F5884"/>
    </row>
    <row r="5885" spans="6:6" x14ac:dyDescent="0.35">
      <c r="F5885"/>
    </row>
    <row r="5886" spans="6:6" x14ac:dyDescent="0.35">
      <c r="F5886"/>
    </row>
    <row r="5887" spans="6:6" x14ac:dyDescent="0.35">
      <c r="F5887"/>
    </row>
    <row r="5888" spans="6:6" x14ac:dyDescent="0.35">
      <c r="F5888"/>
    </row>
    <row r="5889" spans="6:6" x14ac:dyDescent="0.35">
      <c r="F5889"/>
    </row>
    <row r="5890" spans="6:6" x14ac:dyDescent="0.35">
      <c r="F5890"/>
    </row>
    <row r="5891" spans="6:6" x14ac:dyDescent="0.35">
      <c r="F5891"/>
    </row>
    <row r="5892" spans="6:6" x14ac:dyDescent="0.35">
      <c r="F5892"/>
    </row>
    <row r="5893" spans="6:6" x14ac:dyDescent="0.35">
      <c r="F5893"/>
    </row>
    <row r="5894" spans="6:6" x14ac:dyDescent="0.35">
      <c r="F5894"/>
    </row>
    <row r="5895" spans="6:6" x14ac:dyDescent="0.35">
      <c r="F5895"/>
    </row>
    <row r="5896" spans="6:6" x14ac:dyDescent="0.35">
      <c r="F5896"/>
    </row>
    <row r="5897" spans="6:6" x14ac:dyDescent="0.35">
      <c r="F5897"/>
    </row>
    <row r="5898" spans="6:6" x14ac:dyDescent="0.35">
      <c r="F5898"/>
    </row>
    <row r="5899" spans="6:6" x14ac:dyDescent="0.35">
      <c r="F5899"/>
    </row>
    <row r="5900" spans="6:6" x14ac:dyDescent="0.35">
      <c r="F5900"/>
    </row>
    <row r="5901" spans="6:6" x14ac:dyDescent="0.35">
      <c r="F5901"/>
    </row>
    <row r="5902" spans="6:6" x14ac:dyDescent="0.35">
      <c r="F5902"/>
    </row>
    <row r="5903" spans="6:6" x14ac:dyDescent="0.35">
      <c r="F5903"/>
    </row>
    <row r="5904" spans="6:6" x14ac:dyDescent="0.35">
      <c r="F5904"/>
    </row>
    <row r="5905" spans="6:6" x14ac:dyDescent="0.35">
      <c r="F5905"/>
    </row>
    <row r="5906" spans="6:6" x14ac:dyDescent="0.35">
      <c r="F5906"/>
    </row>
    <row r="5907" spans="6:6" x14ac:dyDescent="0.35">
      <c r="F5907"/>
    </row>
    <row r="5908" spans="6:6" x14ac:dyDescent="0.35">
      <c r="F5908"/>
    </row>
    <row r="5909" spans="6:6" x14ac:dyDescent="0.35">
      <c r="F5909"/>
    </row>
    <row r="5910" spans="6:6" x14ac:dyDescent="0.35">
      <c r="F5910"/>
    </row>
    <row r="5911" spans="6:6" x14ac:dyDescent="0.35">
      <c r="F5911"/>
    </row>
    <row r="5912" spans="6:6" x14ac:dyDescent="0.35">
      <c r="F5912"/>
    </row>
    <row r="5913" spans="6:6" x14ac:dyDescent="0.35">
      <c r="F5913"/>
    </row>
    <row r="5914" spans="6:6" x14ac:dyDescent="0.35">
      <c r="F5914"/>
    </row>
    <row r="5915" spans="6:6" x14ac:dyDescent="0.35">
      <c r="F5915"/>
    </row>
    <row r="5916" spans="6:6" x14ac:dyDescent="0.35">
      <c r="F5916"/>
    </row>
    <row r="5917" spans="6:6" x14ac:dyDescent="0.35">
      <c r="F5917"/>
    </row>
    <row r="5918" spans="6:6" x14ac:dyDescent="0.35">
      <c r="F5918"/>
    </row>
    <row r="5919" spans="6:6" x14ac:dyDescent="0.35">
      <c r="F5919"/>
    </row>
    <row r="5920" spans="6:6" x14ac:dyDescent="0.35">
      <c r="F5920"/>
    </row>
    <row r="5921" spans="6:6" x14ac:dyDescent="0.35">
      <c r="F5921"/>
    </row>
    <row r="5922" spans="6:6" x14ac:dyDescent="0.35">
      <c r="F5922"/>
    </row>
    <row r="5923" spans="6:6" x14ac:dyDescent="0.35">
      <c r="F5923"/>
    </row>
    <row r="5924" spans="6:6" x14ac:dyDescent="0.35">
      <c r="F5924"/>
    </row>
    <row r="5925" spans="6:6" x14ac:dyDescent="0.35">
      <c r="F5925"/>
    </row>
    <row r="5926" spans="6:6" x14ac:dyDescent="0.35">
      <c r="F5926"/>
    </row>
    <row r="5927" spans="6:6" x14ac:dyDescent="0.35">
      <c r="F5927"/>
    </row>
    <row r="5928" spans="6:6" x14ac:dyDescent="0.35">
      <c r="F5928"/>
    </row>
    <row r="5929" spans="6:6" x14ac:dyDescent="0.35">
      <c r="F5929"/>
    </row>
    <row r="5930" spans="6:6" x14ac:dyDescent="0.35">
      <c r="F5930"/>
    </row>
    <row r="5931" spans="6:6" x14ac:dyDescent="0.35">
      <c r="F5931"/>
    </row>
    <row r="5932" spans="6:6" x14ac:dyDescent="0.35">
      <c r="F5932"/>
    </row>
    <row r="5933" spans="6:6" x14ac:dyDescent="0.35">
      <c r="F5933"/>
    </row>
    <row r="5934" spans="6:6" x14ac:dyDescent="0.35">
      <c r="F5934"/>
    </row>
    <row r="5935" spans="6:6" x14ac:dyDescent="0.35">
      <c r="F5935"/>
    </row>
    <row r="5936" spans="6:6" x14ac:dyDescent="0.35">
      <c r="F5936"/>
    </row>
    <row r="5937" spans="6:6" x14ac:dyDescent="0.35">
      <c r="F5937"/>
    </row>
    <row r="5938" spans="6:6" x14ac:dyDescent="0.35">
      <c r="F5938"/>
    </row>
    <row r="5939" spans="6:6" x14ac:dyDescent="0.35">
      <c r="F5939"/>
    </row>
    <row r="5940" spans="6:6" x14ac:dyDescent="0.35">
      <c r="F5940"/>
    </row>
    <row r="5941" spans="6:6" x14ac:dyDescent="0.35">
      <c r="F5941"/>
    </row>
    <row r="5942" spans="6:6" x14ac:dyDescent="0.35">
      <c r="F5942"/>
    </row>
    <row r="5943" spans="6:6" x14ac:dyDescent="0.35">
      <c r="F5943"/>
    </row>
    <row r="5944" spans="6:6" x14ac:dyDescent="0.35">
      <c r="F5944"/>
    </row>
    <row r="5945" spans="6:6" x14ac:dyDescent="0.35">
      <c r="F5945"/>
    </row>
    <row r="5946" spans="6:6" x14ac:dyDescent="0.35">
      <c r="F5946"/>
    </row>
    <row r="5947" spans="6:6" x14ac:dyDescent="0.35">
      <c r="F5947"/>
    </row>
    <row r="5948" spans="6:6" x14ac:dyDescent="0.35">
      <c r="F5948"/>
    </row>
    <row r="5949" spans="6:6" x14ac:dyDescent="0.35">
      <c r="F5949"/>
    </row>
    <row r="5950" spans="6:6" x14ac:dyDescent="0.35">
      <c r="F5950"/>
    </row>
    <row r="5951" spans="6:6" x14ac:dyDescent="0.35">
      <c r="F5951"/>
    </row>
    <row r="5952" spans="6:6" x14ac:dyDescent="0.35">
      <c r="F5952"/>
    </row>
    <row r="5953" spans="6:6" x14ac:dyDescent="0.35">
      <c r="F5953"/>
    </row>
    <row r="5954" spans="6:6" x14ac:dyDescent="0.35">
      <c r="F5954"/>
    </row>
    <row r="5955" spans="6:6" x14ac:dyDescent="0.35">
      <c r="F5955"/>
    </row>
    <row r="5956" spans="6:6" x14ac:dyDescent="0.35">
      <c r="F5956"/>
    </row>
    <row r="5957" spans="6:6" x14ac:dyDescent="0.35">
      <c r="F5957"/>
    </row>
    <row r="5958" spans="6:6" x14ac:dyDescent="0.35">
      <c r="F5958"/>
    </row>
    <row r="5959" spans="6:6" x14ac:dyDescent="0.35">
      <c r="F5959"/>
    </row>
    <row r="5960" spans="6:6" x14ac:dyDescent="0.35">
      <c r="F5960"/>
    </row>
    <row r="5961" spans="6:6" x14ac:dyDescent="0.35">
      <c r="F5961"/>
    </row>
    <row r="5962" spans="6:6" x14ac:dyDescent="0.35">
      <c r="F5962"/>
    </row>
    <row r="5963" spans="6:6" x14ac:dyDescent="0.35">
      <c r="F5963"/>
    </row>
    <row r="5964" spans="6:6" x14ac:dyDescent="0.35">
      <c r="F5964"/>
    </row>
    <row r="5965" spans="6:6" x14ac:dyDescent="0.35">
      <c r="F5965"/>
    </row>
    <row r="5966" spans="6:6" x14ac:dyDescent="0.35">
      <c r="F5966"/>
    </row>
    <row r="5967" spans="6:6" x14ac:dyDescent="0.35">
      <c r="F5967"/>
    </row>
    <row r="5968" spans="6:6" x14ac:dyDescent="0.35">
      <c r="F5968"/>
    </row>
    <row r="5969" spans="6:6" x14ac:dyDescent="0.35">
      <c r="F5969"/>
    </row>
    <row r="5970" spans="6:6" x14ac:dyDescent="0.35">
      <c r="F5970"/>
    </row>
    <row r="5971" spans="6:6" x14ac:dyDescent="0.35">
      <c r="F5971"/>
    </row>
    <row r="5972" spans="6:6" x14ac:dyDescent="0.35">
      <c r="F5972"/>
    </row>
    <row r="5973" spans="6:6" x14ac:dyDescent="0.35">
      <c r="F5973"/>
    </row>
    <row r="5974" spans="6:6" x14ac:dyDescent="0.35">
      <c r="F5974"/>
    </row>
    <row r="5975" spans="6:6" x14ac:dyDescent="0.35">
      <c r="F5975"/>
    </row>
    <row r="5976" spans="6:6" x14ac:dyDescent="0.35">
      <c r="F5976"/>
    </row>
    <row r="5977" spans="6:6" x14ac:dyDescent="0.35">
      <c r="F5977"/>
    </row>
    <row r="5978" spans="6:6" x14ac:dyDescent="0.35">
      <c r="F5978"/>
    </row>
    <row r="5979" spans="6:6" x14ac:dyDescent="0.35">
      <c r="F5979"/>
    </row>
    <row r="5980" spans="6:6" x14ac:dyDescent="0.35">
      <c r="F5980"/>
    </row>
    <row r="5981" spans="6:6" x14ac:dyDescent="0.35">
      <c r="F5981"/>
    </row>
    <row r="5982" spans="6:6" x14ac:dyDescent="0.35">
      <c r="F5982"/>
    </row>
    <row r="5983" spans="6:6" x14ac:dyDescent="0.35">
      <c r="F5983"/>
    </row>
    <row r="5984" spans="6:6" x14ac:dyDescent="0.35">
      <c r="F5984"/>
    </row>
    <row r="5985" spans="6:6" x14ac:dyDescent="0.35">
      <c r="F5985"/>
    </row>
    <row r="5986" spans="6:6" x14ac:dyDescent="0.35">
      <c r="F5986"/>
    </row>
    <row r="5987" spans="6:6" x14ac:dyDescent="0.35">
      <c r="F5987"/>
    </row>
    <row r="5988" spans="6:6" x14ac:dyDescent="0.35">
      <c r="F5988"/>
    </row>
    <row r="5989" spans="6:6" x14ac:dyDescent="0.35">
      <c r="F5989"/>
    </row>
    <row r="5990" spans="6:6" x14ac:dyDescent="0.35">
      <c r="F5990"/>
    </row>
    <row r="5991" spans="6:6" x14ac:dyDescent="0.35">
      <c r="F5991"/>
    </row>
    <row r="5992" spans="6:6" x14ac:dyDescent="0.35">
      <c r="F5992"/>
    </row>
    <row r="5993" spans="6:6" x14ac:dyDescent="0.35">
      <c r="F5993"/>
    </row>
    <row r="5994" spans="6:6" x14ac:dyDescent="0.35">
      <c r="F5994"/>
    </row>
    <row r="5995" spans="6:6" x14ac:dyDescent="0.35">
      <c r="F5995"/>
    </row>
    <row r="5996" spans="6:6" x14ac:dyDescent="0.35">
      <c r="F5996"/>
    </row>
    <row r="5997" spans="6:6" x14ac:dyDescent="0.35">
      <c r="F5997"/>
    </row>
    <row r="5998" spans="6:6" x14ac:dyDescent="0.35">
      <c r="F5998"/>
    </row>
    <row r="5999" spans="6:6" x14ac:dyDescent="0.35">
      <c r="F5999"/>
    </row>
    <row r="6000" spans="6:6" x14ac:dyDescent="0.35">
      <c r="F6000"/>
    </row>
    <row r="6001" spans="6:6" x14ac:dyDescent="0.35">
      <c r="F6001"/>
    </row>
    <row r="6002" spans="6:6" x14ac:dyDescent="0.35">
      <c r="F6002"/>
    </row>
    <row r="6003" spans="6:6" x14ac:dyDescent="0.35">
      <c r="F6003"/>
    </row>
    <row r="6004" spans="6:6" x14ac:dyDescent="0.35">
      <c r="F6004"/>
    </row>
    <row r="6005" spans="6:6" x14ac:dyDescent="0.35">
      <c r="F6005"/>
    </row>
    <row r="6006" spans="6:6" x14ac:dyDescent="0.35">
      <c r="F6006"/>
    </row>
    <row r="6007" spans="6:6" x14ac:dyDescent="0.35">
      <c r="F6007"/>
    </row>
    <row r="6008" spans="6:6" x14ac:dyDescent="0.35">
      <c r="F6008"/>
    </row>
    <row r="6009" spans="6:6" x14ac:dyDescent="0.35">
      <c r="F6009"/>
    </row>
    <row r="6010" spans="6:6" x14ac:dyDescent="0.35">
      <c r="F6010"/>
    </row>
    <row r="6011" spans="6:6" x14ac:dyDescent="0.35">
      <c r="F6011"/>
    </row>
    <row r="6012" spans="6:6" x14ac:dyDescent="0.35">
      <c r="F6012"/>
    </row>
    <row r="6013" spans="6:6" x14ac:dyDescent="0.35">
      <c r="F6013"/>
    </row>
    <row r="6014" spans="6:6" x14ac:dyDescent="0.35">
      <c r="F6014"/>
    </row>
    <row r="6015" spans="6:6" x14ac:dyDescent="0.35">
      <c r="F6015"/>
    </row>
    <row r="6016" spans="6:6" x14ac:dyDescent="0.35">
      <c r="F6016"/>
    </row>
    <row r="6017" spans="6:6" x14ac:dyDescent="0.35">
      <c r="F6017"/>
    </row>
    <row r="6018" spans="6:6" x14ac:dyDescent="0.35">
      <c r="F6018"/>
    </row>
    <row r="6019" spans="6:6" x14ac:dyDescent="0.35">
      <c r="F6019"/>
    </row>
    <row r="6020" spans="6:6" x14ac:dyDescent="0.35">
      <c r="F6020"/>
    </row>
    <row r="6021" spans="6:6" x14ac:dyDescent="0.35">
      <c r="F6021"/>
    </row>
    <row r="6022" spans="6:6" x14ac:dyDescent="0.35">
      <c r="F6022"/>
    </row>
    <row r="6023" spans="6:6" x14ac:dyDescent="0.35">
      <c r="F6023"/>
    </row>
    <row r="6024" spans="6:6" x14ac:dyDescent="0.35">
      <c r="F6024"/>
    </row>
    <row r="6025" spans="6:6" x14ac:dyDescent="0.35">
      <c r="F6025"/>
    </row>
    <row r="6026" spans="6:6" x14ac:dyDescent="0.35">
      <c r="F6026"/>
    </row>
    <row r="6027" spans="6:6" x14ac:dyDescent="0.35">
      <c r="F6027"/>
    </row>
    <row r="6028" spans="6:6" x14ac:dyDescent="0.35">
      <c r="F6028"/>
    </row>
    <row r="6029" spans="6:6" x14ac:dyDescent="0.35">
      <c r="F6029"/>
    </row>
    <row r="6030" spans="6:6" x14ac:dyDescent="0.35">
      <c r="F6030"/>
    </row>
    <row r="6031" spans="6:6" x14ac:dyDescent="0.35">
      <c r="F6031"/>
    </row>
    <row r="6032" spans="6:6" x14ac:dyDescent="0.35">
      <c r="F6032"/>
    </row>
    <row r="6033" spans="6:6" x14ac:dyDescent="0.35">
      <c r="F6033"/>
    </row>
    <row r="6034" spans="6:6" x14ac:dyDescent="0.35">
      <c r="F6034"/>
    </row>
    <row r="6035" spans="6:6" x14ac:dyDescent="0.35">
      <c r="F6035"/>
    </row>
    <row r="6036" spans="6:6" x14ac:dyDescent="0.35">
      <c r="F6036"/>
    </row>
    <row r="6037" spans="6:6" x14ac:dyDescent="0.35">
      <c r="F6037"/>
    </row>
    <row r="6038" spans="6:6" x14ac:dyDescent="0.35">
      <c r="F6038"/>
    </row>
    <row r="6039" spans="6:6" x14ac:dyDescent="0.35">
      <c r="F6039"/>
    </row>
    <row r="6040" spans="6:6" x14ac:dyDescent="0.35">
      <c r="F6040"/>
    </row>
    <row r="6041" spans="6:6" x14ac:dyDescent="0.35">
      <c r="F6041"/>
    </row>
    <row r="6042" spans="6:6" x14ac:dyDescent="0.35">
      <c r="F6042"/>
    </row>
    <row r="6043" spans="6:6" x14ac:dyDescent="0.35">
      <c r="F6043"/>
    </row>
    <row r="6044" spans="6:6" x14ac:dyDescent="0.35">
      <c r="F6044"/>
    </row>
    <row r="6045" spans="6:6" x14ac:dyDescent="0.35">
      <c r="F6045"/>
    </row>
    <row r="6046" spans="6:6" x14ac:dyDescent="0.35">
      <c r="F6046"/>
    </row>
    <row r="6047" spans="6:6" x14ac:dyDescent="0.35">
      <c r="F6047"/>
    </row>
    <row r="6048" spans="6:6" x14ac:dyDescent="0.35">
      <c r="F6048"/>
    </row>
    <row r="6049" spans="6:6" x14ac:dyDescent="0.35">
      <c r="F6049"/>
    </row>
    <row r="6050" spans="6:6" x14ac:dyDescent="0.35">
      <c r="F6050"/>
    </row>
    <row r="6051" spans="6:6" x14ac:dyDescent="0.35">
      <c r="F6051"/>
    </row>
    <row r="6052" spans="6:6" x14ac:dyDescent="0.35">
      <c r="F6052"/>
    </row>
    <row r="6053" spans="6:6" x14ac:dyDescent="0.35">
      <c r="F6053"/>
    </row>
    <row r="6054" spans="6:6" x14ac:dyDescent="0.35">
      <c r="F6054"/>
    </row>
    <row r="6055" spans="6:6" x14ac:dyDescent="0.35">
      <c r="F6055"/>
    </row>
    <row r="6056" spans="6:6" x14ac:dyDescent="0.35">
      <c r="F6056"/>
    </row>
    <row r="6057" spans="6:6" x14ac:dyDescent="0.35">
      <c r="F6057"/>
    </row>
    <row r="6058" spans="6:6" x14ac:dyDescent="0.35">
      <c r="F6058"/>
    </row>
    <row r="6059" spans="6:6" x14ac:dyDescent="0.35">
      <c r="F6059"/>
    </row>
    <row r="6060" spans="6:6" x14ac:dyDescent="0.35">
      <c r="F6060"/>
    </row>
    <row r="6061" spans="6:6" x14ac:dyDescent="0.35">
      <c r="F6061"/>
    </row>
    <row r="6062" spans="6:6" x14ac:dyDescent="0.35">
      <c r="F6062"/>
    </row>
    <row r="6063" spans="6:6" x14ac:dyDescent="0.35">
      <c r="F6063"/>
    </row>
    <row r="6064" spans="6:6" x14ac:dyDescent="0.35">
      <c r="F6064"/>
    </row>
    <row r="6065" spans="6:6" x14ac:dyDescent="0.35">
      <c r="F6065"/>
    </row>
    <row r="6066" spans="6:6" x14ac:dyDescent="0.35">
      <c r="F6066"/>
    </row>
    <row r="6067" spans="6:6" x14ac:dyDescent="0.35">
      <c r="F6067"/>
    </row>
    <row r="6068" spans="6:6" x14ac:dyDescent="0.35">
      <c r="F6068"/>
    </row>
    <row r="6069" spans="6:6" x14ac:dyDescent="0.35">
      <c r="F6069"/>
    </row>
    <row r="6070" spans="6:6" x14ac:dyDescent="0.35">
      <c r="F6070"/>
    </row>
    <row r="6071" spans="6:6" x14ac:dyDescent="0.35">
      <c r="F6071"/>
    </row>
    <row r="6072" spans="6:6" x14ac:dyDescent="0.35">
      <c r="F6072"/>
    </row>
    <row r="6073" spans="6:6" x14ac:dyDescent="0.35">
      <c r="F6073"/>
    </row>
    <row r="6074" spans="6:6" x14ac:dyDescent="0.35">
      <c r="F6074"/>
    </row>
    <row r="6075" spans="6:6" x14ac:dyDescent="0.35">
      <c r="F6075"/>
    </row>
    <row r="6076" spans="6:6" x14ac:dyDescent="0.35">
      <c r="F6076"/>
    </row>
    <row r="6077" spans="6:6" x14ac:dyDescent="0.35">
      <c r="F6077"/>
    </row>
    <row r="6078" spans="6:6" x14ac:dyDescent="0.35">
      <c r="F6078"/>
    </row>
    <row r="6079" spans="6:6" x14ac:dyDescent="0.35">
      <c r="F6079"/>
    </row>
    <row r="6080" spans="6:6" x14ac:dyDescent="0.35">
      <c r="F6080"/>
    </row>
    <row r="6081" spans="6:6" x14ac:dyDescent="0.35">
      <c r="F6081"/>
    </row>
    <row r="6082" spans="6:6" x14ac:dyDescent="0.35">
      <c r="F6082"/>
    </row>
    <row r="6083" spans="6:6" x14ac:dyDescent="0.35">
      <c r="F6083"/>
    </row>
    <row r="6084" spans="6:6" x14ac:dyDescent="0.35">
      <c r="F6084"/>
    </row>
    <row r="6085" spans="6:6" x14ac:dyDescent="0.35">
      <c r="F6085"/>
    </row>
    <row r="6086" spans="6:6" x14ac:dyDescent="0.35">
      <c r="F6086"/>
    </row>
    <row r="6087" spans="6:6" x14ac:dyDescent="0.35">
      <c r="F6087"/>
    </row>
    <row r="6088" spans="6:6" x14ac:dyDescent="0.35">
      <c r="F6088"/>
    </row>
    <row r="6089" spans="6:6" x14ac:dyDescent="0.35">
      <c r="F6089"/>
    </row>
    <row r="6090" spans="6:6" x14ac:dyDescent="0.35">
      <c r="F6090"/>
    </row>
    <row r="6091" spans="6:6" x14ac:dyDescent="0.35">
      <c r="F6091"/>
    </row>
    <row r="6092" spans="6:6" x14ac:dyDescent="0.35">
      <c r="F6092"/>
    </row>
    <row r="6093" spans="6:6" x14ac:dyDescent="0.35">
      <c r="F6093"/>
    </row>
    <row r="6094" spans="6:6" x14ac:dyDescent="0.35">
      <c r="F6094"/>
    </row>
    <row r="6095" spans="6:6" x14ac:dyDescent="0.35">
      <c r="F6095"/>
    </row>
    <row r="6096" spans="6:6" x14ac:dyDescent="0.35">
      <c r="F6096"/>
    </row>
    <row r="6097" spans="6:6" x14ac:dyDescent="0.35">
      <c r="F6097"/>
    </row>
    <row r="6098" spans="6:6" x14ac:dyDescent="0.35">
      <c r="F6098"/>
    </row>
    <row r="6099" spans="6:6" x14ac:dyDescent="0.35">
      <c r="F6099"/>
    </row>
    <row r="6100" spans="6:6" x14ac:dyDescent="0.35">
      <c r="F6100"/>
    </row>
    <row r="6101" spans="6:6" x14ac:dyDescent="0.35">
      <c r="F6101"/>
    </row>
    <row r="6102" spans="6:6" x14ac:dyDescent="0.35">
      <c r="F6102"/>
    </row>
    <row r="6103" spans="6:6" x14ac:dyDescent="0.35">
      <c r="F6103"/>
    </row>
    <row r="6104" spans="6:6" x14ac:dyDescent="0.35">
      <c r="F6104"/>
    </row>
    <row r="6105" spans="6:6" x14ac:dyDescent="0.35">
      <c r="F6105"/>
    </row>
    <row r="6106" spans="6:6" x14ac:dyDescent="0.35">
      <c r="F6106"/>
    </row>
    <row r="6107" spans="6:6" x14ac:dyDescent="0.35">
      <c r="F6107"/>
    </row>
    <row r="6108" spans="6:6" x14ac:dyDescent="0.35">
      <c r="F6108"/>
    </row>
    <row r="6109" spans="6:6" x14ac:dyDescent="0.35">
      <c r="F6109"/>
    </row>
    <row r="6110" spans="6:6" x14ac:dyDescent="0.35">
      <c r="F6110"/>
    </row>
    <row r="6111" spans="6:6" x14ac:dyDescent="0.35">
      <c r="F6111"/>
    </row>
    <row r="6112" spans="6:6" x14ac:dyDescent="0.35">
      <c r="F6112"/>
    </row>
    <row r="6113" spans="6:6" x14ac:dyDescent="0.35">
      <c r="F6113"/>
    </row>
    <row r="6114" spans="6:6" x14ac:dyDescent="0.35">
      <c r="F6114"/>
    </row>
    <row r="6115" spans="6:6" x14ac:dyDescent="0.35">
      <c r="F6115"/>
    </row>
    <row r="6116" spans="6:6" x14ac:dyDescent="0.35">
      <c r="F6116"/>
    </row>
    <row r="6117" spans="6:6" x14ac:dyDescent="0.35">
      <c r="F6117"/>
    </row>
    <row r="6118" spans="6:6" x14ac:dyDescent="0.35">
      <c r="F6118"/>
    </row>
    <row r="6119" spans="6:6" x14ac:dyDescent="0.35">
      <c r="F6119"/>
    </row>
    <row r="6120" spans="6:6" x14ac:dyDescent="0.35">
      <c r="F6120"/>
    </row>
    <row r="6121" spans="6:6" x14ac:dyDescent="0.35">
      <c r="F6121"/>
    </row>
    <row r="6122" spans="6:6" x14ac:dyDescent="0.35">
      <c r="F6122"/>
    </row>
    <row r="6123" spans="6:6" x14ac:dyDescent="0.35">
      <c r="F6123"/>
    </row>
    <row r="6124" spans="6:6" x14ac:dyDescent="0.35">
      <c r="F6124"/>
    </row>
    <row r="6125" spans="6:6" x14ac:dyDescent="0.35">
      <c r="F6125"/>
    </row>
    <row r="6126" spans="6:6" x14ac:dyDescent="0.35">
      <c r="F6126"/>
    </row>
    <row r="6127" spans="6:6" x14ac:dyDescent="0.35">
      <c r="F6127"/>
    </row>
    <row r="6128" spans="6:6" x14ac:dyDescent="0.35">
      <c r="F6128"/>
    </row>
    <row r="6129" spans="6:6" x14ac:dyDescent="0.35">
      <c r="F6129"/>
    </row>
    <row r="6130" spans="6:6" x14ac:dyDescent="0.35">
      <c r="F6130"/>
    </row>
    <row r="6131" spans="6:6" x14ac:dyDescent="0.35">
      <c r="F6131"/>
    </row>
    <row r="6132" spans="6:6" x14ac:dyDescent="0.35">
      <c r="F6132"/>
    </row>
    <row r="6133" spans="6:6" x14ac:dyDescent="0.35">
      <c r="F6133"/>
    </row>
    <row r="6134" spans="6:6" x14ac:dyDescent="0.35">
      <c r="F6134"/>
    </row>
    <row r="6135" spans="6:6" x14ac:dyDescent="0.35">
      <c r="F6135"/>
    </row>
    <row r="6136" spans="6:6" x14ac:dyDescent="0.35">
      <c r="F6136"/>
    </row>
    <row r="6137" spans="6:6" x14ac:dyDescent="0.35">
      <c r="F6137"/>
    </row>
    <row r="6138" spans="6:6" x14ac:dyDescent="0.35">
      <c r="F6138"/>
    </row>
    <row r="6139" spans="6:6" x14ac:dyDescent="0.35">
      <c r="F6139"/>
    </row>
    <row r="6140" spans="6:6" x14ac:dyDescent="0.35">
      <c r="F6140"/>
    </row>
    <row r="6141" spans="6:6" x14ac:dyDescent="0.35">
      <c r="F6141"/>
    </row>
    <row r="6142" spans="6:6" x14ac:dyDescent="0.35">
      <c r="F6142"/>
    </row>
    <row r="6143" spans="6:6" x14ac:dyDescent="0.35">
      <c r="F6143"/>
    </row>
    <row r="6144" spans="6:6" x14ac:dyDescent="0.35">
      <c r="F6144"/>
    </row>
    <row r="6145" spans="6:6" x14ac:dyDescent="0.35">
      <c r="F6145"/>
    </row>
    <row r="6146" spans="6:6" x14ac:dyDescent="0.35">
      <c r="F6146"/>
    </row>
    <row r="6147" spans="6:6" x14ac:dyDescent="0.35">
      <c r="F6147"/>
    </row>
    <row r="6148" spans="6:6" x14ac:dyDescent="0.35">
      <c r="F6148"/>
    </row>
    <row r="6149" spans="6:6" x14ac:dyDescent="0.35">
      <c r="F6149"/>
    </row>
    <row r="6150" spans="6:6" x14ac:dyDescent="0.35">
      <c r="F6150"/>
    </row>
    <row r="6151" spans="6:6" x14ac:dyDescent="0.35">
      <c r="F6151"/>
    </row>
    <row r="6152" spans="6:6" x14ac:dyDescent="0.35">
      <c r="F6152"/>
    </row>
    <row r="6153" spans="6:6" x14ac:dyDescent="0.35">
      <c r="F6153"/>
    </row>
    <row r="6154" spans="6:6" x14ac:dyDescent="0.35">
      <c r="F6154"/>
    </row>
    <row r="6155" spans="6:6" x14ac:dyDescent="0.35">
      <c r="F6155"/>
    </row>
    <row r="6156" spans="6:6" x14ac:dyDescent="0.35">
      <c r="F6156"/>
    </row>
    <row r="6157" spans="6:6" x14ac:dyDescent="0.35">
      <c r="F6157"/>
    </row>
    <row r="6158" spans="6:6" x14ac:dyDescent="0.35">
      <c r="F6158"/>
    </row>
    <row r="6159" spans="6:6" x14ac:dyDescent="0.35">
      <c r="F6159"/>
    </row>
    <row r="6160" spans="6:6" x14ac:dyDescent="0.35">
      <c r="F6160"/>
    </row>
    <row r="6161" spans="6:6" x14ac:dyDescent="0.35">
      <c r="F6161"/>
    </row>
    <row r="6162" spans="6:6" x14ac:dyDescent="0.35">
      <c r="F6162"/>
    </row>
    <row r="6163" spans="6:6" x14ac:dyDescent="0.35">
      <c r="F6163"/>
    </row>
    <row r="6164" spans="6:6" x14ac:dyDescent="0.35">
      <c r="F6164"/>
    </row>
    <row r="6165" spans="6:6" x14ac:dyDescent="0.35">
      <c r="F6165"/>
    </row>
    <row r="6166" spans="6:6" x14ac:dyDescent="0.35">
      <c r="F6166"/>
    </row>
    <row r="6167" spans="6:6" x14ac:dyDescent="0.35">
      <c r="F6167"/>
    </row>
    <row r="6168" spans="6:6" x14ac:dyDescent="0.35">
      <c r="F6168"/>
    </row>
    <row r="6169" spans="6:6" x14ac:dyDescent="0.35">
      <c r="F6169"/>
    </row>
    <row r="6170" spans="6:6" x14ac:dyDescent="0.35">
      <c r="F6170"/>
    </row>
    <row r="6171" spans="6:6" x14ac:dyDescent="0.35">
      <c r="F6171"/>
    </row>
    <row r="6172" spans="6:6" x14ac:dyDescent="0.35">
      <c r="F6172"/>
    </row>
    <row r="6173" spans="6:6" x14ac:dyDescent="0.35">
      <c r="F6173"/>
    </row>
    <row r="6174" spans="6:6" x14ac:dyDescent="0.35">
      <c r="F6174"/>
    </row>
    <row r="6175" spans="6:6" x14ac:dyDescent="0.35">
      <c r="F6175"/>
    </row>
    <row r="6176" spans="6:6" x14ac:dyDescent="0.35">
      <c r="F6176"/>
    </row>
    <row r="6177" spans="6:6" x14ac:dyDescent="0.35">
      <c r="F6177"/>
    </row>
    <row r="6178" spans="6:6" x14ac:dyDescent="0.35">
      <c r="F6178"/>
    </row>
    <row r="6179" spans="6:6" x14ac:dyDescent="0.35">
      <c r="F6179"/>
    </row>
    <row r="6180" spans="6:6" x14ac:dyDescent="0.35">
      <c r="F6180"/>
    </row>
    <row r="6181" spans="6:6" x14ac:dyDescent="0.35">
      <c r="F6181"/>
    </row>
    <row r="6182" spans="6:6" x14ac:dyDescent="0.35">
      <c r="F6182"/>
    </row>
    <row r="6183" spans="6:6" x14ac:dyDescent="0.35">
      <c r="F6183"/>
    </row>
    <row r="6184" spans="6:6" x14ac:dyDescent="0.35">
      <c r="F6184"/>
    </row>
    <row r="6185" spans="6:6" x14ac:dyDescent="0.35">
      <c r="F6185"/>
    </row>
    <row r="6186" spans="6:6" x14ac:dyDescent="0.35">
      <c r="F6186"/>
    </row>
    <row r="6187" spans="6:6" x14ac:dyDescent="0.35">
      <c r="F6187"/>
    </row>
    <row r="6188" spans="6:6" x14ac:dyDescent="0.35">
      <c r="F6188"/>
    </row>
    <row r="6189" spans="6:6" x14ac:dyDescent="0.35">
      <c r="F6189"/>
    </row>
    <row r="6190" spans="6:6" x14ac:dyDescent="0.35">
      <c r="F6190"/>
    </row>
    <row r="6191" spans="6:6" x14ac:dyDescent="0.35">
      <c r="F6191"/>
    </row>
    <row r="6192" spans="6:6" x14ac:dyDescent="0.35">
      <c r="F6192"/>
    </row>
    <row r="6193" spans="6:6" x14ac:dyDescent="0.35">
      <c r="F6193"/>
    </row>
    <row r="6194" spans="6:6" x14ac:dyDescent="0.35">
      <c r="F6194"/>
    </row>
    <row r="6195" spans="6:6" x14ac:dyDescent="0.35">
      <c r="F6195"/>
    </row>
    <row r="6196" spans="6:6" x14ac:dyDescent="0.35">
      <c r="F6196"/>
    </row>
    <row r="6197" spans="6:6" x14ac:dyDescent="0.35">
      <c r="F6197"/>
    </row>
    <row r="6198" spans="6:6" x14ac:dyDescent="0.35">
      <c r="F6198"/>
    </row>
    <row r="6199" spans="6:6" x14ac:dyDescent="0.35">
      <c r="F6199"/>
    </row>
    <row r="6200" spans="6:6" x14ac:dyDescent="0.35">
      <c r="F6200"/>
    </row>
    <row r="6201" spans="6:6" x14ac:dyDescent="0.35">
      <c r="F6201"/>
    </row>
    <row r="6202" spans="6:6" x14ac:dyDescent="0.35">
      <c r="F6202"/>
    </row>
    <row r="6203" spans="6:6" x14ac:dyDescent="0.35">
      <c r="F6203"/>
    </row>
    <row r="6204" spans="6:6" x14ac:dyDescent="0.35">
      <c r="F6204"/>
    </row>
    <row r="6205" spans="6:6" x14ac:dyDescent="0.35">
      <c r="F6205"/>
    </row>
    <row r="6206" spans="6:6" x14ac:dyDescent="0.35">
      <c r="F6206"/>
    </row>
    <row r="6207" spans="6:6" x14ac:dyDescent="0.35">
      <c r="F6207"/>
    </row>
    <row r="6208" spans="6:6" x14ac:dyDescent="0.35">
      <c r="F6208"/>
    </row>
    <row r="6209" spans="6:6" x14ac:dyDescent="0.35">
      <c r="F6209"/>
    </row>
    <row r="6210" spans="6:6" x14ac:dyDescent="0.35">
      <c r="F6210"/>
    </row>
    <row r="6211" spans="6:6" x14ac:dyDescent="0.35">
      <c r="F6211"/>
    </row>
    <row r="6212" spans="6:6" x14ac:dyDescent="0.35">
      <c r="F6212"/>
    </row>
    <row r="6213" spans="6:6" x14ac:dyDescent="0.35">
      <c r="F6213"/>
    </row>
    <row r="6214" spans="6:6" x14ac:dyDescent="0.35">
      <c r="F6214"/>
    </row>
    <row r="6215" spans="6:6" x14ac:dyDescent="0.35">
      <c r="F6215"/>
    </row>
    <row r="6216" spans="6:6" x14ac:dyDescent="0.35">
      <c r="F6216"/>
    </row>
    <row r="6217" spans="6:6" x14ac:dyDescent="0.35">
      <c r="F6217"/>
    </row>
    <row r="6218" spans="6:6" x14ac:dyDescent="0.35">
      <c r="F6218"/>
    </row>
    <row r="6219" spans="6:6" x14ac:dyDescent="0.35">
      <c r="F6219"/>
    </row>
    <row r="6220" spans="6:6" x14ac:dyDescent="0.35">
      <c r="F6220"/>
    </row>
    <row r="6221" spans="6:6" x14ac:dyDescent="0.35">
      <c r="F6221"/>
    </row>
    <row r="6222" spans="6:6" x14ac:dyDescent="0.35">
      <c r="F6222"/>
    </row>
    <row r="6223" spans="6:6" x14ac:dyDescent="0.35">
      <c r="F6223"/>
    </row>
    <row r="6224" spans="6:6" x14ac:dyDescent="0.35">
      <c r="F6224"/>
    </row>
    <row r="6225" spans="6:6" x14ac:dyDescent="0.35">
      <c r="F6225"/>
    </row>
    <row r="6226" spans="6:6" x14ac:dyDescent="0.35">
      <c r="F6226"/>
    </row>
    <row r="6227" spans="6:6" x14ac:dyDescent="0.35">
      <c r="F6227"/>
    </row>
    <row r="6228" spans="6:6" x14ac:dyDescent="0.35">
      <c r="F6228"/>
    </row>
    <row r="6229" spans="6:6" x14ac:dyDescent="0.35">
      <c r="F6229"/>
    </row>
    <row r="6230" spans="6:6" x14ac:dyDescent="0.35">
      <c r="F6230"/>
    </row>
    <row r="6231" spans="6:6" x14ac:dyDescent="0.35">
      <c r="F6231"/>
    </row>
    <row r="6232" spans="6:6" x14ac:dyDescent="0.35">
      <c r="F6232"/>
    </row>
    <row r="6233" spans="6:6" x14ac:dyDescent="0.35">
      <c r="F6233"/>
    </row>
    <row r="6234" spans="6:6" x14ac:dyDescent="0.35">
      <c r="F6234"/>
    </row>
    <row r="6235" spans="6:6" x14ac:dyDescent="0.35">
      <c r="F6235"/>
    </row>
    <row r="6236" spans="6:6" x14ac:dyDescent="0.35">
      <c r="F6236"/>
    </row>
    <row r="6237" spans="6:6" x14ac:dyDescent="0.35">
      <c r="F6237"/>
    </row>
    <row r="6238" spans="6:6" x14ac:dyDescent="0.35">
      <c r="F6238"/>
    </row>
    <row r="6239" spans="6:6" x14ac:dyDescent="0.35">
      <c r="F6239"/>
    </row>
    <row r="6240" spans="6:6" x14ac:dyDescent="0.35">
      <c r="F6240"/>
    </row>
    <row r="6241" spans="6:6" x14ac:dyDescent="0.35">
      <c r="F6241"/>
    </row>
    <row r="6242" spans="6:6" x14ac:dyDescent="0.35">
      <c r="F6242"/>
    </row>
    <row r="6243" spans="6:6" x14ac:dyDescent="0.35">
      <c r="F6243"/>
    </row>
    <row r="6244" spans="6:6" x14ac:dyDescent="0.35">
      <c r="F6244"/>
    </row>
    <row r="6245" spans="6:6" x14ac:dyDescent="0.35">
      <c r="F6245"/>
    </row>
    <row r="6246" spans="6:6" x14ac:dyDescent="0.35">
      <c r="F6246"/>
    </row>
    <row r="6247" spans="6:6" x14ac:dyDescent="0.35">
      <c r="F6247"/>
    </row>
    <row r="6248" spans="6:6" x14ac:dyDescent="0.35">
      <c r="F6248"/>
    </row>
    <row r="6249" spans="6:6" x14ac:dyDescent="0.35">
      <c r="F6249"/>
    </row>
    <row r="6250" spans="6:6" x14ac:dyDescent="0.35">
      <c r="F6250"/>
    </row>
    <row r="6251" spans="6:6" x14ac:dyDescent="0.35">
      <c r="F6251"/>
    </row>
    <row r="6252" spans="6:6" x14ac:dyDescent="0.35">
      <c r="F6252"/>
    </row>
    <row r="6253" spans="6:6" x14ac:dyDescent="0.35">
      <c r="F6253"/>
    </row>
    <row r="6254" spans="6:6" x14ac:dyDescent="0.35">
      <c r="F6254"/>
    </row>
    <row r="6255" spans="6:6" x14ac:dyDescent="0.35">
      <c r="F6255"/>
    </row>
    <row r="6256" spans="6:6" x14ac:dyDescent="0.35">
      <c r="F6256"/>
    </row>
    <row r="6257" spans="6:6" x14ac:dyDescent="0.35">
      <c r="F6257"/>
    </row>
    <row r="6258" spans="6:6" x14ac:dyDescent="0.35">
      <c r="F6258"/>
    </row>
    <row r="6259" spans="6:6" x14ac:dyDescent="0.35">
      <c r="F6259"/>
    </row>
    <row r="6260" spans="6:6" x14ac:dyDescent="0.35">
      <c r="F6260"/>
    </row>
    <row r="6261" spans="6:6" x14ac:dyDescent="0.35">
      <c r="F6261"/>
    </row>
    <row r="6262" spans="6:6" x14ac:dyDescent="0.35">
      <c r="F6262"/>
    </row>
    <row r="6263" spans="6:6" x14ac:dyDescent="0.35">
      <c r="F6263"/>
    </row>
    <row r="6264" spans="6:6" x14ac:dyDescent="0.35">
      <c r="F6264"/>
    </row>
    <row r="6265" spans="6:6" x14ac:dyDescent="0.35">
      <c r="F6265"/>
    </row>
    <row r="6266" spans="6:6" x14ac:dyDescent="0.35">
      <c r="F6266"/>
    </row>
    <row r="6267" spans="6:6" x14ac:dyDescent="0.35">
      <c r="F6267"/>
    </row>
    <row r="6268" spans="6:6" x14ac:dyDescent="0.35">
      <c r="F6268"/>
    </row>
    <row r="6269" spans="6:6" x14ac:dyDescent="0.35">
      <c r="F6269"/>
    </row>
    <row r="6270" spans="6:6" x14ac:dyDescent="0.35">
      <c r="F6270"/>
    </row>
    <row r="6271" spans="6:6" x14ac:dyDescent="0.35">
      <c r="F6271"/>
    </row>
    <row r="6272" spans="6:6" x14ac:dyDescent="0.35">
      <c r="F6272"/>
    </row>
    <row r="6273" spans="6:6" x14ac:dyDescent="0.35">
      <c r="F6273"/>
    </row>
    <row r="6274" spans="6:6" x14ac:dyDescent="0.35">
      <c r="F6274"/>
    </row>
    <row r="6275" spans="6:6" x14ac:dyDescent="0.35">
      <c r="F6275"/>
    </row>
    <row r="6276" spans="6:6" x14ac:dyDescent="0.35">
      <c r="F6276"/>
    </row>
    <row r="6277" spans="6:6" x14ac:dyDescent="0.35">
      <c r="F6277"/>
    </row>
    <row r="6278" spans="6:6" x14ac:dyDescent="0.35">
      <c r="F6278"/>
    </row>
    <row r="6279" spans="6:6" x14ac:dyDescent="0.35">
      <c r="F6279"/>
    </row>
    <row r="6280" spans="6:6" x14ac:dyDescent="0.35">
      <c r="F6280"/>
    </row>
    <row r="6281" spans="6:6" x14ac:dyDescent="0.35">
      <c r="F6281"/>
    </row>
    <row r="6282" spans="6:6" x14ac:dyDescent="0.35">
      <c r="F6282"/>
    </row>
    <row r="6283" spans="6:6" x14ac:dyDescent="0.35">
      <c r="F6283"/>
    </row>
    <row r="6284" spans="6:6" x14ac:dyDescent="0.35">
      <c r="F6284"/>
    </row>
    <row r="6285" spans="6:6" x14ac:dyDescent="0.35">
      <c r="F6285"/>
    </row>
    <row r="6286" spans="6:6" x14ac:dyDescent="0.35">
      <c r="F6286"/>
    </row>
    <row r="6287" spans="6:6" x14ac:dyDescent="0.35">
      <c r="F6287"/>
    </row>
    <row r="6288" spans="6:6" x14ac:dyDescent="0.35">
      <c r="F6288"/>
    </row>
    <row r="6289" spans="6:6" x14ac:dyDescent="0.35">
      <c r="F6289"/>
    </row>
    <row r="6290" spans="6:6" x14ac:dyDescent="0.35">
      <c r="F6290"/>
    </row>
    <row r="6291" spans="6:6" x14ac:dyDescent="0.35">
      <c r="F6291"/>
    </row>
    <row r="6292" spans="6:6" x14ac:dyDescent="0.35">
      <c r="F6292"/>
    </row>
    <row r="6293" spans="6:6" x14ac:dyDescent="0.35">
      <c r="F6293"/>
    </row>
    <row r="6294" spans="6:6" x14ac:dyDescent="0.35">
      <c r="F6294"/>
    </row>
    <row r="6295" spans="6:6" x14ac:dyDescent="0.35">
      <c r="F6295"/>
    </row>
    <row r="6296" spans="6:6" x14ac:dyDescent="0.35">
      <c r="F6296"/>
    </row>
    <row r="6297" spans="6:6" x14ac:dyDescent="0.35">
      <c r="F6297"/>
    </row>
    <row r="6298" spans="6:6" x14ac:dyDescent="0.35">
      <c r="F6298"/>
    </row>
    <row r="6299" spans="6:6" x14ac:dyDescent="0.35">
      <c r="F6299"/>
    </row>
    <row r="6300" spans="6:6" x14ac:dyDescent="0.35">
      <c r="F6300"/>
    </row>
    <row r="6301" spans="6:6" x14ac:dyDescent="0.35">
      <c r="F6301"/>
    </row>
    <row r="6302" spans="6:6" x14ac:dyDescent="0.35">
      <c r="F6302"/>
    </row>
    <row r="6303" spans="6:6" x14ac:dyDescent="0.35">
      <c r="F6303"/>
    </row>
    <row r="6304" spans="6:6" x14ac:dyDescent="0.35">
      <c r="F6304"/>
    </row>
    <row r="6305" spans="6:6" x14ac:dyDescent="0.35">
      <c r="F6305"/>
    </row>
    <row r="6306" spans="6:6" x14ac:dyDescent="0.35">
      <c r="F6306"/>
    </row>
    <row r="6307" spans="6:6" x14ac:dyDescent="0.35">
      <c r="F6307"/>
    </row>
    <row r="6308" spans="6:6" x14ac:dyDescent="0.35">
      <c r="F6308"/>
    </row>
    <row r="6309" spans="6:6" x14ac:dyDescent="0.35">
      <c r="F6309"/>
    </row>
    <row r="6310" spans="6:6" x14ac:dyDescent="0.35">
      <c r="F6310"/>
    </row>
    <row r="6311" spans="6:6" x14ac:dyDescent="0.35">
      <c r="F6311"/>
    </row>
    <row r="6312" spans="6:6" x14ac:dyDescent="0.35">
      <c r="F6312"/>
    </row>
    <row r="6313" spans="6:6" x14ac:dyDescent="0.35">
      <c r="F6313"/>
    </row>
    <row r="6314" spans="6:6" x14ac:dyDescent="0.35">
      <c r="F6314"/>
    </row>
    <row r="6315" spans="6:6" x14ac:dyDescent="0.35">
      <c r="F6315"/>
    </row>
    <row r="6316" spans="6:6" x14ac:dyDescent="0.35">
      <c r="F6316"/>
    </row>
    <row r="6317" spans="6:6" x14ac:dyDescent="0.35">
      <c r="F6317"/>
    </row>
    <row r="6318" spans="6:6" x14ac:dyDescent="0.35">
      <c r="F6318"/>
    </row>
    <row r="6319" spans="6:6" x14ac:dyDescent="0.35">
      <c r="F6319"/>
    </row>
    <row r="6320" spans="6:6" x14ac:dyDescent="0.35">
      <c r="F6320"/>
    </row>
    <row r="6321" spans="6:6" x14ac:dyDescent="0.35">
      <c r="F6321"/>
    </row>
    <row r="6322" spans="6:6" x14ac:dyDescent="0.35">
      <c r="F6322"/>
    </row>
    <row r="6323" spans="6:6" x14ac:dyDescent="0.35">
      <c r="F6323"/>
    </row>
    <row r="6324" spans="6:6" x14ac:dyDescent="0.35">
      <c r="F6324"/>
    </row>
    <row r="6325" spans="6:6" x14ac:dyDescent="0.35">
      <c r="F6325"/>
    </row>
    <row r="6326" spans="6:6" x14ac:dyDescent="0.35">
      <c r="F6326"/>
    </row>
    <row r="6327" spans="6:6" x14ac:dyDescent="0.35">
      <c r="F6327"/>
    </row>
    <row r="6328" spans="6:6" x14ac:dyDescent="0.35">
      <c r="F6328"/>
    </row>
    <row r="6329" spans="6:6" x14ac:dyDescent="0.35">
      <c r="F6329"/>
    </row>
    <row r="6330" spans="6:6" x14ac:dyDescent="0.35">
      <c r="F6330"/>
    </row>
    <row r="6331" spans="6:6" x14ac:dyDescent="0.35">
      <c r="F6331"/>
    </row>
    <row r="6332" spans="6:6" x14ac:dyDescent="0.35">
      <c r="F6332"/>
    </row>
    <row r="6333" spans="6:6" x14ac:dyDescent="0.35">
      <c r="F6333"/>
    </row>
    <row r="6334" spans="6:6" x14ac:dyDescent="0.35">
      <c r="F6334"/>
    </row>
    <row r="6335" spans="6:6" x14ac:dyDescent="0.35">
      <c r="F6335"/>
    </row>
    <row r="6336" spans="6:6" x14ac:dyDescent="0.35">
      <c r="F6336"/>
    </row>
    <row r="6337" spans="6:6" x14ac:dyDescent="0.35">
      <c r="F6337"/>
    </row>
    <row r="6338" spans="6:6" x14ac:dyDescent="0.35">
      <c r="F6338"/>
    </row>
    <row r="6339" spans="6:6" x14ac:dyDescent="0.35">
      <c r="F6339"/>
    </row>
    <row r="6340" spans="6:6" x14ac:dyDescent="0.35">
      <c r="F6340"/>
    </row>
    <row r="6341" spans="6:6" x14ac:dyDescent="0.35">
      <c r="F6341"/>
    </row>
    <row r="6342" spans="6:6" x14ac:dyDescent="0.35">
      <c r="F6342"/>
    </row>
    <row r="6343" spans="6:6" x14ac:dyDescent="0.35">
      <c r="F6343"/>
    </row>
    <row r="6344" spans="6:6" x14ac:dyDescent="0.35">
      <c r="F6344"/>
    </row>
    <row r="6345" spans="6:6" x14ac:dyDescent="0.35">
      <c r="F6345"/>
    </row>
    <row r="6346" spans="6:6" x14ac:dyDescent="0.35">
      <c r="F6346"/>
    </row>
    <row r="6347" spans="6:6" x14ac:dyDescent="0.35">
      <c r="F6347"/>
    </row>
    <row r="6348" spans="6:6" x14ac:dyDescent="0.35">
      <c r="F6348"/>
    </row>
    <row r="6349" spans="6:6" x14ac:dyDescent="0.35">
      <c r="F6349"/>
    </row>
    <row r="6350" spans="6:6" x14ac:dyDescent="0.35">
      <c r="F6350"/>
    </row>
    <row r="6351" spans="6:6" x14ac:dyDescent="0.35">
      <c r="F6351"/>
    </row>
    <row r="6352" spans="6:6" x14ac:dyDescent="0.35">
      <c r="F6352"/>
    </row>
    <row r="6353" spans="6:6" x14ac:dyDescent="0.35">
      <c r="F6353"/>
    </row>
    <row r="6354" spans="6:6" x14ac:dyDescent="0.35">
      <c r="F6354"/>
    </row>
    <row r="6355" spans="6:6" x14ac:dyDescent="0.35">
      <c r="F6355"/>
    </row>
    <row r="6356" spans="6:6" x14ac:dyDescent="0.35">
      <c r="F6356"/>
    </row>
    <row r="6357" spans="6:6" x14ac:dyDescent="0.35">
      <c r="F6357"/>
    </row>
    <row r="6358" spans="6:6" x14ac:dyDescent="0.35">
      <c r="F6358"/>
    </row>
    <row r="6359" spans="6:6" x14ac:dyDescent="0.35">
      <c r="F6359"/>
    </row>
    <row r="6360" spans="6:6" x14ac:dyDescent="0.35">
      <c r="F6360"/>
    </row>
    <row r="6361" spans="6:6" x14ac:dyDescent="0.35">
      <c r="F6361"/>
    </row>
    <row r="6362" spans="6:6" x14ac:dyDescent="0.35">
      <c r="F6362"/>
    </row>
    <row r="6363" spans="6:6" x14ac:dyDescent="0.35">
      <c r="F6363"/>
    </row>
    <row r="6364" spans="6:6" x14ac:dyDescent="0.35">
      <c r="F6364"/>
    </row>
    <row r="6365" spans="6:6" x14ac:dyDescent="0.35">
      <c r="F6365"/>
    </row>
    <row r="6366" spans="6:6" x14ac:dyDescent="0.35">
      <c r="F6366"/>
    </row>
    <row r="6367" spans="6:6" x14ac:dyDescent="0.35">
      <c r="F6367"/>
    </row>
    <row r="6368" spans="6:6" x14ac:dyDescent="0.35">
      <c r="F6368"/>
    </row>
    <row r="6369" spans="6:6" x14ac:dyDescent="0.35">
      <c r="F6369"/>
    </row>
    <row r="6370" spans="6:6" x14ac:dyDescent="0.35">
      <c r="F6370"/>
    </row>
    <row r="6371" spans="6:6" x14ac:dyDescent="0.35">
      <c r="F6371"/>
    </row>
    <row r="6372" spans="6:6" x14ac:dyDescent="0.35">
      <c r="F6372"/>
    </row>
    <row r="6373" spans="6:6" x14ac:dyDescent="0.35">
      <c r="F6373"/>
    </row>
    <row r="6374" spans="6:6" x14ac:dyDescent="0.35">
      <c r="F6374"/>
    </row>
    <row r="6375" spans="6:6" x14ac:dyDescent="0.35">
      <c r="F6375"/>
    </row>
    <row r="6376" spans="6:6" x14ac:dyDescent="0.35">
      <c r="F6376"/>
    </row>
    <row r="6377" spans="6:6" x14ac:dyDescent="0.35">
      <c r="F6377"/>
    </row>
    <row r="6378" spans="6:6" x14ac:dyDescent="0.35">
      <c r="F6378"/>
    </row>
    <row r="6379" spans="6:6" x14ac:dyDescent="0.35">
      <c r="F6379"/>
    </row>
    <row r="6380" spans="6:6" x14ac:dyDescent="0.35">
      <c r="F6380"/>
    </row>
    <row r="6381" spans="6:6" x14ac:dyDescent="0.35">
      <c r="F6381"/>
    </row>
    <row r="6382" spans="6:6" x14ac:dyDescent="0.35">
      <c r="F6382"/>
    </row>
    <row r="6383" spans="6:6" x14ac:dyDescent="0.35">
      <c r="F6383"/>
    </row>
    <row r="6384" spans="6:6" x14ac:dyDescent="0.35">
      <c r="F6384"/>
    </row>
    <row r="6385" spans="6:6" x14ac:dyDescent="0.35">
      <c r="F6385"/>
    </row>
    <row r="6386" spans="6:6" x14ac:dyDescent="0.35">
      <c r="F6386"/>
    </row>
    <row r="6387" spans="6:6" x14ac:dyDescent="0.35">
      <c r="F6387"/>
    </row>
    <row r="6388" spans="6:6" x14ac:dyDescent="0.35">
      <c r="F6388"/>
    </row>
    <row r="6389" spans="6:6" x14ac:dyDescent="0.35">
      <c r="F6389"/>
    </row>
    <row r="6390" spans="6:6" x14ac:dyDescent="0.35">
      <c r="F6390"/>
    </row>
    <row r="6391" spans="6:6" x14ac:dyDescent="0.35">
      <c r="F6391"/>
    </row>
    <row r="6392" spans="6:6" x14ac:dyDescent="0.35">
      <c r="F6392"/>
    </row>
    <row r="6393" spans="6:6" x14ac:dyDescent="0.35">
      <c r="F6393"/>
    </row>
    <row r="6394" spans="6:6" x14ac:dyDescent="0.35">
      <c r="F6394"/>
    </row>
    <row r="6395" spans="6:6" x14ac:dyDescent="0.35">
      <c r="F6395"/>
    </row>
    <row r="6396" spans="6:6" x14ac:dyDescent="0.35">
      <c r="F6396"/>
    </row>
    <row r="6397" spans="6:6" x14ac:dyDescent="0.35">
      <c r="F6397"/>
    </row>
    <row r="6398" spans="6:6" x14ac:dyDescent="0.35">
      <c r="F6398"/>
    </row>
    <row r="6399" spans="6:6" x14ac:dyDescent="0.35">
      <c r="F6399"/>
    </row>
    <row r="6400" spans="6:6" x14ac:dyDescent="0.35">
      <c r="F6400"/>
    </row>
    <row r="6401" spans="6:6" x14ac:dyDescent="0.35">
      <c r="F6401"/>
    </row>
    <row r="6402" spans="6:6" x14ac:dyDescent="0.35">
      <c r="F6402"/>
    </row>
    <row r="6403" spans="6:6" x14ac:dyDescent="0.35">
      <c r="F6403"/>
    </row>
    <row r="6404" spans="6:6" x14ac:dyDescent="0.35">
      <c r="F6404"/>
    </row>
    <row r="6405" spans="6:6" x14ac:dyDescent="0.35">
      <c r="F6405"/>
    </row>
    <row r="6406" spans="6:6" x14ac:dyDescent="0.35">
      <c r="F6406"/>
    </row>
    <row r="6407" spans="6:6" x14ac:dyDescent="0.35">
      <c r="F6407"/>
    </row>
    <row r="6408" spans="6:6" x14ac:dyDescent="0.35">
      <c r="F6408"/>
    </row>
    <row r="6409" spans="6:6" x14ac:dyDescent="0.35">
      <c r="F6409"/>
    </row>
    <row r="6410" spans="6:6" x14ac:dyDescent="0.35">
      <c r="F6410"/>
    </row>
    <row r="6411" spans="6:6" x14ac:dyDescent="0.35">
      <c r="F6411"/>
    </row>
    <row r="6412" spans="6:6" x14ac:dyDescent="0.35">
      <c r="F6412"/>
    </row>
    <row r="6413" spans="6:6" x14ac:dyDescent="0.35">
      <c r="F6413"/>
    </row>
    <row r="6414" spans="6:6" x14ac:dyDescent="0.35">
      <c r="F6414"/>
    </row>
    <row r="6415" spans="6:6" x14ac:dyDescent="0.35">
      <c r="F6415"/>
    </row>
    <row r="6416" spans="6:6" x14ac:dyDescent="0.35">
      <c r="F6416"/>
    </row>
    <row r="6417" spans="6:6" x14ac:dyDescent="0.35">
      <c r="F6417"/>
    </row>
    <row r="6418" spans="6:6" x14ac:dyDescent="0.35">
      <c r="F6418"/>
    </row>
    <row r="6419" spans="6:6" x14ac:dyDescent="0.35">
      <c r="F6419"/>
    </row>
    <row r="6420" spans="6:6" x14ac:dyDescent="0.35">
      <c r="F6420"/>
    </row>
    <row r="6421" spans="6:6" x14ac:dyDescent="0.35">
      <c r="F6421"/>
    </row>
    <row r="6422" spans="6:6" x14ac:dyDescent="0.35">
      <c r="F6422"/>
    </row>
    <row r="6423" spans="6:6" x14ac:dyDescent="0.35">
      <c r="F6423"/>
    </row>
    <row r="6424" spans="6:6" x14ac:dyDescent="0.35">
      <c r="F6424"/>
    </row>
    <row r="6425" spans="6:6" x14ac:dyDescent="0.35">
      <c r="F6425"/>
    </row>
    <row r="6426" spans="6:6" x14ac:dyDescent="0.35">
      <c r="F6426"/>
    </row>
    <row r="6427" spans="6:6" x14ac:dyDescent="0.35">
      <c r="F6427"/>
    </row>
    <row r="6428" spans="6:6" x14ac:dyDescent="0.35">
      <c r="F6428"/>
    </row>
    <row r="6429" spans="6:6" x14ac:dyDescent="0.35">
      <c r="F6429"/>
    </row>
    <row r="6430" spans="6:6" x14ac:dyDescent="0.35">
      <c r="F6430"/>
    </row>
    <row r="6431" spans="6:6" x14ac:dyDescent="0.35">
      <c r="F6431"/>
    </row>
    <row r="6432" spans="6:6" x14ac:dyDescent="0.35">
      <c r="F6432"/>
    </row>
    <row r="6433" spans="6:6" x14ac:dyDescent="0.35">
      <c r="F6433"/>
    </row>
    <row r="6434" spans="6:6" x14ac:dyDescent="0.35">
      <c r="F6434"/>
    </row>
    <row r="6435" spans="6:6" x14ac:dyDescent="0.35">
      <c r="F6435"/>
    </row>
    <row r="6436" spans="6:6" x14ac:dyDescent="0.35">
      <c r="F6436"/>
    </row>
    <row r="6437" spans="6:6" x14ac:dyDescent="0.35">
      <c r="F6437"/>
    </row>
    <row r="6438" spans="6:6" x14ac:dyDescent="0.35">
      <c r="F6438"/>
    </row>
    <row r="6439" spans="6:6" x14ac:dyDescent="0.35">
      <c r="F6439"/>
    </row>
    <row r="6440" spans="6:6" x14ac:dyDescent="0.35">
      <c r="F6440"/>
    </row>
    <row r="6441" spans="6:6" x14ac:dyDescent="0.35">
      <c r="F6441"/>
    </row>
    <row r="6442" spans="6:6" x14ac:dyDescent="0.35">
      <c r="F6442"/>
    </row>
    <row r="6443" spans="6:6" x14ac:dyDescent="0.35">
      <c r="F6443"/>
    </row>
    <row r="6444" spans="6:6" x14ac:dyDescent="0.35">
      <c r="F6444"/>
    </row>
    <row r="6445" spans="6:6" x14ac:dyDescent="0.35">
      <c r="F6445"/>
    </row>
    <row r="6446" spans="6:6" x14ac:dyDescent="0.35">
      <c r="F6446"/>
    </row>
    <row r="6447" spans="6:6" x14ac:dyDescent="0.35">
      <c r="F6447"/>
    </row>
    <row r="6448" spans="6:6" x14ac:dyDescent="0.35">
      <c r="F6448"/>
    </row>
    <row r="6449" spans="6:6" x14ac:dyDescent="0.35">
      <c r="F6449"/>
    </row>
    <row r="6450" spans="6:6" x14ac:dyDescent="0.35">
      <c r="F6450"/>
    </row>
    <row r="6451" spans="6:6" x14ac:dyDescent="0.35">
      <c r="F6451"/>
    </row>
    <row r="6452" spans="6:6" x14ac:dyDescent="0.35">
      <c r="F6452"/>
    </row>
    <row r="6453" spans="6:6" x14ac:dyDescent="0.35">
      <c r="F6453"/>
    </row>
    <row r="6454" spans="6:6" x14ac:dyDescent="0.35">
      <c r="F6454"/>
    </row>
    <row r="6455" spans="6:6" x14ac:dyDescent="0.35">
      <c r="F6455"/>
    </row>
    <row r="6456" spans="6:6" x14ac:dyDescent="0.35">
      <c r="F6456"/>
    </row>
    <row r="6457" spans="6:6" x14ac:dyDescent="0.35">
      <c r="F6457"/>
    </row>
    <row r="6458" spans="6:6" x14ac:dyDescent="0.35">
      <c r="F6458"/>
    </row>
    <row r="6459" spans="6:6" x14ac:dyDescent="0.35">
      <c r="F6459"/>
    </row>
    <row r="6460" spans="6:6" x14ac:dyDescent="0.35">
      <c r="F6460"/>
    </row>
    <row r="6461" spans="6:6" x14ac:dyDescent="0.35">
      <c r="F6461"/>
    </row>
    <row r="6462" spans="6:6" x14ac:dyDescent="0.35">
      <c r="F6462"/>
    </row>
    <row r="6463" spans="6:6" x14ac:dyDescent="0.35">
      <c r="F6463"/>
    </row>
    <row r="6464" spans="6:6" x14ac:dyDescent="0.35">
      <c r="F6464"/>
    </row>
    <row r="6465" spans="6:6" x14ac:dyDescent="0.35">
      <c r="F6465"/>
    </row>
    <row r="6466" spans="6:6" x14ac:dyDescent="0.35">
      <c r="F6466"/>
    </row>
    <row r="6467" spans="6:6" x14ac:dyDescent="0.35">
      <c r="F6467"/>
    </row>
    <row r="6468" spans="6:6" x14ac:dyDescent="0.35">
      <c r="F6468"/>
    </row>
    <row r="6469" spans="6:6" x14ac:dyDescent="0.35">
      <c r="F6469"/>
    </row>
    <row r="6470" spans="6:6" x14ac:dyDescent="0.35">
      <c r="F6470"/>
    </row>
    <row r="6471" spans="6:6" x14ac:dyDescent="0.35">
      <c r="F6471"/>
    </row>
    <row r="6472" spans="6:6" x14ac:dyDescent="0.35">
      <c r="F6472"/>
    </row>
    <row r="6473" spans="6:6" x14ac:dyDescent="0.35">
      <c r="F6473"/>
    </row>
    <row r="6474" spans="6:6" x14ac:dyDescent="0.35">
      <c r="F6474"/>
    </row>
    <row r="6475" spans="6:6" x14ac:dyDescent="0.35">
      <c r="F6475"/>
    </row>
    <row r="6476" spans="6:6" x14ac:dyDescent="0.35">
      <c r="F6476"/>
    </row>
    <row r="6477" spans="6:6" x14ac:dyDescent="0.35">
      <c r="F6477"/>
    </row>
    <row r="6478" spans="6:6" x14ac:dyDescent="0.35">
      <c r="F6478"/>
    </row>
    <row r="6479" spans="6:6" x14ac:dyDescent="0.35">
      <c r="F6479"/>
    </row>
    <row r="6480" spans="6:6" x14ac:dyDescent="0.35">
      <c r="F6480"/>
    </row>
    <row r="6481" spans="6:6" x14ac:dyDescent="0.35">
      <c r="F6481"/>
    </row>
    <row r="6482" spans="6:6" x14ac:dyDescent="0.35">
      <c r="F6482"/>
    </row>
    <row r="6483" spans="6:6" x14ac:dyDescent="0.35">
      <c r="F6483"/>
    </row>
    <row r="6484" spans="6:6" x14ac:dyDescent="0.35">
      <c r="F6484"/>
    </row>
    <row r="6485" spans="6:6" x14ac:dyDescent="0.35">
      <c r="F6485"/>
    </row>
    <row r="6486" spans="6:6" x14ac:dyDescent="0.35">
      <c r="F6486"/>
    </row>
    <row r="6487" spans="6:6" x14ac:dyDescent="0.35">
      <c r="F6487"/>
    </row>
    <row r="6488" spans="6:6" x14ac:dyDescent="0.35">
      <c r="F6488"/>
    </row>
    <row r="6489" spans="6:6" x14ac:dyDescent="0.35">
      <c r="F6489"/>
    </row>
    <row r="6490" spans="6:6" x14ac:dyDescent="0.35">
      <c r="F6490"/>
    </row>
    <row r="6491" spans="6:6" x14ac:dyDescent="0.35">
      <c r="F6491"/>
    </row>
    <row r="6492" spans="6:6" x14ac:dyDescent="0.35">
      <c r="F6492"/>
    </row>
    <row r="6493" spans="6:6" x14ac:dyDescent="0.35">
      <c r="F6493"/>
    </row>
    <row r="6494" spans="6:6" x14ac:dyDescent="0.35">
      <c r="F6494"/>
    </row>
    <row r="6495" spans="6:6" x14ac:dyDescent="0.35">
      <c r="F6495"/>
    </row>
    <row r="6496" spans="6:6" x14ac:dyDescent="0.35">
      <c r="F6496"/>
    </row>
    <row r="6497" spans="6:6" x14ac:dyDescent="0.35">
      <c r="F6497"/>
    </row>
    <row r="6498" spans="6:6" x14ac:dyDescent="0.35">
      <c r="F6498"/>
    </row>
    <row r="6499" spans="6:6" x14ac:dyDescent="0.35">
      <c r="F6499"/>
    </row>
    <row r="6500" spans="6:6" x14ac:dyDescent="0.35">
      <c r="F6500"/>
    </row>
    <row r="6501" spans="6:6" x14ac:dyDescent="0.35">
      <c r="F6501"/>
    </row>
    <row r="6502" spans="6:6" x14ac:dyDescent="0.35">
      <c r="F6502"/>
    </row>
    <row r="6503" spans="6:6" x14ac:dyDescent="0.35">
      <c r="F6503"/>
    </row>
    <row r="6504" spans="6:6" x14ac:dyDescent="0.35">
      <c r="F6504"/>
    </row>
    <row r="6505" spans="6:6" x14ac:dyDescent="0.35">
      <c r="F6505"/>
    </row>
    <row r="6506" spans="6:6" x14ac:dyDescent="0.35">
      <c r="F6506"/>
    </row>
    <row r="6507" spans="6:6" x14ac:dyDescent="0.35">
      <c r="F6507"/>
    </row>
    <row r="6508" spans="6:6" x14ac:dyDescent="0.35">
      <c r="F6508"/>
    </row>
    <row r="6509" spans="6:6" x14ac:dyDescent="0.35">
      <c r="F6509"/>
    </row>
    <row r="6510" spans="6:6" x14ac:dyDescent="0.35">
      <c r="F6510"/>
    </row>
    <row r="6511" spans="6:6" x14ac:dyDescent="0.35">
      <c r="F6511"/>
    </row>
    <row r="6512" spans="6:6" x14ac:dyDescent="0.35">
      <c r="F6512"/>
    </row>
    <row r="6513" spans="6:6" x14ac:dyDescent="0.35">
      <c r="F6513"/>
    </row>
    <row r="6514" spans="6:6" x14ac:dyDescent="0.35">
      <c r="F6514"/>
    </row>
    <row r="6515" spans="6:6" x14ac:dyDescent="0.35">
      <c r="F6515"/>
    </row>
    <row r="6516" spans="6:6" x14ac:dyDescent="0.35">
      <c r="F6516"/>
    </row>
    <row r="6517" spans="6:6" x14ac:dyDescent="0.35">
      <c r="F6517"/>
    </row>
    <row r="6518" spans="6:6" x14ac:dyDescent="0.35">
      <c r="F6518"/>
    </row>
    <row r="6519" spans="6:6" x14ac:dyDescent="0.35">
      <c r="F6519"/>
    </row>
    <row r="6520" spans="6:6" x14ac:dyDescent="0.35">
      <c r="F6520"/>
    </row>
    <row r="6521" spans="6:6" x14ac:dyDescent="0.35">
      <c r="F6521"/>
    </row>
    <row r="6522" spans="6:6" x14ac:dyDescent="0.35">
      <c r="F6522"/>
    </row>
    <row r="6523" spans="6:6" x14ac:dyDescent="0.35">
      <c r="F6523"/>
    </row>
    <row r="6524" spans="6:6" x14ac:dyDescent="0.35">
      <c r="F6524"/>
    </row>
    <row r="6525" spans="6:6" x14ac:dyDescent="0.35">
      <c r="F6525"/>
    </row>
    <row r="6526" spans="6:6" x14ac:dyDescent="0.35">
      <c r="F6526"/>
    </row>
    <row r="6527" spans="6:6" x14ac:dyDescent="0.35">
      <c r="F6527"/>
    </row>
    <row r="6528" spans="6:6" x14ac:dyDescent="0.35">
      <c r="F6528"/>
    </row>
    <row r="6529" spans="6:6" x14ac:dyDescent="0.35">
      <c r="F6529"/>
    </row>
    <row r="6530" spans="6:6" x14ac:dyDescent="0.35">
      <c r="F6530"/>
    </row>
    <row r="6531" spans="6:6" x14ac:dyDescent="0.35">
      <c r="F6531"/>
    </row>
    <row r="6532" spans="6:6" x14ac:dyDescent="0.35">
      <c r="F6532"/>
    </row>
    <row r="6533" spans="6:6" x14ac:dyDescent="0.35">
      <c r="F6533"/>
    </row>
    <row r="6534" spans="6:6" x14ac:dyDescent="0.35">
      <c r="F6534"/>
    </row>
    <row r="6535" spans="6:6" x14ac:dyDescent="0.35">
      <c r="F6535"/>
    </row>
    <row r="6536" spans="6:6" x14ac:dyDescent="0.35">
      <c r="F6536"/>
    </row>
    <row r="6537" spans="6:6" x14ac:dyDescent="0.35">
      <c r="F6537"/>
    </row>
    <row r="6538" spans="6:6" x14ac:dyDescent="0.35">
      <c r="F6538"/>
    </row>
    <row r="6539" spans="6:6" x14ac:dyDescent="0.35">
      <c r="F6539"/>
    </row>
    <row r="6540" spans="6:6" x14ac:dyDescent="0.35">
      <c r="F6540"/>
    </row>
    <row r="6541" spans="6:6" x14ac:dyDescent="0.35">
      <c r="F6541"/>
    </row>
    <row r="6542" spans="6:6" x14ac:dyDescent="0.35">
      <c r="F6542"/>
    </row>
    <row r="6543" spans="6:6" x14ac:dyDescent="0.35">
      <c r="F6543"/>
    </row>
    <row r="6544" spans="6:6" x14ac:dyDescent="0.35">
      <c r="F6544"/>
    </row>
    <row r="6545" spans="6:6" x14ac:dyDescent="0.35">
      <c r="F6545"/>
    </row>
    <row r="6546" spans="6:6" x14ac:dyDescent="0.35">
      <c r="F6546"/>
    </row>
    <row r="6547" spans="6:6" x14ac:dyDescent="0.35">
      <c r="F6547"/>
    </row>
    <row r="6548" spans="6:6" x14ac:dyDescent="0.35">
      <c r="F6548"/>
    </row>
    <row r="6549" spans="6:6" x14ac:dyDescent="0.35">
      <c r="F6549"/>
    </row>
    <row r="6550" spans="6:6" x14ac:dyDescent="0.35">
      <c r="F6550"/>
    </row>
    <row r="6551" spans="6:6" x14ac:dyDescent="0.35">
      <c r="F6551"/>
    </row>
    <row r="6552" spans="6:6" x14ac:dyDescent="0.35">
      <c r="F6552"/>
    </row>
    <row r="6553" spans="6:6" x14ac:dyDescent="0.35">
      <c r="F6553"/>
    </row>
    <row r="6554" spans="6:6" x14ac:dyDescent="0.35">
      <c r="F6554"/>
    </row>
    <row r="6555" spans="6:6" x14ac:dyDescent="0.35">
      <c r="F6555"/>
    </row>
    <row r="6556" spans="6:6" x14ac:dyDescent="0.35">
      <c r="F6556"/>
    </row>
    <row r="6557" spans="6:6" x14ac:dyDescent="0.35">
      <c r="F6557"/>
    </row>
    <row r="6558" spans="6:6" x14ac:dyDescent="0.35">
      <c r="F6558"/>
    </row>
    <row r="6559" spans="6:6" x14ac:dyDescent="0.35">
      <c r="F6559"/>
    </row>
    <row r="6560" spans="6:6" x14ac:dyDescent="0.35">
      <c r="F6560"/>
    </row>
    <row r="6561" spans="6:6" x14ac:dyDescent="0.35">
      <c r="F6561"/>
    </row>
    <row r="6562" spans="6:6" x14ac:dyDescent="0.35">
      <c r="F6562"/>
    </row>
    <row r="6563" spans="6:6" x14ac:dyDescent="0.35">
      <c r="F6563"/>
    </row>
    <row r="6564" spans="6:6" x14ac:dyDescent="0.35">
      <c r="F6564"/>
    </row>
    <row r="6565" spans="6:6" x14ac:dyDescent="0.35">
      <c r="F6565"/>
    </row>
    <row r="6566" spans="6:6" x14ac:dyDescent="0.35">
      <c r="F6566"/>
    </row>
    <row r="6567" spans="6:6" x14ac:dyDescent="0.35">
      <c r="F6567"/>
    </row>
    <row r="6568" spans="6:6" x14ac:dyDescent="0.35">
      <c r="F6568"/>
    </row>
    <row r="6569" spans="6:6" x14ac:dyDescent="0.35">
      <c r="F6569"/>
    </row>
    <row r="6570" spans="6:6" x14ac:dyDescent="0.35">
      <c r="F6570"/>
    </row>
    <row r="6571" spans="6:6" x14ac:dyDescent="0.35">
      <c r="F6571"/>
    </row>
    <row r="6572" spans="6:6" x14ac:dyDescent="0.35">
      <c r="F6572"/>
    </row>
    <row r="6573" spans="6:6" x14ac:dyDescent="0.35">
      <c r="F6573"/>
    </row>
    <row r="6574" spans="6:6" x14ac:dyDescent="0.35">
      <c r="F6574"/>
    </row>
    <row r="6575" spans="6:6" x14ac:dyDescent="0.35">
      <c r="F6575"/>
    </row>
    <row r="6576" spans="6:6" x14ac:dyDescent="0.35">
      <c r="F6576"/>
    </row>
    <row r="6577" spans="6:6" x14ac:dyDescent="0.35">
      <c r="F6577"/>
    </row>
    <row r="6578" spans="6:6" x14ac:dyDescent="0.35">
      <c r="F6578"/>
    </row>
    <row r="6579" spans="6:6" x14ac:dyDescent="0.35">
      <c r="F6579"/>
    </row>
    <row r="6580" spans="6:6" x14ac:dyDescent="0.35">
      <c r="F6580"/>
    </row>
    <row r="6581" spans="6:6" x14ac:dyDescent="0.35">
      <c r="F6581"/>
    </row>
    <row r="6582" spans="6:6" x14ac:dyDescent="0.35">
      <c r="F6582"/>
    </row>
    <row r="6583" spans="6:6" x14ac:dyDescent="0.35">
      <c r="F6583"/>
    </row>
    <row r="6584" spans="6:6" x14ac:dyDescent="0.35">
      <c r="F6584"/>
    </row>
    <row r="6585" spans="6:6" x14ac:dyDescent="0.35">
      <c r="F6585"/>
    </row>
    <row r="6586" spans="6:6" x14ac:dyDescent="0.35">
      <c r="F6586"/>
    </row>
    <row r="6587" spans="6:6" x14ac:dyDescent="0.35">
      <c r="F6587"/>
    </row>
    <row r="6588" spans="6:6" x14ac:dyDescent="0.35">
      <c r="F6588"/>
    </row>
    <row r="6589" spans="6:6" x14ac:dyDescent="0.35">
      <c r="F6589"/>
    </row>
    <row r="6590" spans="6:6" x14ac:dyDescent="0.35">
      <c r="F6590"/>
    </row>
    <row r="6591" spans="6:6" x14ac:dyDescent="0.35">
      <c r="F6591"/>
    </row>
    <row r="6592" spans="6:6" x14ac:dyDescent="0.35">
      <c r="F6592"/>
    </row>
    <row r="6593" spans="6:6" x14ac:dyDescent="0.35">
      <c r="F6593"/>
    </row>
    <row r="6594" spans="6:6" x14ac:dyDescent="0.35">
      <c r="F6594"/>
    </row>
    <row r="6595" spans="6:6" x14ac:dyDescent="0.35">
      <c r="F6595"/>
    </row>
    <row r="6596" spans="6:6" x14ac:dyDescent="0.35">
      <c r="F6596"/>
    </row>
    <row r="6597" spans="6:6" x14ac:dyDescent="0.35">
      <c r="F6597"/>
    </row>
    <row r="6598" spans="6:6" x14ac:dyDescent="0.35">
      <c r="F6598"/>
    </row>
    <row r="6599" spans="6:6" x14ac:dyDescent="0.35">
      <c r="F6599"/>
    </row>
    <row r="6600" spans="6:6" x14ac:dyDescent="0.35">
      <c r="F6600"/>
    </row>
    <row r="6601" spans="6:6" x14ac:dyDescent="0.35">
      <c r="F6601"/>
    </row>
    <row r="6602" spans="6:6" x14ac:dyDescent="0.35">
      <c r="F6602"/>
    </row>
    <row r="6603" spans="6:6" x14ac:dyDescent="0.35">
      <c r="F6603"/>
    </row>
    <row r="6604" spans="6:6" x14ac:dyDescent="0.35">
      <c r="F6604"/>
    </row>
    <row r="6605" spans="6:6" x14ac:dyDescent="0.35">
      <c r="F6605"/>
    </row>
    <row r="6606" spans="6:6" x14ac:dyDescent="0.35">
      <c r="F6606"/>
    </row>
    <row r="6607" spans="6:6" x14ac:dyDescent="0.35">
      <c r="F6607"/>
    </row>
    <row r="6608" spans="6:6" x14ac:dyDescent="0.35">
      <c r="F6608"/>
    </row>
    <row r="6609" spans="6:6" x14ac:dyDescent="0.35">
      <c r="F6609"/>
    </row>
    <row r="6610" spans="6:6" x14ac:dyDescent="0.35">
      <c r="F6610"/>
    </row>
    <row r="6611" spans="6:6" x14ac:dyDescent="0.35">
      <c r="F6611"/>
    </row>
    <row r="6612" spans="6:6" x14ac:dyDescent="0.35">
      <c r="F6612"/>
    </row>
    <row r="6613" spans="6:6" x14ac:dyDescent="0.35">
      <c r="F6613"/>
    </row>
    <row r="6614" spans="6:6" x14ac:dyDescent="0.35">
      <c r="F6614"/>
    </row>
    <row r="6615" spans="6:6" x14ac:dyDescent="0.35">
      <c r="F6615"/>
    </row>
    <row r="6616" spans="6:6" x14ac:dyDescent="0.35">
      <c r="F6616"/>
    </row>
    <row r="6617" spans="6:6" x14ac:dyDescent="0.35">
      <c r="F6617"/>
    </row>
    <row r="6618" spans="6:6" x14ac:dyDescent="0.35">
      <c r="F6618"/>
    </row>
    <row r="6619" spans="6:6" x14ac:dyDescent="0.35">
      <c r="F6619"/>
    </row>
    <row r="6620" spans="6:6" x14ac:dyDescent="0.35">
      <c r="F6620"/>
    </row>
    <row r="6621" spans="6:6" x14ac:dyDescent="0.35">
      <c r="F6621"/>
    </row>
    <row r="6622" spans="6:6" x14ac:dyDescent="0.35">
      <c r="F6622"/>
    </row>
    <row r="6623" spans="6:6" x14ac:dyDescent="0.35">
      <c r="F6623"/>
    </row>
    <row r="6624" spans="6:6" x14ac:dyDescent="0.35">
      <c r="F6624"/>
    </row>
    <row r="6625" spans="6:6" x14ac:dyDescent="0.35">
      <c r="F6625"/>
    </row>
    <row r="6626" spans="6:6" x14ac:dyDescent="0.35">
      <c r="F6626"/>
    </row>
    <row r="6627" spans="6:6" x14ac:dyDescent="0.35">
      <c r="F6627"/>
    </row>
    <row r="6628" spans="6:6" x14ac:dyDescent="0.35">
      <c r="F6628"/>
    </row>
    <row r="6629" spans="6:6" x14ac:dyDescent="0.35">
      <c r="F6629"/>
    </row>
    <row r="6630" spans="6:6" x14ac:dyDescent="0.35">
      <c r="F6630"/>
    </row>
    <row r="6631" spans="6:6" x14ac:dyDescent="0.35">
      <c r="F6631"/>
    </row>
    <row r="6632" spans="6:6" x14ac:dyDescent="0.35">
      <c r="F6632"/>
    </row>
    <row r="6633" spans="6:6" x14ac:dyDescent="0.35">
      <c r="F6633"/>
    </row>
    <row r="6634" spans="6:6" x14ac:dyDescent="0.35">
      <c r="F6634"/>
    </row>
    <row r="6635" spans="6:6" x14ac:dyDescent="0.35">
      <c r="F6635"/>
    </row>
    <row r="6636" spans="6:6" x14ac:dyDescent="0.35">
      <c r="F6636"/>
    </row>
    <row r="6637" spans="6:6" x14ac:dyDescent="0.35">
      <c r="F6637"/>
    </row>
    <row r="6638" spans="6:6" x14ac:dyDescent="0.35">
      <c r="F6638"/>
    </row>
    <row r="6639" spans="6:6" x14ac:dyDescent="0.35">
      <c r="F6639"/>
    </row>
    <row r="6640" spans="6:6" x14ac:dyDescent="0.35">
      <c r="F6640"/>
    </row>
    <row r="6641" spans="6:6" x14ac:dyDescent="0.35">
      <c r="F6641"/>
    </row>
    <row r="6642" spans="6:6" x14ac:dyDescent="0.35">
      <c r="F6642"/>
    </row>
    <row r="6643" spans="6:6" x14ac:dyDescent="0.35">
      <c r="F6643"/>
    </row>
    <row r="6644" spans="6:6" x14ac:dyDescent="0.35">
      <c r="F6644"/>
    </row>
    <row r="6645" spans="6:6" x14ac:dyDescent="0.35">
      <c r="F6645"/>
    </row>
    <row r="6646" spans="6:6" x14ac:dyDescent="0.35">
      <c r="F6646"/>
    </row>
    <row r="6647" spans="6:6" x14ac:dyDescent="0.35">
      <c r="F6647"/>
    </row>
    <row r="6648" spans="6:6" x14ac:dyDescent="0.35">
      <c r="F6648"/>
    </row>
    <row r="6649" spans="6:6" x14ac:dyDescent="0.35">
      <c r="F6649"/>
    </row>
    <row r="6650" spans="6:6" x14ac:dyDescent="0.35">
      <c r="F6650"/>
    </row>
    <row r="6651" spans="6:6" x14ac:dyDescent="0.35">
      <c r="F6651"/>
    </row>
    <row r="6652" spans="6:6" x14ac:dyDescent="0.35">
      <c r="F6652"/>
    </row>
    <row r="6653" spans="6:6" x14ac:dyDescent="0.35">
      <c r="F6653"/>
    </row>
    <row r="6654" spans="6:6" x14ac:dyDescent="0.35">
      <c r="F6654"/>
    </row>
    <row r="6655" spans="6:6" x14ac:dyDescent="0.35">
      <c r="F6655"/>
    </row>
    <row r="6656" spans="6:6" x14ac:dyDescent="0.35">
      <c r="F6656"/>
    </row>
    <row r="6657" spans="6:6" x14ac:dyDescent="0.35">
      <c r="F6657"/>
    </row>
    <row r="6658" spans="6:6" x14ac:dyDescent="0.35">
      <c r="F6658"/>
    </row>
    <row r="6659" spans="6:6" x14ac:dyDescent="0.35">
      <c r="F6659"/>
    </row>
    <row r="6660" spans="6:6" x14ac:dyDescent="0.35">
      <c r="F6660"/>
    </row>
    <row r="6661" spans="6:6" x14ac:dyDescent="0.35">
      <c r="F6661"/>
    </row>
    <row r="6662" spans="6:6" x14ac:dyDescent="0.35">
      <c r="F6662"/>
    </row>
    <row r="6663" spans="6:6" x14ac:dyDescent="0.35">
      <c r="F6663"/>
    </row>
    <row r="6664" spans="6:6" x14ac:dyDescent="0.35">
      <c r="F6664"/>
    </row>
    <row r="6665" spans="6:6" x14ac:dyDescent="0.35">
      <c r="F6665"/>
    </row>
    <row r="6666" spans="6:6" x14ac:dyDescent="0.35">
      <c r="F6666"/>
    </row>
    <row r="6667" spans="6:6" x14ac:dyDescent="0.35">
      <c r="F6667"/>
    </row>
    <row r="6668" spans="6:6" x14ac:dyDescent="0.35">
      <c r="F6668"/>
    </row>
    <row r="6669" spans="6:6" x14ac:dyDescent="0.35">
      <c r="F6669"/>
    </row>
    <row r="6670" spans="6:6" x14ac:dyDescent="0.35">
      <c r="F6670"/>
    </row>
    <row r="6671" spans="6:6" x14ac:dyDescent="0.35">
      <c r="F6671"/>
    </row>
    <row r="6672" spans="6:6" x14ac:dyDescent="0.35">
      <c r="F6672"/>
    </row>
    <row r="6673" spans="6:6" x14ac:dyDescent="0.35">
      <c r="F6673"/>
    </row>
    <row r="6674" spans="6:6" x14ac:dyDescent="0.35">
      <c r="F6674"/>
    </row>
    <row r="6675" spans="6:6" x14ac:dyDescent="0.35">
      <c r="F6675"/>
    </row>
    <row r="6676" spans="6:6" x14ac:dyDescent="0.35">
      <c r="F6676"/>
    </row>
    <row r="6677" spans="6:6" x14ac:dyDescent="0.35">
      <c r="F6677"/>
    </row>
    <row r="6678" spans="6:6" x14ac:dyDescent="0.35">
      <c r="F6678"/>
    </row>
    <row r="6679" spans="6:6" x14ac:dyDescent="0.35">
      <c r="F6679"/>
    </row>
    <row r="6680" spans="6:6" x14ac:dyDescent="0.35">
      <c r="F6680"/>
    </row>
    <row r="6681" spans="6:6" x14ac:dyDescent="0.35">
      <c r="F6681"/>
    </row>
    <row r="6682" spans="6:6" x14ac:dyDescent="0.35">
      <c r="F6682"/>
    </row>
    <row r="6683" spans="6:6" x14ac:dyDescent="0.35">
      <c r="F6683"/>
    </row>
    <row r="6684" spans="6:6" x14ac:dyDescent="0.35">
      <c r="F6684"/>
    </row>
    <row r="6685" spans="6:6" x14ac:dyDescent="0.35">
      <c r="F6685"/>
    </row>
    <row r="6686" spans="6:6" x14ac:dyDescent="0.35">
      <c r="F6686"/>
    </row>
    <row r="6687" spans="6:6" x14ac:dyDescent="0.35">
      <c r="F6687"/>
    </row>
    <row r="6688" spans="6:6" x14ac:dyDescent="0.35">
      <c r="F6688"/>
    </row>
    <row r="6689" spans="6:6" x14ac:dyDescent="0.35">
      <c r="F6689"/>
    </row>
    <row r="6690" spans="6:6" x14ac:dyDescent="0.35">
      <c r="F6690"/>
    </row>
    <row r="6691" spans="6:6" x14ac:dyDescent="0.35">
      <c r="F6691"/>
    </row>
    <row r="6692" spans="6:6" x14ac:dyDescent="0.35">
      <c r="F6692"/>
    </row>
    <row r="6693" spans="6:6" x14ac:dyDescent="0.35">
      <c r="F6693"/>
    </row>
    <row r="6694" spans="6:6" x14ac:dyDescent="0.35">
      <c r="F6694"/>
    </row>
    <row r="6695" spans="6:6" x14ac:dyDescent="0.35">
      <c r="F6695"/>
    </row>
    <row r="6696" spans="6:6" x14ac:dyDescent="0.35">
      <c r="F6696"/>
    </row>
    <row r="6697" spans="6:6" x14ac:dyDescent="0.35">
      <c r="F6697"/>
    </row>
    <row r="6698" spans="6:6" x14ac:dyDescent="0.35">
      <c r="F6698"/>
    </row>
    <row r="6699" spans="6:6" x14ac:dyDescent="0.35">
      <c r="F6699"/>
    </row>
    <row r="6700" spans="6:6" x14ac:dyDescent="0.35">
      <c r="F6700"/>
    </row>
    <row r="6701" spans="6:6" x14ac:dyDescent="0.35">
      <c r="F6701"/>
    </row>
    <row r="6702" spans="6:6" x14ac:dyDescent="0.35">
      <c r="F6702"/>
    </row>
    <row r="6703" spans="6:6" x14ac:dyDescent="0.35">
      <c r="F6703"/>
    </row>
    <row r="6704" spans="6:6" x14ac:dyDescent="0.35">
      <c r="F6704"/>
    </row>
    <row r="6705" spans="6:6" x14ac:dyDescent="0.35">
      <c r="F6705"/>
    </row>
    <row r="6706" spans="6:6" x14ac:dyDescent="0.35">
      <c r="F6706"/>
    </row>
    <row r="6707" spans="6:6" x14ac:dyDescent="0.35">
      <c r="F6707"/>
    </row>
    <row r="6708" spans="6:6" x14ac:dyDescent="0.35">
      <c r="F6708"/>
    </row>
    <row r="6709" spans="6:6" x14ac:dyDescent="0.35">
      <c r="F6709"/>
    </row>
    <row r="6710" spans="6:6" x14ac:dyDescent="0.35">
      <c r="F6710"/>
    </row>
    <row r="6711" spans="6:6" x14ac:dyDescent="0.35">
      <c r="F6711"/>
    </row>
    <row r="6712" spans="6:6" x14ac:dyDescent="0.35">
      <c r="F6712"/>
    </row>
    <row r="6713" spans="6:6" x14ac:dyDescent="0.35">
      <c r="F6713"/>
    </row>
    <row r="6714" spans="6:6" x14ac:dyDescent="0.35">
      <c r="F6714"/>
    </row>
    <row r="6715" spans="6:6" x14ac:dyDescent="0.35">
      <c r="F6715"/>
    </row>
    <row r="6716" spans="6:6" x14ac:dyDescent="0.35">
      <c r="F6716"/>
    </row>
    <row r="6717" spans="6:6" x14ac:dyDescent="0.35">
      <c r="F6717"/>
    </row>
    <row r="6718" spans="6:6" x14ac:dyDescent="0.35">
      <c r="F6718"/>
    </row>
    <row r="6719" spans="6:6" x14ac:dyDescent="0.35">
      <c r="F6719"/>
    </row>
    <row r="6720" spans="6:6" x14ac:dyDescent="0.35">
      <c r="F6720"/>
    </row>
    <row r="6721" spans="6:6" x14ac:dyDescent="0.35">
      <c r="F6721"/>
    </row>
    <row r="6722" spans="6:6" x14ac:dyDescent="0.35">
      <c r="F6722"/>
    </row>
    <row r="6723" spans="6:6" x14ac:dyDescent="0.35">
      <c r="F6723"/>
    </row>
    <row r="6724" spans="6:6" x14ac:dyDescent="0.35">
      <c r="F6724"/>
    </row>
    <row r="6725" spans="6:6" x14ac:dyDescent="0.35">
      <c r="F6725"/>
    </row>
    <row r="6726" spans="6:6" x14ac:dyDescent="0.35">
      <c r="F6726"/>
    </row>
    <row r="6727" spans="6:6" x14ac:dyDescent="0.35">
      <c r="F6727"/>
    </row>
    <row r="6728" spans="6:6" x14ac:dyDescent="0.35">
      <c r="F6728"/>
    </row>
    <row r="6729" spans="6:6" x14ac:dyDescent="0.35">
      <c r="F6729"/>
    </row>
    <row r="6730" spans="6:6" x14ac:dyDescent="0.35">
      <c r="F6730"/>
    </row>
    <row r="6731" spans="6:6" x14ac:dyDescent="0.35">
      <c r="F6731"/>
    </row>
    <row r="6732" spans="6:6" x14ac:dyDescent="0.35">
      <c r="F6732"/>
    </row>
    <row r="6733" spans="6:6" x14ac:dyDescent="0.35">
      <c r="F6733"/>
    </row>
    <row r="6734" spans="6:6" x14ac:dyDescent="0.35">
      <c r="F6734"/>
    </row>
    <row r="6735" spans="6:6" x14ac:dyDescent="0.35">
      <c r="F6735"/>
    </row>
    <row r="6736" spans="6:6" x14ac:dyDescent="0.35">
      <c r="F6736"/>
    </row>
    <row r="6737" spans="6:6" x14ac:dyDescent="0.35">
      <c r="F6737"/>
    </row>
    <row r="6738" spans="6:6" x14ac:dyDescent="0.35">
      <c r="F6738"/>
    </row>
    <row r="6739" spans="6:6" x14ac:dyDescent="0.35">
      <c r="F6739"/>
    </row>
    <row r="6740" spans="6:6" x14ac:dyDescent="0.35">
      <c r="F6740"/>
    </row>
    <row r="6741" spans="6:6" x14ac:dyDescent="0.35">
      <c r="F6741"/>
    </row>
    <row r="6742" spans="6:6" x14ac:dyDescent="0.35">
      <c r="F6742"/>
    </row>
    <row r="6743" spans="6:6" x14ac:dyDescent="0.35">
      <c r="F6743"/>
    </row>
    <row r="6744" spans="6:6" x14ac:dyDescent="0.35">
      <c r="F6744"/>
    </row>
    <row r="6745" spans="6:6" x14ac:dyDescent="0.35">
      <c r="F6745"/>
    </row>
    <row r="6746" spans="6:6" x14ac:dyDescent="0.35">
      <c r="F6746"/>
    </row>
    <row r="6747" spans="6:6" x14ac:dyDescent="0.35">
      <c r="F6747"/>
    </row>
    <row r="6748" spans="6:6" x14ac:dyDescent="0.35">
      <c r="F6748"/>
    </row>
    <row r="6749" spans="6:6" x14ac:dyDescent="0.35">
      <c r="F6749"/>
    </row>
    <row r="6750" spans="6:6" x14ac:dyDescent="0.35">
      <c r="F6750"/>
    </row>
    <row r="6751" spans="6:6" x14ac:dyDescent="0.35">
      <c r="F6751"/>
    </row>
    <row r="6752" spans="6:6" x14ac:dyDescent="0.35">
      <c r="F6752"/>
    </row>
    <row r="6753" spans="6:6" x14ac:dyDescent="0.35">
      <c r="F6753"/>
    </row>
    <row r="6754" spans="6:6" x14ac:dyDescent="0.35">
      <c r="F6754"/>
    </row>
    <row r="6755" spans="6:6" x14ac:dyDescent="0.35">
      <c r="F6755"/>
    </row>
    <row r="6756" spans="6:6" x14ac:dyDescent="0.35">
      <c r="F6756"/>
    </row>
    <row r="6757" spans="6:6" x14ac:dyDescent="0.35">
      <c r="F6757"/>
    </row>
    <row r="6758" spans="6:6" x14ac:dyDescent="0.35">
      <c r="F6758"/>
    </row>
    <row r="6759" spans="6:6" x14ac:dyDescent="0.35">
      <c r="F6759"/>
    </row>
    <row r="6760" spans="6:6" x14ac:dyDescent="0.35">
      <c r="F6760"/>
    </row>
    <row r="6761" spans="6:6" x14ac:dyDescent="0.35">
      <c r="F6761"/>
    </row>
    <row r="6762" spans="6:6" x14ac:dyDescent="0.35">
      <c r="F6762"/>
    </row>
    <row r="6763" spans="6:6" x14ac:dyDescent="0.35">
      <c r="F6763"/>
    </row>
    <row r="6764" spans="6:6" x14ac:dyDescent="0.35">
      <c r="F6764"/>
    </row>
    <row r="6765" spans="6:6" x14ac:dyDescent="0.35">
      <c r="F6765"/>
    </row>
    <row r="6766" spans="6:6" x14ac:dyDescent="0.35">
      <c r="F6766"/>
    </row>
    <row r="6767" spans="6:6" x14ac:dyDescent="0.35">
      <c r="F6767"/>
    </row>
    <row r="6768" spans="6:6" x14ac:dyDescent="0.35">
      <c r="F6768"/>
    </row>
    <row r="6769" spans="6:6" x14ac:dyDescent="0.35">
      <c r="F6769"/>
    </row>
    <row r="6770" spans="6:6" x14ac:dyDescent="0.35">
      <c r="F6770"/>
    </row>
    <row r="6771" spans="6:6" x14ac:dyDescent="0.35">
      <c r="F6771"/>
    </row>
    <row r="6772" spans="6:6" x14ac:dyDescent="0.35">
      <c r="F6772"/>
    </row>
    <row r="6773" spans="6:6" x14ac:dyDescent="0.35">
      <c r="F6773"/>
    </row>
    <row r="6774" spans="6:6" x14ac:dyDescent="0.35">
      <c r="F6774"/>
    </row>
    <row r="6775" spans="6:6" x14ac:dyDescent="0.35">
      <c r="F6775"/>
    </row>
    <row r="6776" spans="6:6" x14ac:dyDescent="0.35">
      <c r="F6776"/>
    </row>
    <row r="6777" spans="6:6" x14ac:dyDescent="0.35">
      <c r="F6777"/>
    </row>
    <row r="6778" spans="6:6" x14ac:dyDescent="0.35">
      <c r="F6778"/>
    </row>
    <row r="6779" spans="6:6" x14ac:dyDescent="0.35">
      <c r="F6779"/>
    </row>
    <row r="6780" spans="6:6" x14ac:dyDescent="0.35">
      <c r="F6780"/>
    </row>
    <row r="6781" spans="6:6" x14ac:dyDescent="0.35">
      <c r="F6781"/>
    </row>
    <row r="6782" spans="6:6" x14ac:dyDescent="0.35">
      <c r="F6782"/>
    </row>
    <row r="6783" spans="6:6" x14ac:dyDescent="0.35">
      <c r="F6783"/>
    </row>
    <row r="6784" spans="6:6" x14ac:dyDescent="0.35">
      <c r="F6784"/>
    </row>
    <row r="6785" spans="6:6" x14ac:dyDescent="0.35">
      <c r="F6785"/>
    </row>
    <row r="6786" spans="6:6" x14ac:dyDescent="0.35">
      <c r="F6786"/>
    </row>
    <row r="6787" spans="6:6" x14ac:dyDescent="0.35">
      <c r="F6787"/>
    </row>
    <row r="6788" spans="6:6" x14ac:dyDescent="0.35">
      <c r="F6788"/>
    </row>
    <row r="6789" spans="6:6" x14ac:dyDescent="0.35">
      <c r="F6789"/>
    </row>
    <row r="6790" spans="6:6" x14ac:dyDescent="0.35">
      <c r="F6790"/>
    </row>
    <row r="6791" spans="6:6" x14ac:dyDescent="0.35">
      <c r="F6791"/>
    </row>
    <row r="6792" spans="6:6" x14ac:dyDescent="0.35">
      <c r="F6792"/>
    </row>
    <row r="6793" spans="6:6" x14ac:dyDescent="0.35">
      <c r="F6793"/>
    </row>
    <row r="6794" spans="6:6" x14ac:dyDescent="0.35">
      <c r="F6794"/>
    </row>
    <row r="6795" spans="6:6" x14ac:dyDescent="0.35">
      <c r="F6795"/>
    </row>
    <row r="6796" spans="6:6" x14ac:dyDescent="0.35">
      <c r="F6796"/>
    </row>
    <row r="6797" spans="6:6" x14ac:dyDescent="0.35">
      <c r="F6797"/>
    </row>
    <row r="6798" spans="6:6" x14ac:dyDescent="0.35">
      <c r="F6798"/>
    </row>
    <row r="6799" spans="6:6" x14ac:dyDescent="0.35">
      <c r="F6799"/>
    </row>
    <row r="6800" spans="6:6" x14ac:dyDescent="0.35">
      <c r="F6800"/>
    </row>
    <row r="6801" spans="6:6" x14ac:dyDescent="0.35">
      <c r="F6801"/>
    </row>
    <row r="6802" spans="6:6" x14ac:dyDescent="0.35">
      <c r="F6802"/>
    </row>
    <row r="6803" spans="6:6" x14ac:dyDescent="0.35">
      <c r="F6803"/>
    </row>
    <row r="6804" spans="6:6" x14ac:dyDescent="0.35">
      <c r="F6804"/>
    </row>
    <row r="6805" spans="6:6" x14ac:dyDescent="0.35">
      <c r="F6805"/>
    </row>
    <row r="6806" spans="6:6" x14ac:dyDescent="0.35">
      <c r="F6806"/>
    </row>
    <row r="6807" spans="6:6" x14ac:dyDescent="0.35">
      <c r="F6807"/>
    </row>
    <row r="6808" spans="6:6" x14ac:dyDescent="0.35">
      <c r="F6808"/>
    </row>
    <row r="6809" spans="6:6" x14ac:dyDescent="0.35">
      <c r="F6809"/>
    </row>
    <row r="6810" spans="6:6" x14ac:dyDescent="0.35">
      <c r="F6810"/>
    </row>
    <row r="6811" spans="6:6" x14ac:dyDescent="0.35">
      <c r="F6811"/>
    </row>
    <row r="6812" spans="6:6" x14ac:dyDescent="0.35">
      <c r="F6812"/>
    </row>
    <row r="6813" spans="6:6" x14ac:dyDescent="0.35">
      <c r="F6813"/>
    </row>
    <row r="6814" spans="6:6" x14ac:dyDescent="0.35">
      <c r="F6814"/>
    </row>
    <row r="6815" spans="6:6" x14ac:dyDescent="0.35">
      <c r="F6815"/>
    </row>
    <row r="6816" spans="6:6" x14ac:dyDescent="0.35">
      <c r="F6816"/>
    </row>
    <row r="6817" spans="6:6" x14ac:dyDescent="0.35">
      <c r="F6817"/>
    </row>
    <row r="6818" spans="6:6" x14ac:dyDescent="0.35">
      <c r="F6818"/>
    </row>
    <row r="6819" spans="6:6" x14ac:dyDescent="0.35">
      <c r="F6819"/>
    </row>
    <row r="6820" spans="6:6" x14ac:dyDescent="0.35">
      <c r="F6820"/>
    </row>
    <row r="6821" spans="6:6" x14ac:dyDescent="0.35">
      <c r="F6821"/>
    </row>
    <row r="6822" spans="6:6" x14ac:dyDescent="0.35">
      <c r="F6822"/>
    </row>
    <row r="6823" spans="6:6" x14ac:dyDescent="0.35">
      <c r="F6823"/>
    </row>
    <row r="6824" spans="6:6" x14ac:dyDescent="0.35">
      <c r="F6824"/>
    </row>
    <row r="6825" spans="6:6" x14ac:dyDescent="0.35">
      <c r="F6825"/>
    </row>
    <row r="6826" spans="6:6" x14ac:dyDescent="0.35">
      <c r="F6826"/>
    </row>
    <row r="6827" spans="6:6" x14ac:dyDescent="0.35">
      <c r="F6827"/>
    </row>
    <row r="6828" spans="6:6" x14ac:dyDescent="0.35">
      <c r="F6828"/>
    </row>
    <row r="6829" spans="6:6" x14ac:dyDescent="0.35">
      <c r="F6829"/>
    </row>
    <row r="6830" spans="6:6" x14ac:dyDescent="0.35">
      <c r="F6830"/>
    </row>
    <row r="6831" spans="6:6" x14ac:dyDescent="0.35">
      <c r="F6831"/>
    </row>
    <row r="6832" spans="6:6" x14ac:dyDescent="0.35">
      <c r="F6832"/>
    </row>
    <row r="6833" spans="6:6" x14ac:dyDescent="0.35">
      <c r="F6833"/>
    </row>
    <row r="6834" spans="6:6" x14ac:dyDescent="0.35">
      <c r="F6834"/>
    </row>
    <row r="6835" spans="6:6" x14ac:dyDescent="0.35">
      <c r="F6835"/>
    </row>
    <row r="6836" spans="6:6" x14ac:dyDescent="0.35">
      <c r="F6836"/>
    </row>
    <row r="6837" spans="6:6" x14ac:dyDescent="0.35">
      <c r="F6837"/>
    </row>
    <row r="6838" spans="6:6" x14ac:dyDescent="0.35">
      <c r="F6838"/>
    </row>
    <row r="6839" spans="6:6" x14ac:dyDescent="0.35">
      <c r="F6839"/>
    </row>
    <row r="6840" spans="6:6" x14ac:dyDescent="0.35">
      <c r="F6840"/>
    </row>
    <row r="6841" spans="6:6" x14ac:dyDescent="0.35">
      <c r="F6841"/>
    </row>
    <row r="6842" spans="6:6" x14ac:dyDescent="0.35">
      <c r="F6842"/>
    </row>
    <row r="6843" spans="6:6" x14ac:dyDescent="0.35">
      <c r="F6843"/>
    </row>
    <row r="6844" spans="6:6" x14ac:dyDescent="0.35">
      <c r="F6844"/>
    </row>
    <row r="6845" spans="6:6" x14ac:dyDescent="0.35">
      <c r="F6845"/>
    </row>
    <row r="6846" spans="6:6" x14ac:dyDescent="0.35">
      <c r="F6846"/>
    </row>
    <row r="6847" spans="6:6" x14ac:dyDescent="0.35">
      <c r="F6847"/>
    </row>
    <row r="6848" spans="6:6" x14ac:dyDescent="0.35">
      <c r="F6848"/>
    </row>
    <row r="6849" spans="6:6" x14ac:dyDescent="0.35">
      <c r="F6849"/>
    </row>
    <row r="6850" spans="6:6" x14ac:dyDescent="0.35">
      <c r="F6850"/>
    </row>
    <row r="6851" spans="6:6" x14ac:dyDescent="0.35">
      <c r="F6851"/>
    </row>
    <row r="6852" spans="6:6" x14ac:dyDescent="0.35">
      <c r="F6852"/>
    </row>
    <row r="6853" spans="6:6" x14ac:dyDescent="0.35">
      <c r="F6853"/>
    </row>
    <row r="6854" spans="6:6" x14ac:dyDescent="0.35">
      <c r="F6854"/>
    </row>
    <row r="6855" spans="6:6" x14ac:dyDescent="0.35">
      <c r="F6855"/>
    </row>
    <row r="6856" spans="6:6" x14ac:dyDescent="0.35">
      <c r="F6856"/>
    </row>
    <row r="6857" spans="6:6" x14ac:dyDescent="0.35">
      <c r="F6857"/>
    </row>
    <row r="6858" spans="6:6" x14ac:dyDescent="0.35">
      <c r="F6858"/>
    </row>
    <row r="6859" spans="6:6" x14ac:dyDescent="0.35">
      <c r="F6859"/>
    </row>
    <row r="6860" spans="6:6" x14ac:dyDescent="0.35">
      <c r="F6860"/>
    </row>
    <row r="6861" spans="6:6" x14ac:dyDescent="0.35">
      <c r="F6861"/>
    </row>
    <row r="6862" spans="6:6" x14ac:dyDescent="0.35">
      <c r="F6862"/>
    </row>
    <row r="6863" spans="6:6" x14ac:dyDescent="0.35">
      <c r="F6863"/>
    </row>
    <row r="6864" spans="6:6" x14ac:dyDescent="0.35">
      <c r="F6864"/>
    </row>
    <row r="6865" spans="6:6" x14ac:dyDescent="0.35">
      <c r="F6865"/>
    </row>
    <row r="6866" spans="6:6" x14ac:dyDescent="0.35">
      <c r="F6866"/>
    </row>
    <row r="6867" spans="6:6" x14ac:dyDescent="0.35">
      <c r="F6867"/>
    </row>
    <row r="6868" spans="6:6" x14ac:dyDescent="0.35">
      <c r="F6868"/>
    </row>
    <row r="6869" spans="6:6" x14ac:dyDescent="0.35">
      <c r="F6869"/>
    </row>
    <row r="6870" spans="6:6" x14ac:dyDescent="0.35">
      <c r="F6870"/>
    </row>
    <row r="6871" spans="6:6" x14ac:dyDescent="0.35">
      <c r="F6871"/>
    </row>
    <row r="6872" spans="6:6" x14ac:dyDescent="0.35">
      <c r="F6872"/>
    </row>
    <row r="6873" spans="6:6" x14ac:dyDescent="0.35">
      <c r="F6873"/>
    </row>
    <row r="6874" spans="6:6" x14ac:dyDescent="0.35">
      <c r="F6874"/>
    </row>
    <row r="6875" spans="6:6" x14ac:dyDescent="0.35">
      <c r="F6875"/>
    </row>
    <row r="6876" spans="6:6" x14ac:dyDescent="0.35">
      <c r="F6876"/>
    </row>
    <row r="6877" spans="6:6" x14ac:dyDescent="0.35">
      <c r="F6877"/>
    </row>
    <row r="6878" spans="6:6" x14ac:dyDescent="0.35">
      <c r="F6878"/>
    </row>
    <row r="6879" spans="6:6" x14ac:dyDescent="0.35">
      <c r="F6879"/>
    </row>
    <row r="6880" spans="6:6" x14ac:dyDescent="0.35">
      <c r="F6880"/>
    </row>
    <row r="6881" spans="6:6" x14ac:dyDescent="0.35">
      <c r="F6881"/>
    </row>
    <row r="6882" spans="6:6" x14ac:dyDescent="0.35">
      <c r="F6882"/>
    </row>
    <row r="6883" spans="6:6" x14ac:dyDescent="0.35">
      <c r="F6883"/>
    </row>
    <row r="6884" spans="6:6" x14ac:dyDescent="0.35">
      <c r="F6884"/>
    </row>
    <row r="6885" spans="6:6" x14ac:dyDescent="0.35">
      <c r="F6885"/>
    </row>
    <row r="6886" spans="6:6" x14ac:dyDescent="0.35">
      <c r="F6886"/>
    </row>
    <row r="6887" spans="6:6" x14ac:dyDescent="0.35">
      <c r="F6887"/>
    </row>
    <row r="6888" spans="6:6" x14ac:dyDescent="0.35">
      <c r="F6888"/>
    </row>
    <row r="6889" spans="6:6" x14ac:dyDescent="0.35">
      <c r="F6889"/>
    </row>
    <row r="6890" spans="6:6" x14ac:dyDescent="0.35">
      <c r="F6890"/>
    </row>
    <row r="6891" spans="6:6" x14ac:dyDescent="0.35">
      <c r="F6891"/>
    </row>
    <row r="6892" spans="6:6" x14ac:dyDescent="0.35">
      <c r="F6892"/>
    </row>
    <row r="6893" spans="6:6" x14ac:dyDescent="0.35">
      <c r="F6893"/>
    </row>
    <row r="6894" spans="6:6" x14ac:dyDescent="0.35">
      <c r="F6894"/>
    </row>
    <row r="6895" spans="6:6" x14ac:dyDescent="0.35">
      <c r="F6895"/>
    </row>
    <row r="6896" spans="6:6" x14ac:dyDescent="0.35">
      <c r="F6896"/>
    </row>
    <row r="6897" spans="6:6" x14ac:dyDescent="0.35">
      <c r="F6897"/>
    </row>
    <row r="6898" spans="6:6" x14ac:dyDescent="0.35">
      <c r="F6898"/>
    </row>
    <row r="6899" spans="6:6" x14ac:dyDescent="0.35">
      <c r="F6899"/>
    </row>
    <row r="6900" spans="6:6" x14ac:dyDescent="0.35">
      <c r="F6900"/>
    </row>
    <row r="6901" spans="6:6" x14ac:dyDescent="0.35">
      <c r="F6901"/>
    </row>
    <row r="6902" spans="6:6" x14ac:dyDescent="0.35">
      <c r="F6902"/>
    </row>
    <row r="6903" spans="6:6" x14ac:dyDescent="0.35">
      <c r="F6903"/>
    </row>
    <row r="6904" spans="6:6" x14ac:dyDescent="0.35">
      <c r="F6904"/>
    </row>
    <row r="6905" spans="6:6" x14ac:dyDescent="0.35">
      <c r="F6905"/>
    </row>
    <row r="6906" spans="6:6" x14ac:dyDescent="0.35">
      <c r="F6906"/>
    </row>
    <row r="6907" spans="6:6" x14ac:dyDescent="0.35">
      <c r="F6907"/>
    </row>
    <row r="6908" spans="6:6" x14ac:dyDescent="0.35">
      <c r="F6908"/>
    </row>
    <row r="6909" spans="6:6" x14ac:dyDescent="0.35">
      <c r="F6909"/>
    </row>
    <row r="6910" spans="6:6" x14ac:dyDescent="0.35">
      <c r="F6910"/>
    </row>
    <row r="6911" spans="6:6" x14ac:dyDescent="0.35">
      <c r="F6911"/>
    </row>
    <row r="6912" spans="6:6" x14ac:dyDescent="0.35">
      <c r="F6912"/>
    </row>
    <row r="6913" spans="6:6" x14ac:dyDescent="0.35">
      <c r="F6913"/>
    </row>
    <row r="6914" spans="6:6" x14ac:dyDescent="0.35">
      <c r="F6914"/>
    </row>
    <row r="6915" spans="6:6" x14ac:dyDescent="0.35">
      <c r="F6915"/>
    </row>
    <row r="6916" spans="6:6" x14ac:dyDescent="0.35">
      <c r="F6916"/>
    </row>
    <row r="6917" spans="6:6" x14ac:dyDescent="0.35">
      <c r="F6917"/>
    </row>
    <row r="6918" spans="6:6" x14ac:dyDescent="0.35">
      <c r="F6918"/>
    </row>
    <row r="6919" spans="6:6" x14ac:dyDescent="0.35">
      <c r="F6919"/>
    </row>
    <row r="6920" spans="6:6" x14ac:dyDescent="0.35">
      <c r="F6920"/>
    </row>
    <row r="6921" spans="6:6" x14ac:dyDescent="0.35">
      <c r="F6921"/>
    </row>
    <row r="6922" spans="6:6" x14ac:dyDescent="0.35">
      <c r="F6922"/>
    </row>
    <row r="6923" spans="6:6" x14ac:dyDescent="0.35">
      <c r="F6923"/>
    </row>
    <row r="6924" spans="6:6" x14ac:dyDescent="0.35">
      <c r="F6924"/>
    </row>
    <row r="6925" spans="6:6" x14ac:dyDescent="0.35">
      <c r="F6925"/>
    </row>
    <row r="6926" spans="6:6" x14ac:dyDescent="0.35">
      <c r="F6926"/>
    </row>
    <row r="6927" spans="6:6" x14ac:dyDescent="0.35">
      <c r="F6927"/>
    </row>
    <row r="6928" spans="6:6" x14ac:dyDescent="0.35">
      <c r="F6928"/>
    </row>
    <row r="6929" spans="6:6" x14ac:dyDescent="0.35">
      <c r="F6929"/>
    </row>
    <row r="6930" spans="6:6" x14ac:dyDescent="0.35">
      <c r="F6930"/>
    </row>
    <row r="6931" spans="6:6" x14ac:dyDescent="0.35">
      <c r="F6931"/>
    </row>
    <row r="6932" spans="6:6" x14ac:dyDescent="0.35">
      <c r="F6932"/>
    </row>
    <row r="6933" spans="6:6" x14ac:dyDescent="0.35">
      <c r="F6933"/>
    </row>
    <row r="6934" spans="6:6" x14ac:dyDescent="0.35">
      <c r="F6934"/>
    </row>
    <row r="6935" spans="6:6" x14ac:dyDescent="0.35">
      <c r="F6935"/>
    </row>
    <row r="6936" spans="6:6" x14ac:dyDescent="0.35">
      <c r="F6936"/>
    </row>
    <row r="6937" spans="6:6" x14ac:dyDescent="0.35">
      <c r="F6937"/>
    </row>
    <row r="6938" spans="6:6" x14ac:dyDescent="0.35">
      <c r="F6938"/>
    </row>
    <row r="6939" spans="6:6" x14ac:dyDescent="0.35">
      <c r="F6939"/>
    </row>
    <row r="6940" spans="6:6" x14ac:dyDescent="0.35">
      <c r="F6940"/>
    </row>
    <row r="6941" spans="6:6" x14ac:dyDescent="0.35">
      <c r="F6941"/>
    </row>
    <row r="6942" spans="6:6" x14ac:dyDescent="0.35">
      <c r="F6942"/>
    </row>
    <row r="6943" spans="6:6" x14ac:dyDescent="0.35">
      <c r="F6943"/>
    </row>
    <row r="6944" spans="6:6" x14ac:dyDescent="0.35">
      <c r="F6944"/>
    </row>
    <row r="6945" spans="6:6" x14ac:dyDescent="0.35">
      <c r="F6945"/>
    </row>
    <row r="6946" spans="6:6" x14ac:dyDescent="0.35">
      <c r="F6946"/>
    </row>
    <row r="6947" spans="6:6" x14ac:dyDescent="0.35">
      <c r="F6947"/>
    </row>
    <row r="6948" spans="6:6" x14ac:dyDescent="0.35">
      <c r="F6948"/>
    </row>
    <row r="6949" spans="6:6" x14ac:dyDescent="0.35">
      <c r="F6949"/>
    </row>
    <row r="6950" spans="6:6" x14ac:dyDescent="0.35">
      <c r="F6950"/>
    </row>
    <row r="6951" spans="6:6" x14ac:dyDescent="0.35">
      <c r="F6951"/>
    </row>
    <row r="6952" spans="6:6" x14ac:dyDescent="0.35">
      <c r="F6952"/>
    </row>
    <row r="6953" spans="6:6" x14ac:dyDescent="0.35">
      <c r="F6953"/>
    </row>
    <row r="6954" spans="6:6" x14ac:dyDescent="0.35">
      <c r="F6954"/>
    </row>
    <row r="6955" spans="6:6" x14ac:dyDescent="0.35">
      <c r="F6955"/>
    </row>
    <row r="6956" spans="6:6" x14ac:dyDescent="0.35">
      <c r="F6956"/>
    </row>
    <row r="6957" spans="6:6" x14ac:dyDescent="0.35">
      <c r="F6957"/>
    </row>
    <row r="6958" spans="6:6" x14ac:dyDescent="0.35">
      <c r="F6958"/>
    </row>
    <row r="6959" spans="6:6" x14ac:dyDescent="0.35">
      <c r="F6959"/>
    </row>
    <row r="6960" spans="6:6" x14ac:dyDescent="0.35">
      <c r="F6960"/>
    </row>
    <row r="6961" spans="6:6" x14ac:dyDescent="0.35">
      <c r="F6961"/>
    </row>
    <row r="6962" spans="6:6" x14ac:dyDescent="0.35">
      <c r="F6962"/>
    </row>
    <row r="6963" spans="6:6" x14ac:dyDescent="0.35">
      <c r="F6963"/>
    </row>
    <row r="6964" spans="6:6" x14ac:dyDescent="0.35">
      <c r="F6964"/>
    </row>
    <row r="6965" spans="6:6" x14ac:dyDescent="0.35">
      <c r="F6965"/>
    </row>
    <row r="6966" spans="6:6" x14ac:dyDescent="0.35">
      <c r="F6966"/>
    </row>
    <row r="6967" spans="6:6" x14ac:dyDescent="0.35">
      <c r="F6967"/>
    </row>
    <row r="6968" spans="6:6" x14ac:dyDescent="0.35">
      <c r="F6968"/>
    </row>
    <row r="6969" spans="6:6" x14ac:dyDescent="0.35">
      <c r="F6969"/>
    </row>
    <row r="6970" spans="6:6" x14ac:dyDescent="0.35">
      <c r="F6970"/>
    </row>
    <row r="6971" spans="6:6" x14ac:dyDescent="0.35">
      <c r="F6971"/>
    </row>
    <row r="6972" spans="6:6" x14ac:dyDescent="0.35">
      <c r="F6972"/>
    </row>
    <row r="6973" spans="6:6" x14ac:dyDescent="0.35">
      <c r="F6973"/>
    </row>
    <row r="6974" spans="6:6" x14ac:dyDescent="0.35">
      <c r="F6974"/>
    </row>
    <row r="6975" spans="6:6" x14ac:dyDescent="0.35">
      <c r="F6975"/>
    </row>
    <row r="6976" spans="6:6" x14ac:dyDescent="0.35">
      <c r="F6976"/>
    </row>
    <row r="6977" spans="6:6" x14ac:dyDescent="0.35">
      <c r="F6977"/>
    </row>
    <row r="6978" spans="6:6" x14ac:dyDescent="0.35">
      <c r="F6978"/>
    </row>
    <row r="6979" spans="6:6" x14ac:dyDescent="0.35">
      <c r="F6979"/>
    </row>
    <row r="6980" spans="6:6" x14ac:dyDescent="0.35">
      <c r="F6980"/>
    </row>
    <row r="6981" spans="6:6" x14ac:dyDescent="0.35">
      <c r="F6981"/>
    </row>
    <row r="6982" spans="6:6" x14ac:dyDescent="0.35">
      <c r="F6982"/>
    </row>
    <row r="6983" spans="6:6" x14ac:dyDescent="0.35">
      <c r="F6983"/>
    </row>
    <row r="6984" spans="6:6" x14ac:dyDescent="0.35">
      <c r="F6984"/>
    </row>
    <row r="6985" spans="6:6" x14ac:dyDescent="0.35">
      <c r="F6985"/>
    </row>
    <row r="6986" spans="6:6" x14ac:dyDescent="0.35">
      <c r="F6986"/>
    </row>
    <row r="6987" spans="6:6" x14ac:dyDescent="0.35">
      <c r="F6987"/>
    </row>
    <row r="6988" spans="6:6" x14ac:dyDescent="0.35">
      <c r="F6988"/>
    </row>
    <row r="6989" spans="6:6" x14ac:dyDescent="0.35">
      <c r="F6989"/>
    </row>
    <row r="6990" spans="6:6" x14ac:dyDescent="0.35">
      <c r="F6990"/>
    </row>
    <row r="6991" spans="6:6" x14ac:dyDescent="0.35">
      <c r="F6991"/>
    </row>
    <row r="6992" spans="6:6" x14ac:dyDescent="0.35">
      <c r="F6992"/>
    </row>
    <row r="6993" spans="6:6" x14ac:dyDescent="0.35">
      <c r="F6993"/>
    </row>
    <row r="6994" spans="6:6" x14ac:dyDescent="0.35">
      <c r="F6994"/>
    </row>
    <row r="6995" spans="6:6" x14ac:dyDescent="0.35">
      <c r="F6995"/>
    </row>
    <row r="6996" spans="6:6" x14ac:dyDescent="0.35">
      <c r="F6996"/>
    </row>
    <row r="6997" spans="6:6" x14ac:dyDescent="0.35">
      <c r="F6997"/>
    </row>
    <row r="6998" spans="6:6" x14ac:dyDescent="0.35">
      <c r="F6998"/>
    </row>
    <row r="6999" spans="6:6" x14ac:dyDescent="0.35">
      <c r="F6999"/>
    </row>
    <row r="7000" spans="6:6" x14ac:dyDescent="0.35">
      <c r="F7000"/>
    </row>
    <row r="7001" spans="6:6" x14ac:dyDescent="0.35">
      <c r="F7001"/>
    </row>
    <row r="7002" spans="6:6" x14ac:dyDescent="0.35">
      <c r="F7002"/>
    </row>
    <row r="7003" spans="6:6" x14ac:dyDescent="0.35">
      <c r="F7003"/>
    </row>
    <row r="7004" spans="6:6" x14ac:dyDescent="0.35">
      <c r="F7004"/>
    </row>
    <row r="7005" spans="6:6" x14ac:dyDescent="0.35">
      <c r="F7005"/>
    </row>
    <row r="7006" spans="6:6" x14ac:dyDescent="0.35">
      <c r="F7006"/>
    </row>
    <row r="7007" spans="6:6" x14ac:dyDescent="0.35">
      <c r="F7007"/>
    </row>
    <row r="7008" spans="6:6" x14ac:dyDescent="0.35">
      <c r="F7008"/>
    </row>
    <row r="7009" spans="6:6" x14ac:dyDescent="0.35">
      <c r="F7009"/>
    </row>
    <row r="7010" spans="6:6" x14ac:dyDescent="0.35">
      <c r="F7010"/>
    </row>
    <row r="7011" spans="6:6" x14ac:dyDescent="0.35">
      <c r="F7011"/>
    </row>
    <row r="7012" spans="6:6" x14ac:dyDescent="0.35">
      <c r="F7012"/>
    </row>
    <row r="7013" spans="6:6" x14ac:dyDescent="0.35">
      <c r="F7013"/>
    </row>
    <row r="7014" spans="6:6" x14ac:dyDescent="0.35">
      <c r="F7014"/>
    </row>
    <row r="7015" spans="6:6" x14ac:dyDescent="0.35">
      <c r="F7015"/>
    </row>
    <row r="7016" spans="6:6" x14ac:dyDescent="0.35">
      <c r="F7016"/>
    </row>
    <row r="7017" spans="6:6" x14ac:dyDescent="0.35">
      <c r="F7017"/>
    </row>
    <row r="7018" spans="6:6" x14ac:dyDescent="0.35">
      <c r="F7018"/>
    </row>
    <row r="7019" spans="6:6" x14ac:dyDescent="0.35">
      <c r="F7019"/>
    </row>
    <row r="7020" spans="6:6" x14ac:dyDescent="0.35">
      <c r="F7020"/>
    </row>
    <row r="7021" spans="6:6" x14ac:dyDescent="0.35">
      <c r="F7021"/>
    </row>
    <row r="7022" spans="6:6" x14ac:dyDescent="0.35">
      <c r="F7022"/>
    </row>
    <row r="7023" spans="6:6" x14ac:dyDescent="0.35">
      <c r="F7023"/>
    </row>
    <row r="7024" spans="6:6" x14ac:dyDescent="0.35">
      <c r="F7024"/>
    </row>
    <row r="7025" spans="6:6" x14ac:dyDescent="0.35">
      <c r="F7025"/>
    </row>
    <row r="7026" spans="6:6" x14ac:dyDescent="0.35">
      <c r="F7026"/>
    </row>
    <row r="7027" spans="6:6" x14ac:dyDescent="0.35">
      <c r="F7027"/>
    </row>
    <row r="7028" spans="6:6" x14ac:dyDescent="0.35">
      <c r="F7028"/>
    </row>
    <row r="7029" spans="6:6" x14ac:dyDescent="0.35">
      <c r="F7029"/>
    </row>
    <row r="7030" spans="6:6" x14ac:dyDescent="0.35">
      <c r="F7030"/>
    </row>
    <row r="7031" spans="6:6" x14ac:dyDescent="0.35">
      <c r="F7031"/>
    </row>
    <row r="7032" spans="6:6" x14ac:dyDescent="0.35">
      <c r="F7032"/>
    </row>
    <row r="7033" spans="6:6" x14ac:dyDescent="0.35">
      <c r="F7033"/>
    </row>
    <row r="7034" spans="6:6" x14ac:dyDescent="0.35">
      <c r="F7034"/>
    </row>
    <row r="7035" spans="6:6" x14ac:dyDescent="0.35">
      <c r="F7035"/>
    </row>
    <row r="7036" spans="6:6" x14ac:dyDescent="0.35">
      <c r="F7036"/>
    </row>
    <row r="7037" spans="6:6" x14ac:dyDescent="0.35">
      <c r="F7037"/>
    </row>
    <row r="7038" spans="6:6" x14ac:dyDescent="0.35">
      <c r="F7038"/>
    </row>
    <row r="7039" spans="6:6" x14ac:dyDescent="0.35">
      <c r="F7039"/>
    </row>
    <row r="7040" spans="6:6" x14ac:dyDescent="0.35">
      <c r="F7040"/>
    </row>
    <row r="7041" spans="6:6" x14ac:dyDescent="0.35">
      <c r="F7041"/>
    </row>
    <row r="7042" spans="6:6" x14ac:dyDescent="0.35">
      <c r="F7042"/>
    </row>
    <row r="7043" spans="6:6" x14ac:dyDescent="0.35">
      <c r="F7043"/>
    </row>
    <row r="7044" spans="6:6" x14ac:dyDescent="0.35">
      <c r="F7044"/>
    </row>
    <row r="7045" spans="6:6" x14ac:dyDescent="0.35">
      <c r="F7045"/>
    </row>
    <row r="7046" spans="6:6" x14ac:dyDescent="0.35">
      <c r="F7046"/>
    </row>
    <row r="7047" spans="6:6" x14ac:dyDescent="0.35">
      <c r="F7047"/>
    </row>
    <row r="7048" spans="6:6" x14ac:dyDescent="0.35">
      <c r="F7048"/>
    </row>
    <row r="7049" spans="6:6" x14ac:dyDescent="0.35">
      <c r="F7049"/>
    </row>
    <row r="7050" spans="6:6" x14ac:dyDescent="0.35">
      <c r="F7050"/>
    </row>
    <row r="7051" spans="6:6" x14ac:dyDescent="0.35">
      <c r="F7051"/>
    </row>
    <row r="7052" spans="6:6" x14ac:dyDescent="0.35">
      <c r="F7052"/>
    </row>
    <row r="7053" spans="6:6" x14ac:dyDescent="0.35">
      <c r="F7053"/>
    </row>
    <row r="7054" spans="6:6" x14ac:dyDescent="0.35">
      <c r="F7054"/>
    </row>
    <row r="7055" spans="6:6" x14ac:dyDescent="0.35">
      <c r="F7055"/>
    </row>
    <row r="7056" spans="6:6" x14ac:dyDescent="0.35">
      <c r="F7056"/>
    </row>
    <row r="7057" spans="6:6" x14ac:dyDescent="0.35">
      <c r="F7057"/>
    </row>
    <row r="7058" spans="6:6" x14ac:dyDescent="0.35">
      <c r="F7058"/>
    </row>
    <row r="7059" spans="6:6" x14ac:dyDescent="0.35">
      <c r="F7059"/>
    </row>
    <row r="7060" spans="6:6" x14ac:dyDescent="0.35">
      <c r="F7060"/>
    </row>
    <row r="7061" spans="6:6" x14ac:dyDescent="0.35">
      <c r="F7061"/>
    </row>
    <row r="7062" spans="6:6" x14ac:dyDescent="0.35">
      <c r="F7062"/>
    </row>
    <row r="7063" spans="6:6" x14ac:dyDescent="0.35">
      <c r="F7063"/>
    </row>
    <row r="7064" spans="6:6" x14ac:dyDescent="0.35">
      <c r="F7064"/>
    </row>
    <row r="7065" spans="6:6" x14ac:dyDescent="0.35">
      <c r="F7065"/>
    </row>
    <row r="7066" spans="6:6" x14ac:dyDescent="0.35">
      <c r="F7066"/>
    </row>
    <row r="7067" spans="6:6" x14ac:dyDescent="0.35">
      <c r="F7067"/>
    </row>
    <row r="7068" spans="6:6" x14ac:dyDescent="0.35">
      <c r="F7068"/>
    </row>
    <row r="7069" spans="6:6" x14ac:dyDescent="0.35">
      <c r="F7069"/>
    </row>
    <row r="7070" spans="6:6" x14ac:dyDescent="0.35">
      <c r="F7070"/>
    </row>
    <row r="7071" spans="6:6" x14ac:dyDescent="0.35">
      <c r="F7071"/>
    </row>
    <row r="7072" spans="6:6" x14ac:dyDescent="0.35">
      <c r="F7072"/>
    </row>
    <row r="7073" spans="6:6" x14ac:dyDescent="0.35">
      <c r="F7073"/>
    </row>
    <row r="7074" spans="6:6" x14ac:dyDescent="0.35">
      <c r="F7074"/>
    </row>
    <row r="7075" spans="6:6" x14ac:dyDescent="0.35">
      <c r="F7075"/>
    </row>
    <row r="7076" spans="6:6" x14ac:dyDescent="0.35">
      <c r="F7076"/>
    </row>
    <row r="7077" spans="6:6" x14ac:dyDescent="0.35">
      <c r="F7077"/>
    </row>
    <row r="7078" spans="6:6" x14ac:dyDescent="0.35">
      <c r="F7078"/>
    </row>
    <row r="7079" spans="6:6" x14ac:dyDescent="0.35">
      <c r="F7079"/>
    </row>
    <row r="7080" spans="6:6" x14ac:dyDescent="0.35">
      <c r="F7080"/>
    </row>
    <row r="7081" spans="6:6" x14ac:dyDescent="0.35">
      <c r="F7081"/>
    </row>
    <row r="7082" spans="6:6" x14ac:dyDescent="0.35">
      <c r="F7082"/>
    </row>
    <row r="7083" spans="6:6" x14ac:dyDescent="0.35">
      <c r="F7083"/>
    </row>
    <row r="7084" spans="6:6" x14ac:dyDescent="0.35">
      <c r="F7084"/>
    </row>
    <row r="7085" spans="6:6" x14ac:dyDescent="0.35">
      <c r="F7085"/>
    </row>
    <row r="7086" spans="6:6" x14ac:dyDescent="0.35">
      <c r="F7086"/>
    </row>
    <row r="7087" spans="6:6" x14ac:dyDescent="0.35">
      <c r="F7087"/>
    </row>
    <row r="7088" spans="6:6" x14ac:dyDescent="0.35">
      <c r="F7088"/>
    </row>
    <row r="7089" spans="6:6" x14ac:dyDescent="0.35">
      <c r="F7089"/>
    </row>
    <row r="7090" spans="6:6" x14ac:dyDescent="0.35">
      <c r="F7090"/>
    </row>
    <row r="7091" spans="6:6" x14ac:dyDescent="0.35">
      <c r="F7091"/>
    </row>
    <row r="7092" spans="6:6" x14ac:dyDescent="0.35">
      <c r="F7092"/>
    </row>
    <row r="7093" spans="6:6" x14ac:dyDescent="0.35">
      <c r="F7093"/>
    </row>
    <row r="7094" spans="6:6" x14ac:dyDescent="0.35">
      <c r="F7094"/>
    </row>
    <row r="7095" spans="6:6" x14ac:dyDescent="0.35">
      <c r="F7095"/>
    </row>
    <row r="7096" spans="6:6" x14ac:dyDescent="0.35">
      <c r="F7096"/>
    </row>
    <row r="7097" spans="6:6" x14ac:dyDescent="0.35">
      <c r="F7097"/>
    </row>
    <row r="7098" spans="6:6" x14ac:dyDescent="0.35">
      <c r="F7098"/>
    </row>
    <row r="7099" spans="6:6" x14ac:dyDescent="0.35">
      <c r="F7099"/>
    </row>
    <row r="7100" spans="6:6" x14ac:dyDescent="0.35">
      <c r="F7100"/>
    </row>
    <row r="7101" spans="6:6" x14ac:dyDescent="0.35">
      <c r="F7101"/>
    </row>
    <row r="7102" spans="6:6" x14ac:dyDescent="0.35">
      <c r="F7102"/>
    </row>
    <row r="7103" spans="6:6" x14ac:dyDescent="0.35">
      <c r="F7103"/>
    </row>
    <row r="7104" spans="6:6" x14ac:dyDescent="0.35">
      <c r="F7104"/>
    </row>
    <row r="7105" spans="6:6" x14ac:dyDescent="0.35">
      <c r="F7105"/>
    </row>
    <row r="7106" spans="6:6" x14ac:dyDescent="0.35">
      <c r="F7106"/>
    </row>
    <row r="7107" spans="6:6" x14ac:dyDescent="0.35">
      <c r="F7107"/>
    </row>
    <row r="7108" spans="6:6" x14ac:dyDescent="0.35">
      <c r="F7108"/>
    </row>
    <row r="7109" spans="6:6" x14ac:dyDescent="0.35">
      <c r="F7109"/>
    </row>
    <row r="7110" spans="6:6" x14ac:dyDescent="0.35">
      <c r="F7110"/>
    </row>
    <row r="7111" spans="6:6" x14ac:dyDescent="0.35">
      <c r="F7111"/>
    </row>
    <row r="7112" spans="6:6" x14ac:dyDescent="0.35">
      <c r="F7112"/>
    </row>
    <row r="7113" spans="6:6" x14ac:dyDescent="0.35">
      <c r="F7113"/>
    </row>
    <row r="7114" spans="6:6" x14ac:dyDescent="0.35">
      <c r="F7114"/>
    </row>
    <row r="7115" spans="6:6" x14ac:dyDescent="0.35">
      <c r="F7115"/>
    </row>
    <row r="7116" spans="6:6" x14ac:dyDescent="0.35">
      <c r="F7116"/>
    </row>
    <row r="7117" spans="6:6" x14ac:dyDescent="0.35">
      <c r="F7117"/>
    </row>
    <row r="7118" spans="6:6" x14ac:dyDescent="0.35">
      <c r="F7118"/>
    </row>
    <row r="7119" spans="6:6" x14ac:dyDescent="0.35">
      <c r="F7119"/>
    </row>
    <row r="7120" spans="6:6" x14ac:dyDescent="0.35">
      <c r="F7120"/>
    </row>
    <row r="7121" spans="6:6" x14ac:dyDescent="0.35">
      <c r="F7121"/>
    </row>
    <row r="7122" spans="6:6" x14ac:dyDescent="0.35">
      <c r="F7122"/>
    </row>
    <row r="7123" spans="6:6" x14ac:dyDescent="0.35">
      <c r="F7123"/>
    </row>
    <row r="7124" spans="6:6" x14ac:dyDescent="0.35">
      <c r="F7124"/>
    </row>
    <row r="7125" spans="6:6" x14ac:dyDescent="0.35">
      <c r="F7125"/>
    </row>
    <row r="7126" spans="6:6" x14ac:dyDescent="0.35">
      <c r="F7126"/>
    </row>
    <row r="7127" spans="6:6" x14ac:dyDescent="0.35">
      <c r="F7127"/>
    </row>
    <row r="7128" spans="6:6" x14ac:dyDescent="0.35">
      <c r="F7128"/>
    </row>
    <row r="7129" spans="6:6" x14ac:dyDescent="0.35">
      <c r="F7129"/>
    </row>
    <row r="7130" spans="6:6" x14ac:dyDescent="0.35">
      <c r="F7130"/>
    </row>
    <row r="7131" spans="6:6" x14ac:dyDescent="0.35">
      <c r="F7131"/>
    </row>
    <row r="7132" spans="6:6" x14ac:dyDescent="0.35">
      <c r="F7132"/>
    </row>
    <row r="7133" spans="6:6" x14ac:dyDescent="0.35">
      <c r="F7133"/>
    </row>
    <row r="7134" spans="6:6" x14ac:dyDescent="0.35">
      <c r="F7134"/>
    </row>
    <row r="7135" spans="6:6" x14ac:dyDescent="0.35">
      <c r="F7135"/>
    </row>
    <row r="7136" spans="6:6" x14ac:dyDescent="0.35">
      <c r="F7136"/>
    </row>
    <row r="7137" spans="6:6" x14ac:dyDescent="0.35">
      <c r="F7137"/>
    </row>
    <row r="7138" spans="6:6" x14ac:dyDescent="0.35">
      <c r="F7138"/>
    </row>
    <row r="7139" spans="6:6" x14ac:dyDescent="0.35">
      <c r="F7139"/>
    </row>
    <row r="7140" spans="6:6" x14ac:dyDescent="0.35">
      <c r="F7140"/>
    </row>
    <row r="7141" spans="6:6" x14ac:dyDescent="0.35">
      <c r="F7141"/>
    </row>
    <row r="7142" spans="6:6" x14ac:dyDescent="0.35">
      <c r="F7142"/>
    </row>
    <row r="7143" spans="6:6" x14ac:dyDescent="0.35">
      <c r="F7143"/>
    </row>
    <row r="7144" spans="6:6" x14ac:dyDescent="0.35">
      <c r="F7144"/>
    </row>
    <row r="7145" spans="6:6" x14ac:dyDescent="0.35">
      <c r="F7145"/>
    </row>
    <row r="7146" spans="6:6" x14ac:dyDescent="0.35">
      <c r="F7146"/>
    </row>
    <row r="7147" spans="6:6" x14ac:dyDescent="0.35">
      <c r="F7147"/>
    </row>
    <row r="7148" spans="6:6" x14ac:dyDescent="0.35">
      <c r="F7148"/>
    </row>
    <row r="7149" spans="6:6" x14ac:dyDescent="0.35">
      <c r="F7149"/>
    </row>
    <row r="7150" spans="6:6" x14ac:dyDescent="0.35">
      <c r="F7150"/>
    </row>
    <row r="7151" spans="6:6" x14ac:dyDescent="0.35">
      <c r="F7151"/>
    </row>
    <row r="7152" spans="6:6" x14ac:dyDescent="0.35">
      <c r="F7152"/>
    </row>
    <row r="7153" spans="6:6" x14ac:dyDescent="0.35">
      <c r="F7153"/>
    </row>
    <row r="7154" spans="6:6" x14ac:dyDescent="0.35">
      <c r="F7154"/>
    </row>
    <row r="7155" spans="6:6" x14ac:dyDescent="0.35">
      <c r="F7155"/>
    </row>
    <row r="7156" spans="6:6" x14ac:dyDescent="0.35">
      <c r="F7156"/>
    </row>
    <row r="7157" spans="6:6" x14ac:dyDescent="0.35">
      <c r="F7157"/>
    </row>
    <row r="7158" spans="6:6" x14ac:dyDescent="0.35">
      <c r="F7158"/>
    </row>
    <row r="7159" spans="6:6" x14ac:dyDescent="0.35">
      <c r="F7159"/>
    </row>
    <row r="7160" spans="6:6" x14ac:dyDescent="0.35">
      <c r="F7160"/>
    </row>
    <row r="7161" spans="6:6" x14ac:dyDescent="0.35">
      <c r="F7161"/>
    </row>
    <row r="7162" spans="6:6" x14ac:dyDescent="0.35">
      <c r="F7162"/>
    </row>
    <row r="7163" spans="6:6" x14ac:dyDescent="0.35">
      <c r="F7163"/>
    </row>
    <row r="7164" spans="6:6" x14ac:dyDescent="0.35">
      <c r="F7164"/>
    </row>
    <row r="7165" spans="6:6" x14ac:dyDescent="0.35">
      <c r="F7165"/>
    </row>
    <row r="7166" spans="6:6" x14ac:dyDescent="0.35">
      <c r="F7166"/>
    </row>
    <row r="7167" spans="6:6" x14ac:dyDescent="0.35">
      <c r="F7167"/>
    </row>
    <row r="7168" spans="6:6" x14ac:dyDescent="0.35">
      <c r="F7168"/>
    </row>
    <row r="7169" spans="6:6" x14ac:dyDescent="0.35">
      <c r="F7169"/>
    </row>
    <row r="7170" spans="6:6" x14ac:dyDescent="0.35">
      <c r="F7170"/>
    </row>
    <row r="7171" spans="6:6" x14ac:dyDescent="0.35">
      <c r="F7171"/>
    </row>
    <row r="7172" spans="6:6" x14ac:dyDescent="0.35">
      <c r="F7172"/>
    </row>
    <row r="7173" spans="6:6" x14ac:dyDescent="0.35">
      <c r="F7173"/>
    </row>
    <row r="7174" spans="6:6" x14ac:dyDescent="0.35">
      <c r="F7174"/>
    </row>
    <row r="7175" spans="6:6" x14ac:dyDescent="0.35">
      <c r="F7175"/>
    </row>
    <row r="7176" spans="6:6" x14ac:dyDescent="0.35">
      <c r="F7176"/>
    </row>
    <row r="7177" spans="6:6" x14ac:dyDescent="0.35">
      <c r="F7177"/>
    </row>
    <row r="7178" spans="6:6" x14ac:dyDescent="0.35">
      <c r="F7178"/>
    </row>
    <row r="7179" spans="6:6" x14ac:dyDescent="0.35">
      <c r="F7179"/>
    </row>
    <row r="7180" spans="6:6" x14ac:dyDescent="0.35">
      <c r="F7180"/>
    </row>
    <row r="7181" spans="6:6" x14ac:dyDescent="0.35">
      <c r="F7181"/>
    </row>
    <row r="7182" spans="6:6" x14ac:dyDescent="0.35">
      <c r="F7182"/>
    </row>
    <row r="7183" spans="6:6" x14ac:dyDescent="0.35">
      <c r="F7183"/>
    </row>
    <row r="7184" spans="6:6" x14ac:dyDescent="0.35">
      <c r="F7184"/>
    </row>
    <row r="7185" spans="6:6" x14ac:dyDescent="0.35">
      <c r="F7185"/>
    </row>
    <row r="7186" spans="6:6" x14ac:dyDescent="0.35">
      <c r="F7186"/>
    </row>
    <row r="7187" spans="6:6" x14ac:dyDescent="0.35">
      <c r="F7187"/>
    </row>
    <row r="7188" spans="6:6" x14ac:dyDescent="0.35">
      <c r="F7188"/>
    </row>
    <row r="7189" spans="6:6" x14ac:dyDescent="0.35">
      <c r="F7189"/>
    </row>
    <row r="7190" spans="6:6" x14ac:dyDescent="0.35">
      <c r="F7190"/>
    </row>
    <row r="7191" spans="6:6" x14ac:dyDescent="0.35">
      <c r="F7191"/>
    </row>
    <row r="7192" spans="6:6" x14ac:dyDescent="0.35">
      <c r="F7192"/>
    </row>
    <row r="7193" spans="6:6" x14ac:dyDescent="0.35">
      <c r="F7193"/>
    </row>
    <row r="7194" spans="6:6" x14ac:dyDescent="0.35">
      <c r="F7194"/>
    </row>
    <row r="7195" spans="6:6" x14ac:dyDescent="0.35">
      <c r="F7195"/>
    </row>
    <row r="7196" spans="6:6" x14ac:dyDescent="0.35">
      <c r="F7196"/>
    </row>
    <row r="7197" spans="6:6" x14ac:dyDescent="0.35">
      <c r="F7197"/>
    </row>
    <row r="7198" spans="6:6" x14ac:dyDescent="0.35">
      <c r="F7198"/>
    </row>
    <row r="7199" spans="6:6" x14ac:dyDescent="0.35">
      <c r="F7199"/>
    </row>
    <row r="7200" spans="6:6" x14ac:dyDescent="0.35">
      <c r="F7200"/>
    </row>
    <row r="7201" spans="6:6" x14ac:dyDescent="0.35">
      <c r="F7201"/>
    </row>
    <row r="7202" spans="6:6" x14ac:dyDescent="0.35">
      <c r="F7202"/>
    </row>
    <row r="7203" spans="6:6" x14ac:dyDescent="0.35">
      <c r="F7203"/>
    </row>
    <row r="7204" spans="6:6" x14ac:dyDescent="0.35">
      <c r="F7204"/>
    </row>
    <row r="7205" spans="6:6" x14ac:dyDescent="0.35">
      <c r="F7205"/>
    </row>
    <row r="7206" spans="6:6" x14ac:dyDescent="0.35">
      <c r="F7206"/>
    </row>
    <row r="7207" spans="6:6" x14ac:dyDescent="0.35">
      <c r="F7207"/>
    </row>
    <row r="7208" spans="6:6" x14ac:dyDescent="0.35">
      <c r="F7208"/>
    </row>
    <row r="7209" spans="6:6" x14ac:dyDescent="0.35">
      <c r="F7209"/>
    </row>
    <row r="7210" spans="6:6" x14ac:dyDescent="0.35">
      <c r="F7210"/>
    </row>
    <row r="7211" spans="6:6" x14ac:dyDescent="0.35">
      <c r="F7211"/>
    </row>
    <row r="7212" spans="6:6" x14ac:dyDescent="0.35">
      <c r="F7212"/>
    </row>
    <row r="7213" spans="6:6" x14ac:dyDescent="0.35">
      <c r="F7213"/>
    </row>
    <row r="7214" spans="6:6" x14ac:dyDescent="0.35">
      <c r="F7214"/>
    </row>
    <row r="7215" spans="6:6" x14ac:dyDescent="0.35">
      <c r="F7215"/>
    </row>
    <row r="7216" spans="6:6" x14ac:dyDescent="0.35">
      <c r="F7216"/>
    </row>
    <row r="7217" spans="6:6" x14ac:dyDescent="0.35">
      <c r="F7217"/>
    </row>
    <row r="7218" spans="6:6" x14ac:dyDescent="0.35">
      <c r="F7218"/>
    </row>
    <row r="7219" spans="6:6" x14ac:dyDescent="0.35">
      <c r="F7219"/>
    </row>
    <row r="7220" spans="6:6" x14ac:dyDescent="0.35">
      <c r="F7220"/>
    </row>
    <row r="7221" spans="6:6" x14ac:dyDescent="0.35">
      <c r="F7221"/>
    </row>
    <row r="7222" spans="6:6" x14ac:dyDescent="0.35">
      <c r="F7222"/>
    </row>
    <row r="7223" spans="6:6" x14ac:dyDescent="0.35">
      <c r="F7223"/>
    </row>
    <row r="7224" spans="6:6" x14ac:dyDescent="0.35">
      <c r="F7224"/>
    </row>
    <row r="7225" spans="6:6" x14ac:dyDescent="0.35">
      <c r="F7225"/>
    </row>
    <row r="7226" spans="6:6" x14ac:dyDescent="0.35">
      <c r="F7226"/>
    </row>
    <row r="7227" spans="6:6" x14ac:dyDescent="0.35">
      <c r="F7227"/>
    </row>
    <row r="7228" spans="6:6" x14ac:dyDescent="0.35">
      <c r="F7228"/>
    </row>
    <row r="7229" spans="6:6" x14ac:dyDescent="0.35">
      <c r="F7229"/>
    </row>
    <row r="7230" spans="6:6" x14ac:dyDescent="0.35">
      <c r="F7230"/>
    </row>
    <row r="7231" spans="6:6" x14ac:dyDescent="0.35">
      <c r="F7231"/>
    </row>
    <row r="7232" spans="6:6" x14ac:dyDescent="0.35">
      <c r="F7232"/>
    </row>
    <row r="7233" spans="6:6" x14ac:dyDescent="0.35">
      <c r="F7233"/>
    </row>
    <row r="7234" spans="6:6" x14ac:dyDescent="0.35">
      <c r="F7234"/>
    </row>
    <row r="7235" spans="6:6" x14ac:dyDescent="0.35">
      <c r="F7235"/>
    </row>
    <row r="7236" spans="6:6" x14ac:dyDescent="0.35">
      <c r="F7236"/>
    </row>
    <row r="7237" spans="6:6" x14ac:dyDescent="0.35">
      <c r="F7237"/>
    </row>
    <row r="7238" spans="6:6" x14ac:dyDescent="0.35">
      <c r="F7238"/>
    </row>
    <row r="7239" spans="6:6" x14ac:dyDescent="0.35">
      <c r="F7239"/>
    </row>
    <row r="7240" spans="6:6" x14ac:dyDescent="0.35">
      <c r="F7240"/>
    </row>
    <row r="7241" spans="6:6" x14ac:dyDescent="0.35">
      <c r="F7241"/>
    </row>
    <row r="7242" spans="6:6" x14ac:dyDescent="0.35">
      <c r="F7242"/>
    </row>
    <row r="7243" spans="6:6" x14ac:dyDescent="0.35">
      <c r="F7243"/>
    </row>
    <row r="7244" spans="6:6" x14ac:dyDescent="0.35">
      <c r="F7244"/>
    </row>
    <row r="7245" spans="6:6" x14ac:dyDescent="0.35">
      <c r="F7245"/>
    </row>
    <row r="7246" spans="6:6" x14ac:dyDescent="0.35">
      <c r="F7246"/>
    </row>
    <row r="7247" spans="6:6" x14ac:dyDescent="0.35">
      <c r="F7247"/>
    </row>
    <row r="7248" spans="6:6" x14ac:dyDescent="0.35">
      <c r="F7248"/>
    </row>
    <row r="7249" spans="6:6" x14ac:dyDescent="0.35">
      <c r="F7249"/>
    </row>
    <row r="7250" spans="6:6" x14ac:dyDescent="0.35">
      <c r="F7250"/>
    </row>
    <row r="7251" spans="6:6" x14ac:dyDescent="0.35">
      <c r="F7251"/>
    </row>
    <row r="7252" spans="6:6" x14ac:dyDescent="0.35">
      <c r="F7252"/>
    </row>
    <row r="7253" spans="6:6" x14ac:dyDescent="0.35">
      <c r="F7253"/>
    </row>
    <row r="7254" spans="6:6" x14ac:dyDescent="0.35">
      <c r="F7254"/>
    </row>
    <row r="7255" spans="6:6" x14ac:dyDescent="0.35">
      <c r="F7255"/>
    </row>
    <row r="7256" spans="6:6" x14ac:dyDescent="0.35">
      <c r="F7256"/>
    </row>
    <row r="7257" spans="6:6" x14ac:dyDescent="0.35">
      <c r="F7257"/>
    </row>
    <row r="7258" spans="6:6" x14ac:dyDescent="0.35">
      <c r="F7258"/>
    </row>
    <row r="7259" spans="6:6" x14ac:dyDescent="0.35">
      <c r="F7259"/>
    </row>
    <row r="7260" spans="6:6" x14ac:dyDescent="0.35">
      <c r="F7260"/>
    </row>
    <row r="7261" spans="6:6" x14ac:dyDescent="0.35">
      <c r="F7261"/>
    </row>
    <row r="7262" spans="6:6" x14ac:dyDescent="0.35">
      <c r="F7262"/>
    </row>
    <row r="7263" spans="6:6" x14ac:dyDescent="0.35">
      <c r="F7263"/>
    </row>
    <row r="7264" spans="6:6" x14ac:dyDescent="0.35">
      <c r="F7264"/>
    </row>
    <row r="7265" spans="6:6" x14ac:dyDescent="0.35">
      <c r="F7265"/>
    </row>
    <row r="7266" spans="6:6" x14ac:dyDescent="0.35">
      <c r="F7266"/>
    </row>
    <row r="7267" spans="6:6" x14ac:dyDescent="0.35">
      <c r="F7267"/>
    </row>
    <row r="7268" spans="6:6" x14ac:dyDescent="0.35">
      <c r="F7268"/>
    </row>
    <row r="7269" spans="6:6" x14ac:dyDescent="0.35">
      <c r="F7269"/>
    </row>
    <row r="7270" spans="6:6" x14ac:dyDescent="0.35">
      <c r="F7270"/>
    </row>
    <row r="7271" spans="6:6" x14ac:dyDescent="0.35">
      <c r="F7271"/>
    </row>
    <row r="7272" spans="6:6" x14ac:dyDescent="0.35">
      <c r="F7272"/>
    </row>
    <row r="7273" spans="6:6" x14ac:dyDescent="0.35">
      <c r="F7273"/>
    </row>
    <row r="7274" spans="6:6" x14ac:dyDescent="0.35">
      <c r="F7274"/>
    </row>
    <row r="7275" spans="6:6" x14ac:dyDescent="0.35">
      <c r="F7275"/>
    </row>
    <row r="7276" spans="6:6" x14ac:dyDescent="0.35">
      <c r="F7276"/>
    </row>
    <row r="7277" spans="6:6" x14ac:dyDescent="0.35">
      <c r="F7277"/>
    </row>
    <row r="7278" spans="6:6" x14ac:dyDescent="0.35">
      <c r="F7278"/>
    </row>
    <row r="7279" spans="6:6" x14ac:dyDescent="0.35">
      <c r="F7279"/>
    </row>
    <row r="7280" spans="6:6" x14ac:dyDescent="0.35">
      <c r="F7280"/>
    </row>
    <row r="7281" spans="6:6" x14ac:dyDescent="0.35">
      <c r="F7281"/>
    </row>
    <row r="7282" spans="6:6" x14ac:dyDescent="0.35">
      <c r="F7282"/>
    </row>
    <row r="7283" spans="6:6" x14ac:dyDescent="0.35">
      <c r="F7283"/>
    </row>
    <row r="7284" spans="6:6" x14ac:dyDescent="0.35">
      <c r="F7284"/>
    </row>
    <row r="7285" spans="6:6" x14ac:dyDescent="0.35">
      <c r="F7285"/>
    </row>
    <row r="7286" spans="6:6" x14ac:dyDescent="0.35">
      <c r="F7286"/>
    </row>
    <row r="7287" spans="6:6" x14ac:dyDescent="0.35">
      <c r="F7287"/>
    </row>
    <row r="7288" spans="6:6" x14ac:dyDescent="0.35">
      <c r="F7288"/>
    </row>
    <row r="7289" spans="6:6" x14ac:dyDescent="0.35">
      <c r="F7289"/>
    </row>
    <row r="7290" spans="6:6" x14ac:dyDescent="0.35">
      <c r="F7290"/>
    </row>
    <row r="7291" spans="6:6" x14ac:dyDescent="0.35">
      <c r="F7291"/>
    </row>
    <row r="7292" spans="6:6" x14ac:dyDescent="0.35">
      <c r="F7292"/>
    </row>
    <row r="7293" spans="6:6" x14ac:dyDescent="0.35">
      <c r="F7293"/>
    </row>
    <row r="7294" spans="6:6" x14ac:dyDescent="0.35">
      <c r="F7294"/>
    </row>
    <row r="7295" spans="6:6" x14ac:dyDescent="0.35">
      <c r="F7295"/>
    </row>
    <row r="7296" spans="6:6" x14ac:dyDescent="0.35">
      <c r="F7296"/>
    </row>
    <row r="7297" spans="6:6" x14ac:dyDescent="0.35">
      <c r="F7297"/>
    </row>
    <row r="7298" spans="6:6" x14ac:dyDescent="0.35">
      <c r="F7298"/>
    </row>
    <row r="7299" spans="6:6" x14ac:dyDescent="0.35">
      <c r="F7299"/>
    </row>
    <row r="7300" spans="6:6" x14ac:dyDescent="0.35">
      <c r="F7300"/>
    </row>
    <row r="7301" spans="6:6" x14ac:dyDescent="0.35">
      <c r="F7301"/>
    </row>
    <row r="7302" spans="6:6" x14ac:dyDescent="0.35">
      <c r="F7302"/>
    </row>
    <row r="7303" spans="6:6" x14ac:dyDescent="0.35">
      <c r="F7303"/>
    </row>
    <row r="7304" spans="6:6" x14ac:dyDescent="0.35">
      <c r="F7304"/>
    </row>
    <row r="7305" spans="6:6" x14ac:dyDescent="0.35">
      <c r="F7305"/>
    </row>
    <row r="7306" spans="6:6" x14ac:dyDescent="0.35">
      <c r="F7306"/>
    </row>
    <row r="7307" spans="6:6" x14ac:dyDescent="0.35">
      <c r="F7307"/>
    </row>
    <row r="7308" spans="6:6" x14ac:dyDescent="0.35">
      <c r="F7308"/>
    </row>
    <row r="7309" spans="6:6" x14ac:dyDescent="0.35">
      <c r="F7309"/>
    </row>
    <row r="7310" spans="6:6" x14ac:dyDescent="0.35">
      <c r="F7310"/>
    </row>
    <row r="7311" spans="6:6" x14ac:dyDescent="0.35">
      <c r="F7311"/>
    </row>
    <row r="7312" spans="6:6" x14ac:dyDescent="0.35">
      <c r="F7312"/>
    </row>
    <row r="7313" spans="6:6" x14ac:dyDescent="0.35">
      <c r="F7313"/>
    </row>
    <row r="7314" spans="6:6" x14ac:dyDescent="0.35">
      <c r="F7314"/>
    </row>
    <row r="7315" spans="6:6" x14ac:dyDescent="0.35">
      <c r="F7315"/>
    </row>
    <row r="7316" spans="6:6" x14ac:dyDescent="0.35">
      <c r="F7316"/>
    </row>
    <row r="7317" spans="6:6" x14ac:dyDescent="0.35">
      <c r="F7317"/>
    </row>
    <row r="7318" spans="6:6" x14ac:dyDescent="0.35">
      <c r="F7318"/>
    </row>
    <row r="7319" spans="6:6" x14ac:dyDescent="0.35">
      <c r="F7319"/>
    </row>
    <row r="7320" spans="6:6" x14ac:dyDescent="0.35">
      <c r="F7320"/>
    </row>
    <row r="7321" spans="6:6" x14ac:dyDescent="0.35">
      <c r="F7321"/>
    </row>
    <row r="7322" spans="6:6" x14ac:dyDescent="0.35">
      <c r="F7322"/>
    </row>
    <row r="7323" spans="6:6" x14ac:dyDescent="0.35">
      <c r="F7323"/>
    </row>
    <row r="7324" spans="6:6" x14ac:dyDescent="0.35">
      <c r="F7324"/>
    </row>
    <row r="7325" spans="6:6" x14ac:dyDescent="0.35">
      <c r="F7325"/>
    </row>
    <row r="7326" spans="6:6" x14ac:dyDescent="0.35">
      <c r="F7326"/>
    </row>
    <row r="7327" spans="6:6" x14ac:dyDescent="0.35">
      <c r="F7327"/>
    </row>
    <row r="7328" spans="6:6" x14ac:dyDescent="0.35">
      <c r="F7328"/>
    </row>
    <row r="7329" spans="6:6" x14ac:dyDescent="0.35">
      <c r="F7329"/>
    </row>
    <row r="7330" spans="6:6" x14ac:dyDescent="0.35">
      <c r="F7330"/>
    </row>
    <row r="7331" spans="6:6" x14ac:dyDescent="0.35">
      <c r="F7331"/>
    </row>
    <row r="7332" spans="6:6" x14ac:dyDescent="0.35">
      <c r="F7332"/>
    </row>
    <row r="7333" spans="6:6" x14ac:dyDescent="0.35">
      <c r="F7333"/>
    </row>
    <row r="7334" spans="6:6" x14ac:dyDescent="0.35">
      <c r="F7334"/>
    </row>
    <row r="7335" spans="6:6" x14ac:dyDescent="0.35">
      <c r="F7335"/>
    </row>
    <row r="7336" spans="6:6" x14ac:dyDescent="0.35">
      <c r="F7336"/>
    </row>
    <row r="7337" spans="6:6" x14ac:dyDescent="0.35">
      <c r="F7337"/>
    </row>
    <row r="7338" spans="6:6" x14ac:dyDescent="0.35">
      <c r="F7338"/>
    </row>
    <row r="7339" spans="6:6" x14ac:dyDescent="0.35">
      <c r="F7339"/>
    </row>
    <row r="7340" spans="6:6" x14ac:dyDescent="0.35">
      <c r="F7340"/>
    </row>
    <row r="7341" spans="6:6" x14ac:dyDescent="0.35">
      <c r="F7341"/>
    </row>
    <row r="7342" spans="6:6" x14ac:dyDescent="0.35">
      <c r="F7342"/>
    </row>
    <row r="7343" spans="6:6" x14ac:dyDescent="0.35">
      <c r="F7343"/>
    </row>
    <row r="7344" spans="6:6" x14ac:dyDescent="0.35">
      <c r="F7344"/>
    </row>
    <row r="7345" spans="6:6" x14ac:dyDescent="0.35">
      <c r="F7345"/>
    </row>
    <row r="7346" spans="6:6" x14ac:dyDescent="0.35">
      <c r="F7346"/>
    </row>
    <row r="7347" spans="6:6" x14ac:dyDescent="0.35">
      <c r="F7347"/>
    </row>
    <row r="7348" spans="6:6" x14ac:dyDescent="0.35">
      <c r="F7348"/>
    </row>
    <row r="7349" spans="6:6" x14ac:dyDescent="0.35">
      <c r="F7349"/>
    </row>
    <row r="7350" spans="6:6" x14ac:dyDescent="0.35">
      <c r="F7350"/>
    </row>
    <row r="7351" spans="6:6" x14ac:dyDescent="0.35">
      <c r="F7351"/>
    </row>
    <row r="7352" spans="6:6" x14ac:dyDescent="0.35">
      <c r="F7352"/>
    </row>
    <row r="7353" spans="6:6" x14ac:dyDescent="0.35">
      <c r="F7353"/>
    </row>
    <row r="7354" spans="6:6" x14ac:dyDescent="0.35">
      <c r="F7354"/>
    </row>
    <row r="7355" spans="6:6" x14ac:dyDescent="0.35">
      <c r="F7355"/>
    </row>
    <row r="7356" spans="6:6" x14ac:dyDescent="0.35">
      <c r="F7356"/>
    </row>
    <row r="7357" spans="6:6" x14ac:dyDescent="0.35">
      <c r="F7357"/>
    </row>
    <row r="7358" spans="6:6" x14ac:dyDescent="0.35">
      <c r="F7358"/>
    </row>
    <row r="7359" spans="6:6" x14ac:dyDescent="0.35">
      <c r="F7359"/>
    </row>
    <row r="7360" spans="6:6" x14ac:dyDescent="0.35">
      <c r="F7360"/>
    </row>
    <row r="7361" spans="6:6" x14ac:dyDescent="0.35">
      <c r="F7361"/>
    </row>
    <row r="7362" spans="6:6" x14ac:dyDescent="0.35">
      <c r="F7362"/>
    </row>
    <row r="7363" spans="6:6" x14ac:dyDescent="0.35">
      <c r="F7363"/>
    </row>
    <row r="7364" spans="6:6" x14ac:dyDescent="0.35">
      <c r="F7364"/>
    </row>
    <row r="7365" spans="6:6" x14ac:dyDescent="0.35">
      <c r="F7365"/>
    </row>
    <row r="7366" spans="6:6" x14ac:dyDescent="0.35">
      <c r="F7366"/>
    </row>
    <row r="7367" spans="6:6" x14ac:dyDescent="0.35">
      <c r="F7367"/>
    </row>
    <row r="7368" spans="6:6" x14ac:dyDescent="0.35">
      <c r="F7368"/>
    </row>
    <row r="7369" spans="6:6" x14ac:dyDescent="0.35">
      <c r="F7369"/>
    </row>
    <row r="7370" spans="6:6" x14ac:dyDescent="0.35">
      <c r="F7370"/>
    </row>
    <row r="7371" spans="6:6" x14ac:dyDescent="0.35">
      <c r="F7371"/>
    </row>
    <row r="7372" spans="6:6" x14ac:dyDescent="0.35">
      <c r="F7372"/>
    </row>
    <row r="7373" spans="6:6" x14ac:dyDescent="0.35">
      <c r="F7373"/>
    </row>
    <row r="7374" spans="6:6" x14ac:dyDescent="0.35">
      <c r="F7374"/>
    </row>
    <row r="7375" spans="6:6" x14ac:dyDescent="0.35">
      <c r="F7375"/>
    </row>
    <row r="7376" spans="6:6" x14ac:dyDescent="0.35">
      <c r="F7376"/>
    </row>
    <row r="7377" spans="6:6" x14ac:dyDescent="0.35">
      <c r="F7377"/>
    </row>
    <row r="7378" spans="6:6" x14ac:dyDescent="0.35">
      <c r="F7378"/>
    </row>
    <row r="7379" spans="6:6" x14ac:dyDescent="0.35">
      <c r="F7379"/>
    </row>
    <row r="7380" spans="6:6" x14ac:dyDescent="0.35">
      <c r="F7380"/>
    </row>
    <row r="7381" spans="6:6" x14ac:dyDescent="0.35">
      <c r="F7381"/>
    </row>
    <row r="7382" spans="6:6" x14ac:dyDescent="0.35">
      <c r="F7382"/>
    </row>
    <row r="7383" spans="6:6" x14ac:dyDescent="0.35">
      <c r="F7383"/>
    </row>
    <row r="7384" spans="6:6" x14ac:dyDescent="0.35">
      <c r="F7384"/>
    </row>
    <row r="7385" spans="6:6" x14ac:dyDescent="0.35">
      <c r="F7385"/>
    </row>
    <row r="7386" spans="6:6" x14ac:dyDescent="0.35">
      <c r="F7386"/>
    </row>
    <row r="7387" spans="6:6" x14ac:dyDescent="0.35">
      <c r="F7387"/>
    </row>
    <row r="7388" spans="6:6" x14ac:dyDescent="0.35">
      <c r="F7388"/>
    </row>
    <row r="7389" spans="6:6" x14ac:dyDescent="0.35">
      <c r="F7389"/>
    </row>
    <row r="7390" spans="6:6" x14ac:dyDescent="0.35">
      <c r="F7390"/>
    </row>
    <row r="7391" spans="6:6" x14ac:dyDescent="0.35">
      <c r="F7391"/>
    </row>
    <row r="7392" spans="6:6" x14ac:dyDescent="0.35">
      <c r="F7392"/>
    </row>
    <row r="7393" spans="6:6" x14ac:dyDescent="0.35">
      <c r="F7393"/>
    </row>
    <row r="7394" spans="6:6" x14ac:dyDescent="0.35">
      <c r="F7394"/>
    </row>
    <row r="7395" spans="6:6" x14ac:dyDescent="0.35">
      <c r="F7395"/>
    </row>
    <row r="7396" spans="6:6" x14ac:dyDescent="0.35">
      <c r="F7396"/>
    </row>
    <row r="7397" spans="6:6" x14ac:dyDescent="0.35">
      <c r="F7397"/>
    </row>
    <row r="7398" spans="6:6" x14ac:dyDescent="0.35">
      <c r="F7398"/>
    </row>
    <row r="7399" spans="6:6" x14ac:dyDescent="0.35">
      <c r="F7399"/>
    </row>
    <row r="7400" spans="6:6" x14ac:dyDescent="0.35">
      <c r="F7400"/>
    </row>
    <row r="7401" spans="6:6" x14ac:dyDescent="0.35">
      <c r="F7401"/>
    </row>
    <row r="7402" spans="6:6" x14ac:dyDescent="0.35">
      <c r="F7402"/>
    </row>
    <row r="7403" spans="6:6" x14ac:dyDescent="0.35">
      <c r="F7403"/>
    </row>
    <row r="7404" spans="6:6" x14ac:dyDescent="0.35">
      <c r="F7404"/>
    </row>
    <row r="7405" spans="6:6" x14ac:dyDescent="0.35">
      <c r="F7405"/>
    </row>
    <row r="7406" spans="6:6" x14ac:dyDescent="0.35">
      <c r="F7406"/>
    </row>
    <row r="7407" spans="6:6" x14ac:dyDescent="0.35">
      <c r="F7407"/>
    </row>
    <row r="7408" spans="6:6" x14ac:dyDescent="0.35">
      <c r="F7408"/>
    </row>
    <row r="7409" spans="6:6" x14ac:dyDescent="0.35">
      <c r="F7409"/>
    </row>
    <row r="7410" spans="6:6" x14ac:dyDescent="0.35">
      <c r="F7410"/>
    </row>
    <row r="7411" spans="6:6" x14ac:dyDescent="0.35">
      <c r="F7411"/>
    </row>
    <row r="7412" spans="6:6" x14ac:dyDescent="0.35">
      <c r="F7412"/>
    </row>
    <row r="7413" spans="6:6" x14ac:dyDescent="0.35">
      <c r="F7413"/>
    </row>
    <row r="7414" spans="6:6" x14ac:dyDescent="0.35">
      <c r="F7414"/>
    </row>
    <row r="7415" spans="6:6" x14ac:dyDescent="0.35">
      <c r="F7415"/>
    </row>
    <row r="7416" spans="6:6" x14ac:dyDescent="0.35">
      <c r="F7416"/>
    </row>
    <row r="7417" spans="6:6" x14ac:dyDescent="0.35">
      <c r="F7417"/>
    </row>
    <row r="7418" spans="6:6" x14ac:dyDescent="0.35">
      <c r="F7418"/>
    </row>
    <row r="7419" spans="6:6" x14ac:dyDescent="0.35">
      <c r="F7419"/>
    </row>
    <row r="7420" spans="6:6" x14ac:dyDescent="0.35">
      <c r="F7420"/>
    </row>
    <row r="7421" spans="6:6" x14ac:dyDescent="0.35">
      <c r="F7421"/>
    </row>
    <row r="7422" spans="6:6" x14ac:dyDescent="0.35">
      <c r="F7422"/>
    </row>
    <row r="7423" spans="6:6" x14ac:dyDescent="0.35">
      <c r="F7423"/>
    </row>
    <row r="7424" spans="6:6" x14ac:dyDescent="0.35">
      <c r="F7424"/>
    </row>
    <row r="7425" spans="6:6" x14ac:dyDescent="0.35">
      <c r="F7425"/>
    </row>
    <row r="7426" spans="6:6" x14ac:dyDescent="0.35">
      <c r="F7426"/>
    </row>
    <row r="7427" spans="6:6" x14ac:dyDescent="0.35">
      <c r="F7427"/>
    </row>
    <row r="7428" spans="6:6" x14ac:dyDescent="0.35">
      <c r="F7428"/>
    </row>
    <row r="7429" spans="6:6" x14ac:dyDescent="0.35">
      <c r="F7429"/>
    </row>
    <row r="7430" spans="6:6" x14ac:dyDescent="0.35">
      <c r="F7430"/>
    </row>
    <row r="7431" spans="6:6" x14ac:dyDescent="0.35">
      <c r="F7431"/>
    </row>
    <row r="7432" spans="6:6" x14ac:dyDescent="0.35">
      <c r="F7432"/>
    </row>
    <row r="7433" spans="6:6" x14ac:dyDescent="0.35">
      <c r="F7433"/>
    </row>
    <row r="7434" spans="6:6" x14ac:dyDescent="0.35">
      <c r="F7434"/>
    </row>
    <row r="7435" spans="6:6" x14ac:dyDescent="0.35">
      <c r="F7435"/>
    </row>
    <row r="7436" spans="6:6" x14ac:dyDescent="0.35">
      <c r="F7436"/>
    </row>
    <row r="7437" spans="6:6" x14ac:dyDescent="0.35">
      <c r="F7437"/>
    </row>
    <row r="7438" spans="6:6" x14ac:dyDescent="0.35">
      <c r="F7438"/>
    </row>
    <row r="7439" spans="6:6" x14ac:dyDescent="0.35">
      <c r="F7439"/>
    </row>
    <row r="7440" spans="6:6" x14ac:dyDescent="0.35">
      <c r="F7440"/>
    </row>
    <row r="7441" spans="6:6" x14ac:dyDescent="0.35">
      <c r="F7441"/>
    </row>
    <row r="7442" spans="6:6" x14ac:dyDescent="0.35">
      <c r="F7442"/>
    </row>
    <row r="7443" spans="6:6" x14ac:dyDescent="0.35">
      <c r="F7443"/>
    </row>
    <row r="7444" spans="6:6" x14ac:dyDescent="0.35">
      <c r="F7444"/>
    </row>
    <row r="7445" spans="6:6" x14ac:dyDescent="0.35">
      <c r="F7445"/>
    </row>
    <row r="7446" spans="6:6" x14ac:dyDescent="0.35">
      <c r="F7446"/>
    </row>
    <row r="7447" spans="6:6" x14ac:dyDescent="0.35">
      <c r="F7447"/>
    </row>
    <row r="7448" spans="6:6" x14ac:dyDescent="0.35">
      <c r="F7448"/>
    </row>
    <row r="7449" spans="6:6" x14ac:dyDescent="0.35">
      <c r="F7449"/>
    </row>
    <row r="7450" spans="6:6" x14ac:dyDescent="0.35">
      <c r="F7450"/>
    </row>
    <row r="7451" spans="6:6" x14ac:dyDescent="0.35">
      <c r="F7451"/>
    </row>
    <row r="7452" spans="6:6" x14ac:dyDescent="0.35">
      <c r="F7452"/>
    </row>
    <row r="7453" spans="6:6" x14ac:dyDescent="0.35">
      <c r="F7453"/>
    </row>
    <row r="7454" spans="6:6" x14ac:dyDescent="0.35">
      <c r="F7454"/>
    </row>
    <row r="7455" spans="6:6" x14ac:dyDescent="0.35">
      <c r="F7455"/>
    </row>
    <row r="7456" spans="6:6" x14ac:dyDescent="0.35">
      <c r="F7456"/>
    </row>
    <row r="7457" spans="6:6" x14ac:dyDescent="0.35">
      <c r="F7457"/>
    </row>
    <row r="7458" spans="6:6" x14ac:dyDescent="0.35">
      <c r="F7458"/>
    </row>
    <row r="7459" spans="6:6" x14ac:dyDescent="0.35">
      <c r="F7459"/>
    </row>
    <row r="7460" spans="6:6" x14ac:dyDescent="0.35">
      <c r="F7460"/>
    </row>
    <row r="7461" spans="6:6" x14ac:dyDescent="0.35">
      <c r="F7461"/>
    </row>
    <row r="7462" spans="6:6" x14ac:dyDescent="0.35">
      <c r="F7462"/>
    </row>
    <row r="7463" spans="6:6" x14ac:dyDescent="0.35">
      <c r="F7463"/>
    </row>
    <row r="7464" spans="6:6" x14ac:dyDescent="0.35">
      <c r="F7464"/>
    </row>
    <row r="7465" spans="6:6" x14ac:dyDescent="0.35">
      <c r="F7465"/>
    </row>
    <row r="7466" spans="6:6" x14ac:dyDescent="0.35">
      <c r="F7466"/>
    </row>
    <row r="7467" spans="6:6" x14ac:dyDescent="0.35">
      <c r="F7467"/>
    </row>
    <row r="7468" spans="6:6" x14ac:dyDescent="0.35">
      <c r="F7468"/>
    </row>
    <row r="7469" spans="6:6" x14ac:dyDescent="0.35">
      <c r="F7469"/>
    </row>
    <row r="7470" spans="6:6" x14ac:dyDescent="0.35">
      <c r="F7470"/>
    </row>
    <row r="7471" spans="6:6" x14ac:dyDescent="0.35">
      <c r="F7471"/>
    </row>
    <row r="7472" spans="6:6" x14ac:dyDescent="0.35">
      <c r="F7472"/>
    </row>
    <row r="7473" spans="6:6" x14ac:dyDescent="0.35">
      <c r="F7473"/>
    </row>
    <row r="7474" spans="6:6" x14ac:dyDescent="0.35">
      <c r="F7474"/>
    </row>
    <row r="7475" spans="6:6" x14ac:dyDescent="0.35">
      <c r="F7475"/>
    </row>
    <row r="7476" spans="6:6" x14ac:dyDescent="0.35">
      <c r="F7476"/>
    </row>
    <row r="7477" spans="6:6" x14ac:dyDescent="0.35">
      <c r="F7477"/>
    </row>
    <row r="7478" spans="6:6" x14ac:dyDescent="0.35">
      <c r="F7478"/>
    </row>
    <row r="7479" spans="6:6" x14ac:dyDescent="0.35">
      <c r="F7479"/>
    </row>
    <row r="7480" spans="6:6" x14ac:dyDescent="0.35">
      <c r="F7480"/>
    </row>
    <row r="7481" spans="6:6" x14ac:dyDescent="0.35">
      <c r="F7481"/>
    </row>
    <row r="7482" spans="6:6" x14ac:dyDescent="0.35">
      <c r="F7482"/>
    </row>
    <row r="7483" spans="6:6" x14ac:dyDescent="0.35">
      <c r="F7483"/>
    </row>
    <row r="7484" spans="6:6" x14ac:dyDescent="0.35">
      <c r="F7484"/>
    </row>
    <row r="7485" spans="6:6" x14ac:dyDescent="0.35">
      <c r="F7485"/>
    </row>
    <row r="7486" spans="6:6" x14ac:dyDescent="0.35">
      <c r="F7486"/>
    </row>
    <row r="7487" spans="6:6" x14ac:dyDescent="0.35">
      <c r="F7487"/>
    </row>
    <row r="7488" spans="6:6" x14ac:dyDescent="0.35">
      <c r="F7488"/>
    </row>
    <row r="7489" spans="6:6" x14ac:dyDescent="0.35">
      <c r="F7489"/>
    </row>
    <row r="7490" spans="6:6" x14ac:dyDescent="0.35">
      <c r="F7490"/>
    </row>
    <row r="7491" spans="6:6" x14ac:dyDescent="0.35">
      <c r="F7491"/>
    </row>
    <row r="7492" spans="6:6" x14ac:dyDescent="0.35">
      <c r="F7492"/>
    </row>
    <row r="7493" spans="6:6" x14ac:dyDescent="0.35">
      <c r="F7493"/>
    </row>
    <row r="7494" spans="6:6" x14ac:dyDescent="0.35">
      <c r="F7494"/>
    </row>
    <row r="7495" spans="6:6" x14ac:dyDescent="0.35">
      <c r="F7495"/>
    </row>
    <row r="7496" spans="6:6" x14ac:dyDescent="0.35">
      <c r="F7496"/>
    </row>
    <row r="7497" spans="6:6" x14ac:dyDescent="0.35">
      <c r="F7497"/>
    </row>
    <row r="7498" spans="6:6" x14ac:dyDescent="0.35">
      <c r="F7498"/>
    </row>
    <row r="7499" spans="6:6" x14ac:dyDescent="0.35">
      <c r="F7499"/>
    </row>
    <row r="7500" spans="6:6" x14ac:dyDescent="0.35">
      <c r="F7500"/>
    </row>
    <row r="7501" spans="6:6" x14ac:dyDescent="0.35">
      <c r="F7501"/>
    </row>
    <row r="7502" spans="6:6" x14ac:dyDescent="0.35">
      <c r="F7502"/>
    </row>
    <row r="7503" spans="6:6" x14ac:dyDescent="0.35">
      <c r="F7503"/>
    </row>
    <row r="7504" spans="6:6" x14ac:dyDescent="0.35">
      <c r="F7504"/>
    </row>
    <row r="7505" spans="6:6" x14ac:dyDescent="0.35">
      <c r="F7505"/>
    </row>
    <row r="7506" spans="6:6" x14ac:dyDescent="0.35">
      <c r="F7506"/>
    </row>
    <row r="7507" spans="6:6" x14ac:dyDescent="0.35">
      <c r="F7507"/>
    </row>
    <row r="7508" spans="6:6" x14ac:dyDescent="0.35">
      <c r="F7508"/>
    </row>
    <row r="7509" spans="6:6" x14ac:dyDescent="0.35">
      <c r="F7509"/>
    </row>
    <row r="7510" spans="6:6" x14ac:dyDescent="0.35">
      <c r="F7510"/>
    </row>
    <row r="7511" spans="6:6" x14ac:dyDescent="0.35">
      <c r="F7511"/>
    </row>
    <row r="7512" spans="6:6" x14ac:dyDescent="0.35">
      <c r="F7512"/>
    </row>
    <row r="7513" spans="6:6" x14ac:dyDescent="0.35">
      <c r="F7513"/>
    </row>
    <row r="7514" spans="6:6" x14ac:dyDescent="0.35">
      <c r="F7514"/>
    </row>
    <row r="7515" spans="6:6" x14ac:dyDescent="0.35">
      <c r="F7515"/>
    </row>
    <row r="7516" spans="6:6" x14ac:dyDescent="0.35">
      <c r="F7516"/>
    </row>
    <row r="7517" spans="6:6" x14ac:dyDescent="0.35">
      <c r="F7517"/>
    </row>
    <row r="7518" spans="6:6" x14ac:dyDescent="0.35">
      <c r="F7518"/>
    </row>
    <row r="7519" spans="6:6" x14ac:dyDescent="0.35">
      <c r="F7519"/>
    </row>
    <row r="7520" spans="6:6" x14ac:dyDescent="0.35">
      <c r="F7520"/>
    </row>
    <row r="7521" spans="6:6" x14ac:dyDescent="0.35">
      <c r="F7521"/>
    </row>
    <row r="7522" spans="6:6" x14ac:dyDescent="0.35">
      <c r="F7522"/>
    </row>
    <row r="7523" spans="6:6" x14ac:dyDescent="0.35">
      <c r="F7523"/>
    </row>
    <row r="7524" spans="6:6" x14ac:dyDescent="0.35">
      <c r="F7524"/>
    </row>
    <row r="7525" spans="6:6" x14ac:dyDescent="0.35">
      <c r="F7525"/>
    </row>
    <row r="7526" spans="6:6" x14ac:dyDescent="0.35">
      <c r="F7526"/>
    </row>
    <row r="7527" spans="6:6" x14ac:dyDescent="0.35">
      <c r="F7527"/>
    </row>
    <row r="7528" spans="6:6" x14ac:dyDescent="0.35">
      <c r="F7528"/>
    </row>
    <row r="7529" spans="6:6" x14ac:dyDescent="0.35">
      <c r="F7529"/>
    </row>
    <row r="7530" spans="6:6" x14ac:dyDescent="0.35">
      <c r="F7530"/>
    </row>
    <row r="7531" spans="6:6" x14ac:dyDescent="0.35">
      <c r="F7531"/>
    </row>
    <row r="7532" spans="6:6" x14ac:dyDescent="0.35">
      <c r="F7532"/>
    </row>
    <row r="7533" spans="6:6" x14ac:dyDescent="0.35">
      <c r="F7533"/>
    </row>
    <row r="7534" spans="6:6" x14ac:dyDescent="0.35">
      <c r="F7534"/>
    </row>
    <row r="7535" spans="6:6" x14ac:dyDescent="0.35">
      <c r="F7535"/>
    </row>
    <row r="7536" spans="6:6" x14ac:dyDescent="0.35">
      <c r="F7536"/>
    </row>
    <row r="7537" spans="6:6" x14ac:dyDescent="0.35">
      <c r="F7537"/>
    </row>
    <row r="7538" spans="6:6" x14ac:dyDescent="0.35">
      <c r="F7538"/>
    </row>
    <row r="7539" spans="6:6" x14ac:dyDescent="0.35">
      <c r="F7539"/>
    </row>
    <row r="7540" spans="6:6" x14ac:dyDescent="0.35">
      <c r="F7540"/>
    </row>
    <row r="7541" spans="6:6" x14ac:dyDescent="0.35">
      <c r="F7541"/>
    </row>
    <row r="7542" spans="6:6" x14ac:dyDescent="0.35">
      <c r="F7542"/>
    </row>
    <row r="7543" spans="6:6" x14ac:dyDescent="0.35">
      <c r="F7543"/>
    </row>
    <row r="7544" spans="6:6" x14ac:dyDescent="0.35">
      <c r="F7544"/>
    </row>
    <row r="7545" spans="6:6" x14ac:dyDescent="0.35">
      <c r="F7545"/>
    </row>
    <row r="7546" spans="6:6" x14ac:dyDescent="0.35">
      <c r="F7546"/>
    </row>
    <row r="7547" spans="6:6" x14ac:dyDescent="0.35">
      <c r="F7547"/>
    </row>
    <row r="7548" spans="6:6" x14ac:dyDescent="0.35">
      <c r="F7548"/>
    </row>
    <row r="7549" spans="6:6" x14ac:dyDescent="0.35">
      <c r="F7549"/>
    </row>
    <row r="7550" spans="6:6" x14ac:dyDescent="0.35">
      <c r="F7550"/>
    </row>
    <row r="7551" spans="6:6" x14ac:dyDescent="0.35">
      <c r="F7551"/>
    </row>
    <row r="7552" spans="6:6" x14ac:dyDescent="0.35">
      <c r="F7552"/>
    </row>
    <row r="7553" spans="6:6" x14ac:dyDescent="0.35">
      <c r="F7553"/>
    </row>
    <row r="7554" spans="6:6" x14ac:dyDescent="0.35">
      <c r="F7554"/>
    </row>
    <row r="7555" spans="6:6" x14ac:dyDescent="0.35">
      <c r="F7555"/>
    </row>
    <row r="7556" spans="6:6" x14ac:dyDescent="0.35">
      <c r="F7556"/>
    </row>
    <row r="7557" spans="6:6" x14ac:dyDescent="0.35">
      <c r="F7557"/>
    </row>
    <row r="7558" spans="6:6" x14ac:dyDescent="0.35">
      <c r="F7558"/>
    </row>
    <row r="7559" spans="6:6" x14ac:dyDescent="0.35">
      <c r="F7559"/>
    </row>
    <row r="7560" spans="6:6" x14ac:dyDescent="0.35">
      <c r="F7560"/>
    </row>
    <row r="7561" spans="6:6" x14ac:dyDescent="0.35">
      <c r="F7561"/>
    </row>
    <row r="7562" spans="6:6" x14ac:dyDescent="0.35">
      <c r="F7562"/>
    </row>
    <row r="7563" spans="6:6" x14ac:dyDescent="0.35">
      <c r="F7563"/>
    </row>
    <row r="7564" spans="6:6" x14ac:dyDescent="0.35">
      <c r="F7564"/>
    </row>
    <row r="7565" spans="6:6" x14ac:dyDescent="0.35">
      <c r="F7565"/>
    </row>
    <row r="7566" spans="6:6" x14ac:dyDescent="0.35">
      <c r="F7566"/>
    </row>
    <row r="7567" spans="6:6" x14ac:dyDescent="0.35">
      <c r="F7567"/>
    </row>
    <row r="7568" spans="6:6" x14ac:dyDescent="0.35">
      <c r="F7568"/>
    </row>
    <row r="7569" spans="6:6" x14ac:dyDescent="0.35">
      <c r="F7569"/>
    </row>
    <row r="7570" spans="6:6" x14ac:dyDescent="0.35">
      <c r="F7570"/>
    </row>
    <row r="7571" spans="6:6" x14ac:dyDescent="0.35">
      <c r="F7571"/>
    </row>
    <row r="7572" spans="6:6" x14ac:dyDescent="0.35">
      <c r="F7572"/>
    </row>
    <row r="7573" spans="6:6" x14ac:dyDescent="0.35">
      <c r="F7573"/>
    </row>
    <row r="7574" spans="6:6" x14ac:dyDescent="0.35">
      <c r="F7574"/>
    </row>
    <row r="7575" spans="6:6" x14ac:dyDescent="0.35">
      <c r="F7575"/>
    </row>
    <row r="7576" spans="6:6" x14ac:dyDescent="0.35">
      <c r="F7576"/>
    </row>
    <row r="7577" spans="6:6" x14ac:dyDescent="0.35">
      <c r="F7577"/>
    </row>
    <row r="7578" spans="6:6" x14ac:dyDescent="0.35">
      <c r="F7578"/>
    </row>
    <row r="7579" spans="6:6" x14ac:dyDescent="0.35">
      <c r="F7579"/>
    </row>
    <row r="7580" spans="6:6" x14ac:dyDescent="0.35">
      <c r="F7580"/>
    </row>
    <row r="7581" spans="6:6" x14ac:dyDescent="0.35">
      <c r="F7581"/>
    </row>
    <row r="7582" spans="6:6" x14ac:dyDescent="0.35">
      <c r="F7582"/>
    </row>
    <row r="7583" spans="6:6" x14ac:dyDescent="0.35">
      <c r="F7583"/>
    </row>
    <row r="7584" spans="6:6" x14ac:dyDescent="0.35">
      <c r="F7584"/>
    </row>
    <row r="7585" spans="6:6" x14ac:dyDescent="0.35">
      <c r="F7585"/>
    </row>
    <row r="7586" spans="6:6" x14ac:dyDescent="0.35">
      <c r="F7586"/>
    </row>
    <row r="7587" spans="6:6" x14ac:dyDescent="0.35">
      <c r="F7587"/>
    </row>
    <row r="7588" spans="6:6" x14ac:dyDescent="0.35">
      <c r="F7588"/>
    </row>
    <row r="7589" spans="6:6" x14ac:dyDescent="0.35">
      <c r="F7589"/>
    </row>
    <row r="7590" spans="6:6" x14ac:dyDescent="0.35">
      <c r="F7590"/>
    </row>
    <row r="7591" spans="6:6" x14ac:dyDescent="0.35">
      <c r="F7591"/>
    </row>
    <row r="7592" spans="6:6" x14ac:dyDescent="0.35">
      <c r="F7592"/>
    </row>
    <row r="7593" spans="6:6" x14ac:dyDescent="0.35">
      <c r="F7593"/>
    </row>
    <row r="7594" spans="6:6" x14ac:dyDescent="0.35">
      <c r="F7594"/>
    </row>
    <row r="7595" spans="6:6" x14ac:dyDescent="0.35">
      <c r="F7595"/>
    </row>
    <row r="7596" spans="6:6" x14ac:dyDescent="0.35">
      <c r="F7596"/>
    </row>
    <row r="7597" spans="6:6" x14ac:dyDescent="0.35">
      <c r="F7597"/>
    </row>
    <row r="7598" spans="6:6" x14ac:dyDescent="0.35">
      <c r="F7598"/>
    </row>
    <row r="7599" spans="6:6" x14ac:dyDescent="0.35">
      <c r="F7599"/>
    </row>
    <row r="7600" spans="6:6" x14ac:dyDescent="0.35">
      <c r="F7600"/>
    </row>
    <row r="7601" spans="6:6" x14ac:dyDescent="0.35">
      <c r="F7601"/>
    </row>
    <row r="7602" spans="6:6" x14ac:dyDescent="0.35">
      <c r="F7602"/>
    </row>
    <row r="7603" spans="6:6" x14ac:dyDescent="0.35">
      <c r="F7603"/>
    </row>
    <row r="7604" spans="6:6" x14ac:dyDescent="0.35">
      <c r="F7604"/>
    </row>
    <row r="7605" spans="6:6" x14ac:dyDescent="0.35">
      <c r="F7605"/>
    </row>
    <row r="7606" spans="6:6" x14ac:dyDescent="0.35">
      <c r="F7606"/>
    </row>
    <row r="7607" spans="6:6" x14ac:dyDescent="0.35">
      <c r="F7607"/>
    </row>
    <row r="7608" spans="6:6" x14ac:dyDescent="0.35">
      <c r="F7608"/>
    </row>
    <row r="7609" spans="6:6" x14ac:dyDescent="0.35">
      <c r="F7609"/>
    </row>
    <row r="7610" spans="6:6" x14ac:dyDescent="0.35">
      <c r="F7610"/>
    </row>
    <row r="7611" spans="6:6" x14ac:dyDescent="0.35">
      <c r="F7611"/>
    </row>
    <row r="7612" spans="6:6" x14ac:dyDescent="0.35">
      <c r="F7612"/>
    </row>
    <row r="7613" spans="6:6" x14ac:dyDescent="0.35">
      <c r="F7613"/>
    </row>
    <row r="7614" spans="6:6" x14ac:dyDescent="0.35">
      <c r="F7614"/>
    </row>
    <row r="7615" spans="6:6" x14ac:dyDescent="0.35">
      <c r="F7615"/>
    </row>
    <row r="7616" spans="6:6" x14ac:dyDescent="0.35">
      <c r="F7616"/>
    </row>
    <row r="7617" spans="6:6" x14ac:dyDescent="0.35">
      <c r="F7617"/>
    </row>
    <row r="7618" spans="6:6" x14ac:dyDescent="0.35">
      <c r="F7618"/>
    </row>
    <row r="7619" spans="6:6" x14ac:dyDescent="0.35">
      <c r="F7619"/>
    </row>
    <row r="7620" spans="6:6" x14ac:dyDescent="0.35">
      <c r="F7620"/>
    </row>
    <row r="7621" spans="6:6" x14ac:dyDescent="0.35">
      <c r="F7621"/>
    </row>
    <row r="7622" spans="6:6" x14ac:dyDescent="0.35">
      <c r="F7622"/>
    </row>
    <row r="7623" spans="6:6" x14ac:dyDescent="0.35">
      <c r="F7623"/>
    </row>
    <row r="7624" spans="6:6" x14ac:dyDescent="0.35">
      <c r="F7624"/>
    </row>
    <row r="7625" spans="6:6" x14ac:dyDescent="0.35">
      <c r="F7625"/>
    </row>
    <row r="7626" spans="6:6" x14ac:dyDescent="0.35">
      <c r="F7626"/>
    </row>
    <row r="7627" spans="6:6" x14ac:dyDescent="0.35">
      <c r="F7627"/>
    </row>
    <row r="7628" spans="6:6" x14ac:dyDescent="0.35">
      <c r="F7628"/>
    </row>
    <row r="7629" spans="6:6" x14ac:dyDescent="0.35">
      <c r="F7629"/>
    </row>
    <row r="7630" spans="6:6" x14ac:dyDescent="0.35">
      <c r="F7630"/>
    </row>
    <row r="7631" spans="6:6" x14ac:dyDescent="0.35">
      <c r="F7631"/>
    </row>
    <row r="7632" spans="6:6" x14ac:dyDescent="0.35">
      <c r="F7632"/>
    </row>
    <row r="7633" spans="6:6" x14ac:dyDescent="0.35">
      <c r="F7633"/>
    </row>
    <row r="7634" spans="6:6" x14ac:dyDescent="0.35">
      <c r="F7634"/>
    </row>
    <row r="7635" spans="6:6" x14ac:dyDescent="0.35">
      <c r="F7635"/>
    </row>
    <row r="7636" spans="6:6" x14ac:dyDescent="0.35">
      <c r="F7636"/>
    </row>
    <row r="7637" spans="6:6" x14ac:dyDescent="0.35">
      <c r="F7637"/>
    </row>
    <row r="7638" spans="6:6" x14ac:dyDescent="0.35">
      <c r="F7638"/>
    </row>
    <row r="7639" spans="6:6" x14ac:dyDescent="0.35">
      <c r="F7639"/>
    </row>
    <row r="7640" spans="6:6" x14ac:dyDescent="0.35">
      <c r="F7640"/>
    </row>
    <row r="7641" spans="6:6" x14ac:dyDescent="0.35">
      <c r="F7641"/>
    </row>
    <row r="7642" spans="6:6" x14ac:dyDescent="0.35">
      <c r="F7642"/>
    </row>
    <row r="7643" spans="6:6" x14ac:dyDescent="0.35">
      <c r="F7643"/>
    </row>
    <row r="7644" spans="6:6" x14ac:dyDescent="0.35">
      <c r="F7644"/>
    </row>
    <row r="7645" spans="6:6" x14ac:dyDescent="0.35">
      <c r="F7645"/>
    </row>
    <row r="7646" spans="6:6" x14ac:dyDescent="0.35">
      <c r="F7646"/>
    </row>
    <row r="7647" spans="6:6" x14ac:dyDescent="0.35">
      <c r="F7647"/>
    </row>
    <row r="7648" spans="6:6" x14ac:dyDescent="0.35">
      <c r="F7648"/>
    </row>
    <row r="7649" spans="6:6" x14ac:dyDescent="0.35">
      <c r="F7649"/>
    </row>
    <row r="7650" spans="6:6" x14ac:dyDescent="0.35">
      <c r="F7650"/>
    </row>
    <row r="7651" spans="6:6" x14ac:dyDescent="0.35">
      <c r="F7651"/>
    </row>
    <row r="7652" spans="6:6" x14ac:dyDescent="0.35">
      <c r="F7652"/>
    </row>
    <row r="7653" spans="6:6" x14ac:dyDescent="0.35">
      <c r="F7653"/>
    </row>
    <row r="7654" spans="6:6" x14ac:dyDescent="0.35">
      <c r="F7654"/>
    </row>
    <row r="7655" spans="6:6" x14ac:dyDescent="0.35">
      <c r="F7655"/>
    </row>
    <row r="7656" spans="6:6" x14ac:dyDescent="0.35">
      <c r="F7656"/>
    </row>
    <row r="7657" spans="6:6" x14ac:dyDescent="0.35">
      <c r="F7657"/>
    </row>
    <row r="7658" spans="6:6" x14ac:dyDescent="0.35">
      <c r="F7658"/>
    </row>
    <row r="7659" spans="6:6" x14ac:dyDescent="0.35">
      <c r="F7659"/>
    </row>
    <row r="7660" spans="6:6" x14ac:dyDescent="0.35">
      <c r="F7660"/>
    </row>
    <row r="7661" spans="6:6" x14ac:dyDescent="0.35">
      <c r="F7661"/>
    </row>
    <row r="7662" spans="6:6" x14ac:dyDescent="0.35">
      <c r="F7662"/>
    </row>
    <row r="7663" spans="6:6" x14ac:dyDescent="0.35">
      <c r="F7663"/>
    </row>
    <row r="7664" spans="6:6" x14ac:dyDescent="0.35">
      <c r="F7664"/>
    </row>
    <row r="7665" spans="6:6" x14ac:dyDescent="0.35">
      <c r="F7665"/>
    </row>
    <row r="7666" spans="6:6" x14ac:dyDescent="0.35">
      <c r="F7666"/>
    </row>
    <row r="7667" spans="6:6" x14ac:dyDescent="0.35">
      <c r="F7667"/>
    </row>
    <row r="7668" spans="6:6" x14ac:dyDescent="0.35">
      <c r="F7668"/>
    </row>
    <row r="7669" spans="6:6" x14ac:dyDescent="0.35">
      <c r="F7669"/>
    </row>
    <row r="7670" spans="6:6" x14ac:dyDescent="0.35">
      <c r="F7670"/>
    </row>
    <row r="7671" spans="6:6" x14ac:dyDescent="0.35">
      <c r="F7671"/>
    </row>
    <row r="7672" spans="6:6" x14ac:dyDescent="0.35">
      <c r="F7672"/>
    </row>
    <row r="7673" spans="6:6" x14ac:dyDescent="0.35">
      <c r="F7673"/>
    </row>
    <row r="7674" spans="6:6" x14ac:dyDescent="0.35">
      <c r="F7674"/>
    </row>
    <row r="7675" spans="6:6" x14ac:dyDescent="0.35">
      <c r="F7675"/>
    </row>
    <row r="7676" spans="6:6" x14ac:dyDescent="0.35">
      <c r="F7676"/>
    </row>
    <row r="7677" spans="6:6" x14ac:dyDescent="0.35">
      <c r="F7677"/>
    </row>
    <row r="7678" spans="6:6" x14ac:dyDescent="0.35">
      <c r="F7678"/>
    </row>
    <row r="7679" spans="6:6" x14ac:dyDescent="0.35">
      <c r="F7679"/>
    </row>
    <row r="7680" spans="6:6" x14ac:dyDescent="0.35">
      <c r="F7680"/>
    </row>
    <row r="7681" spans="6:6" x14ac:dyDescent="0.35">
      <c r="F7681"/>
    </row>
    <row r="7682" spans="6:6" x14ac:dyDescent="0.35">
      <c r="F7682"/>
    </row>
    <row r="7683" spans="6:6" x14ac:dyDescent="0.35">
      <c r="F7683"/>
    </row>
    <row r="7684" spans="6:6" x14ac:dyDescent="0.35">
      <c r="F7684"/>
    </row>
    <row r="7685" spans="6:6" x14ac:dyDescent="0.35">
      <c r="F7685"/>
    </row>
    <row r="7686" spans="6:6" x14ac:dyDescent="0.35">
      <c r="F7686"/>
    </row>
    <row r="7687" spans="6:6" x14ac:dyDescent="0.35">
      <c r="F7687"/>
    </row>
    <row r="7688" spans="6:6" x14ac:dyDescent="0.35">
      <c r="F7688"/>
    </row>
    <row r="7689" spans="6:6" x14ac:dyDescent="0.35">
      <c r="F7689"/>
    </row>
    <row r="7690" spans="6:6" x14ac:dyDescent="0.35">
      <c r="F7690"/>
    </row>
    <row r="7691" spans="6:6" x14ac:dyDescent="0.35">
      <c r="F7691"/>
    </row>
    <row r="7692" spans="6:6" x14ac:dyDescent="0.35">
      <c r="F7692"/>
    </row>
    <row r="7693" spans="6:6" x14ac:dyDescent="0.35">
      <c r="F7693"/>
    </row>
    <row r="7694" spans="6:6" x14ac:dyDescent="0.35">
      <c r="F7694"/>
    </row>
    <row r="7695" spans="6:6" x14ac:dyDescent="0.35">
      <c r="F7695"/>
    </row>
    <row r="7696" spans="6:6" x14ac:dyDescent="0.35">
      <c r="F7696"/>
    </row>
    <row r="7697" spans="6:6" x14ac:dyDescent="0.35">
      <c r="F7697"/>
    </row>
    <row r="7698" spans="6:6" x14ac:dyDescent="0.35">
      <c r="F7698"/>
    </row>
    <row r="7699" spans="6:6" x14ac:dyDescent="0.35">
      <c r="F7699"/>
    </row>
    <row r="7700" spans="6:6" x14ac:dyDescent="0.35">
      <c r="F7700"/>
    </row>
    <row r="7701" spans="6:6" x14ac:dyDescent="0.35">
      <c r="F7701"/>
    </row>
    <row r="7702" spans="6:6" x14ac:dyDescent="0.35">
      <c r="F7702"/>
    </row>
    <row r="7703" spans="6:6" x14ac:dyDescent="0.35">
      <c r="F7703"/>
    </row>
    <row r="7704" spans="6:6" x14ac:dyDescent="0.35">
      <c r="F7704"/>
    </row>
    <row r="7705" spans="6:6" x14ac:dyDescent="0.35">
      <c r="F7705"/>
    </row>
    <row r="7706" spans="6:6" x14ac:dyDescent="0.35">
      <c r="F7706"/>
    </row>
    <row r="7707" spans="6:6" x14ac:dyDescent="0.35">
      <c r="F7707"/>
    </row>
    <row r="7708" spans="6:6" x14ac:dyDescent="0.35">
      <c r="F7708"/>
    </row>
    <row r="7709" spans="6:6" x14ac:dyDescent="0.35">
      <c r="F7709"/>
    </row>
    <row r="7710" spans="6:6" x14ac:dyDescent="0.35">
      <c r="F7710"/>
    </row>
    <row r="7711" spans="6:6" x14ac:dyDescent="0.35">
      <c r="F7711"/>
    </row>
    <row r="7712" spans="6:6" x14ac:dyDescent="0.35">
      <c r="F7712"/>
    </row>
    <row r="7713" spans="6:6" x14ac:dyDescent="0.35">
      <c r="F7713"/>
    </row>
    <row r="7714" spans="6:6" x14ac:dyDescent="0.35">
      <c r="F7714"/>
    </row>
    <row r="7715" spans="6:6" x14ac:dyDescent="0.35">
      <c r="F7715"/>
    </row>
    <row r="7716" spans="6:6" x14ac:dyDescent="0.35">
      <c r="F7716"/>
    </row>
    <row r="7717" spans="6:6" x14ac:dyDescent="0.35">
      <c r="F7717"/>
    </row>
    <row r="7718" spans="6:6" x14ac:dyDescent="0.35">
      <c r="F7718"/>
    </row>
    <row r="7719" spans="6:6" x14ac:dyDescent="0.35">
      <c r="F7719"/>
    </row>
    <row r="7720" spans="6:6" x14ac:dyDescent="0.35">
      <c r="F7720"/>
    </row>
    <row r="7721" spans="6:6" x14ac:dyDescent="0.35">
      <c r="F7721"/>
    </row>
    <row r="7722" spans="6:6" x14ac:dyDescent="0.35">
      <c r="F7722"/>
    </row>
    <row r="7723" spans="6:6" x14ac:dyDescent="0.35">
      <c r="F7723"/>
    </row>
    <row r="7724" spans="6:6" x14ac:dyDescent="0.35">
      <c r="F7724"/>
    </row>
    <row r="7725" spans="6:6" x14ac:dyDescent="0.35">
      <c r="F7725"/>
    </row>
    <row r="7726" spans="6:6" x14ac:dyDescent="0.35">
      <c r="F7726"/>
    </row>
    <row r="7727" spans="6:6" x14ac:dyDescent="0.35">
      <c r="F7727"/>
    </row>
    <row r="7728" spans="6:6" x14ac:dyDescent="0.35">
      <c r="F7728"/>
    </row>
    <row r="7729" spans="6:6" x14ac:dyDescent="0.35">
      <c r="F7729"/>
    </row>
    <row r="7730" spans="6:6" x14ac:dyDescent="0.35">
      <c r="F7730"/>
    </row>
    <row r="7731" spans="6:6" x14ac:dyDescent="0.35">
      <c r="F7731"/>
    </row>
    <row r="7732" spans="6:6" x14ac:dyDescent="0.35">
      <c r="F7732"/>
    </row>
    <row r="7733" spans="6:6" x14ac:dyDescent="0.35">
      <c r="F7733"/>
    </row>
    <row r="7734" spans="6:6" x14ac:dyDescent="0.35">
      <c r="F7734"/>
    </row>
    <row r="7735" spans="6:6" x14ac:dyDescent="0.35">
      <c r="F7735"/>
    </row>
    <row r="7736" spans="6:6" x14ac:dyDescent="0.35">
      <c r="F7736"/>
    </row>
    <row r="7737" spans="6:6" x14ac:dyDescent="0.35">
      <c r="F7737"/>
    </row>
    <row r="7738" spans="6:6" x14ac:dyDescent="0.35">
      <c r="F7738"/>
    </row>
    <row r="7739" spans="6:6" x14ac:dyDescent="0.35">
      <c r="F7739"/>
    </row>
    <row r="7740" spans="6:6" x14ac:dyDescent="0.35">
      <c r="F7740"/>
    </row>
    <row r="7741" spans="6:6" x14ac:dyDescent="0.35">
      <c r="F7741"/>
    </row>
    <row r="7742" spans="6:6" x14ac:dyDescent="0.35">
      <c r="F7742"/>
    </row>
    <row r="7743" spans="6:6" x14ac:dyDescent="0.35">
      <c r="F7743"/>
    </row>
    <row r="7744" spans="6:6" x14ac:dyDescent="0.35">
      <c r="F7744"/>
    </row>
    <row r="7745" spans="6:6" x14ac:dyDescent="0.35">
      <c r="F7745"/>
    </row>
    <row r="7746" spans="6:6" x14ac:dyDescent="0.35">
      <c r="F7746"/>
    </row>
    <row r="7747" spans="6:6" x14ac:dyDescent="0.35">
      <c r="F7747"/>
    </row>
    <row r="7748" spans="6:6" x14ac:dyDescent="0.35">
      <c r="F7748"/>
    </row>
    <row r="7749" spans="6:6" x14ac:dyDescent="0.35">
      <c r="F7749"/>
    </row>
    <row r="7750" spans="6:6" x14ac:dyDescent="0.35">
      <c r="F7750"/>
    </row>
    <row r="7751" spans="6:6" x14ac:dyDescent="0.35">
      <c r="F7751"/>
    </row>
    <row r="7752" spans="6:6" x14ac:dyDescent="0.35">
      <c r="F7752"/>
    </row>
    <row r="7753" spans="6:6" x14ac:dyDescent="0.35">
      <c r="F7753"/>
    </row>
    <row r="7754" spans="6:6" x14ac:dyDescent="0.35">
      <c r="F7754"/>
    </row>
    <row r="7755" spans="6:6" x14ac:dyDescent="0.35">
      <c r="F7755"/>
    </row>
    <row r="7756" spans="6:6" x14ac:dyDescent="0.35">
      <c r="F7756"/>
    </row>
    <row r="7757" spans="6:6" x14ac:dyDescent="0.35">
      <c r="F7757"/>
    </row>
    <row r="7758" spans="6:6" x14ac:dyDescent="0.35">
      <c r="F7758"/>
    </row>
    <row r="7759" spans="6:6" x14ac:dyDescent="0.35">
      <c r="F7759"/>
    </row>
    <row r="7760" spans="6:6" x14ac:dyDescent="0.35">
      <c r="F7760"/>
    </row>
    <row r="7761" spans="6:6" x14ac:dyDescent="0.35">
      <c r="F7761"/>
    </row>
    <row r="7762" spans="6:6" x14ac:dyDescent="0.35">
      <c r="F7762"/>
    </row>
    <row r="7763" spans="6:6" x14ac:dyDescent="0.35">
      <c r="F7763"/>
    </row>
    <row r="7764" spans="6:6" x14ac:dyDescent="0.35">
      <c r="F7764"/>
    </row>
    <row r="7765" spans="6:6" x14ac:dyDescent="0.35">
      <c r="F7765"/>
    </row>
    <row r="7766" spans="6:6" x14ac:dyDescent="0.35">
      <c r="F7766"/>
    </row>
    <row r="7767" spans="6:6" x14ac:dyDescent="0.35">
      <c r="F7767"/>
    </row>
    <row r="7768" spans="6:6" x14ac:dyDescent="0.35">
      <c r="F7768"/>
    </row>
    <row r="7769" spans="6:6" x14ac:dyDescent="0.35">
      <c r="F7769"/>
    </row>
    <row r="7770" spans="6:6" x14ac:dyDescent="0.35">
      <c r="F7770"/>
    </row>
    <row r="7771" spans="6:6" x14ac:dyDescent="0.35">
      <c r="F7771"/>
    </row>
    <row r="7772" spans="6:6" x14ac:dyDescent="0.35">
      <c r="F7772"/>
    </row>
    <row r="7773" spans="6:6" x14ac:dyDescent="0.35">
      <c r="F7773"/>
    </row>
    <row r="7774" spans="6:6" x14ac:dyDescent="0.35">
      <c r="F7774"/>
    </row>
    <row r="7775" spans="6:6" x14ac:dyDescent="0.35">
      <c r="F7775"/>
    </row>
    <row r="7776" spans="6:6" x14ac:dyDescent="0.35">
      <c r="F7776"/>
    </row>
    <row r="7777" spans="6:6" x14ac:dyDescent="0.35">
      <c r="F7777"/>
    </row>
    <row r="7778" spans="6:6" x14ac:dyDescent="0.35">
      <c r="F7778"/>
    </row>
    <row r="7779" spans="6:6" x14ac:dyDescent="0.35">
      <c r="F7779"/>
    </row>
    <row r="7780" spans="6:6" x14ac:dyDescent="0.35">
      <c r="F7780"/>
    </row>
    <row r="7781" spans="6:6" x14ac:dyDescent="0.35">
      <c r="F7781"/>
    </row>
    <row r="7782" spans="6:6" x14ac:dyDescent="0.35">
      <c r="F7782"/>
    </row>
    <row r="7783" spans="6:6" x14ac:dyDescent="0.35">
      <c r="F7783"/>
    </row>
    <row r="7784" spans="6:6" x14ac:dyDescent="0.35">
      <c r="F7784"/>
    </row>
    <row r="7785" spans="6:6" x14ac:dyDescent="0.35">
      <c r="F7785"/>
    </row>
    <row r="7786" spans="6:6" x14ac:dyDescent="0.35">
      <c r="F7786"/>
    </row>
    <row r="7787" spans="6:6" x14ac:dyDescent="0.35">
      <c r="F7787"/>
    </row>
    <row r="7788" spans="6:6" x14ac:dyDescent="0.35">
      <c r="F7788"/>
    </row>
    <row r="7789" spans="6:6" x14ac:dyDescent="0.35">
      <c r="F7789"/>
    </row>
    <row r="7790" spans="6:6" x14ac:dyDescent="0.35">
      <c r="F7790"/>
    </row>
    <row r="7791" spans="6:6" x14ac:dyDescent="0.35">
      <c r="F7791"/>
    </row>
    <row r="7792" spans="6:6" x14ac:dyDescent="0.35">
      <c r="F7792"/>
    </row>
    <row r="7793" spans="6:6" x14ac:dyDescent="0.35">
      <c r="F7793"/>
    </row>
    <row r="7794" spans="6:6" x14ac:dyDescent="0.35">
      <c r="F7794"/>
    </row>
    <row r="7795" spans="6:6" x14ac:dyDescent="0.35">
      <c r="F7795"/>
    </row>
    <row r="7796" spans="6:6" x14ac:dyDescent="0.35">
      <c r="F7796"/>
    </row>
    <row r="7797" spans="6:6" x14ac:dyDescent="0.35">
      <c r="F7797"/>
    </row>
    <row r="7798" spans="6:6" x14ac:dyDescent="0.35">
      <c r="F7798"/>
    </row>
    <row r="7799" spans="6:6" x14ac:dyDescent="0.35">
      <c r="F7799"/>
    </row>
    <row r="7800" spans="6:6" x14ac:dyDescent="0.35">
      <c r="F7800"/>
    </row>
    <row r="7801" spans="6:6" x14ac:dyDescent="0.35">
      <c r="F7801"/>
    </row>
    <row r="7802" spans="6:6" x14ac:dyDescent="0.35">
      <c r="F7802"/>
    </row>
    <row r="7803" spans="6:6" x14ac:dyDescent="0.35">
      <c r="F7803"/>
    </row>
    <row r="7804" spans="6:6" x14ac:dyDescent="0.35">
      <c r="F7804"/>
    </row>
    <row r="7805" spans="6:6" x14ac:dyDescent="0.35">
      <c r="F7805"/>
    </row>
    <row r="7806" spans="6:6" x14ac:dyDescent="0.35">
      <c r="F7806"/>
    </row>
    <row r="7807" spans="6:6" x14ac:dyDescent="0.35">
      <c r="F7807"/>
    </row>
    <row r="7808" spans="6:6" x14ac:dyDescent="0.35">
      <c r="F7808"/>
    </row>
    <row r="7809" spans="6:6" x14ac:dyDescent="0.35">
      <c r="F7809"/>
    </row>
    <row r="7810" spans="6:6" x14ac:dyDescent="0.35">
      <c r="F7810"/>
    </row>
    <row r="7811" spans="6:6" x14ac:dyDescent="0.35">
      <c r="F7811"/>
    </row>
    <row r="7812" spans="6:6" x14ac:dyDescent="0.35">
      <c r="F7812"/>
    </row>
    <row r="7813" spans="6:6" x14ac:dyDescent="0.35">
      <c r="F7813"/>
    </row>
    <row r="7814" spans="6:6" x14ac:dyDescent="0.35">
      <c r="F7814"/>
    </row>
    <row r="7815" spans="6:6" x14ac:dyDescent="0.35">
      <c r="F7815"/>
    </row>
    <row r="7816" spans="6:6" x14ac:dyDescent="0.35">
      <c r="F7816"/>
    </row>
    <row r="7817" spans="6:6" x14ac:dyDescent="0.35">
      <c r="F7817"/>
    </row>
    <row r="7818" spans="6:6" x14ac:dyDescent="0.35">
      <c r="F7818"/>
    </row>
    <row r="7819" spans="6:6" x14ac:dyDescent="0.35">
      <c r="F7819"/>
    </row>
    <row r="7820" spans="6:6" x14ac:dyDescent="0.35">
      <c r="F7820"/>
    </row>
    <row r="7821" spans="6:6" x14ac:dyDescent="0.35">
      <c r="F7821"/>
    </row>
    <row r="7822" spans="6:6" x14ac:dyDescent="0.35">
      <c r="F7822"/>
    </row>
    <row r="7823" spans="6:6" x14ac:dyDescent="0.35">
      <c r="F7823"/>
    </row>
    <row r="7824" spans="6:6" x14ac:dyDescent="0.35">
      <c r="F7824"/>
    </row>
    <row r="7825" spans="6:6" x14ac:dyDescent="0.35">
      <c r="F7825"/>
    </row>
    <row r="7826" spans="6:6" x14ac:dyDescent="0.35">
      <c r="F7826"/>
    </row>
    <row r="7827" spans="6:6" x14ac:dyDescent="0.35">
      <c r="F7827"/>
    </row>
    <row r="7828" spans="6:6" x14ac:dyDescent="0.35">
      <c r="F7828"/>
    </row>
    <row r="7829" spans="6:6" x14ac:dyDescent="0.35">
      <c r="F7829"/>
    </row>
    <row r="7830" spans="6:6" x14ac:dyDescent="0.35">
      <c r="F7830"/>
    </row>
    <row r="7831" spans="6:6" x14ac:dyDescent="0.35">
      <c r="F7831"/>
    </row>
    <row r="7832" spans="6:6" x14ac:dyDescent="0.35">
      <c r="F7832"/>
    </row>
    <row r="7833" spans="6:6" x14ac:dyDescent="0.35">
      <c r="F7833"/>
    </row>
    <row r="7834" spans="6:6" x14ac:dyDescent="0.35">
      <c r="F7834"/>
    </row>
    <row r="7835" spans="6:6" x14ac:dyDescent="0.35">
      <c r="F7835"/>
    </row>
    <row r="7836" spans="6:6" x14ac:dyDescent="0.35">
      <c r="F7836"/>
    </row>
    <row r="7837" spans="6:6" x14ac:dyDescent="0.35">
      <c r="F7837"/>
    </row>
    <row r="7838" spans="6:6" x14ac:dyDescent="0.35">
      <c r="F7838"/>
    </row>
    <row r="7839" spans="6:6" x14ac:dyDescent="0.35">
      <c r="F7839"/>
    </row>
    <row r="7840" spans="6:6" x14ac:dyDescent="0.35">
      <c r="F7840"/>
    </row>
    <row r="7841" spans="6:6" x14ac:dyDescent="0.35">
      <c r="F7841"/>
    </row>
    <row r="7842" spans="6:6" x14ac:dyDescent="0.35">
      <c r="F7842"/>
    </row>
    <row r="7843" spans="6:6" x14ac:dyDescent="0.35">
      <c r="F7843"/>
    </row>
    <row r="7844" spans="6:6" x14ac:dyDescent="0.35">
      <c r="F7844"/>
    </row>
    <row r="7845" spans="6:6" x14ac:dyDescent="0.35">
      <c r="F7845"/>
    </row>
    <row r="7846" spans="6:6" x14ac:dyDescent="0.35">
      <c r="F7846"/>
    </row>
    <row r="7847" spans="6:6" x14ac:dyDescent="0.35">
      <c r="F7847"/>
    </row>
    <row r="7848" spans="6:6" x14ac:dyDescent="0.35">
      <c r="F7848"/>
    </row>
    <row r="7849" spans="6:6" x14ac:dyDescent="0.35">
      <c r="F7849"/>
    </row>
    <row r="7850" spans="6:6" x14ac:dyDescent="0.35">
      <c r="F7850"/>
    </row>
    <row r="7851" spans="6:6" x14ac:dyDescent="0.35">
      <c r="F7851"/>
    </row>
    <row r="7852" spans="6:6" x14ac:dyDescent="0.35">
      <c r="F7852"/>
    </row>
    <row r="7853" spans="6:6" x14ac:dyDescent="0.35">
      <c r="F7853"/>
    </row>
    <row r="7854" spans="6:6" x14ac:dyDescent="0.35">
      <c r="F7854"/>
    </row>
    <row r="7855" spans="6:6" x14ac:dyDescent="0.35">
      <c r="F7855"/>
    </row>
    <row r="7856" spans="6:6" x14ac:dyDescent="0.35">
      <c r="F7856"/>
    </row>
    <row r="7857" spans="6:6" x14ac:dyDescent="0.35">
      <c r="F7857"/>
    </row>
    <row r="7858" spans="6:6" x14ac:dyDescent="0.35">
      <c r="F7858"/>
    </row>
    <row r="7859" spans="6:6" x14ac:dyDescent="0.35">
      <c r="F7859"/>
    </row>
    <row r="7860" spans="6:6" x14ac:dyDescent="0.35">
      <c r="F7860"/>
    </row>
    <row r="7861" spans="6:6" x14ac:dyDescent="0.35">
      <c r="F7861"/>
    </row>
    <row r="7862" spans="6:6" x14ac:dyDescent="0.35">
      <c r="F7862"/>
    </row>
    <row r="7863" spans="6:6" x14ac:dyDescent="0.35">
      <c r="F7863"/>
    </row>
    <row r="7864" spans="6:6" x14ac:dyDescent="0.35">
      <c r="F7864"/>
    </row>
    <row r="7865" spans="6:6" x14ac:dyDescent="0.35">
      <c r="F7865"/>
    </row>
    <row r="7866" spans="6:6" x14ac:dyDescent="0.35">
      <c r="F7866"/>
    </row>
    <row r="7867" spans="6:6" x14ac:dyDescent="0.35">
      <c r="F7867"/>
    </row>
    <row r="7868" spans="6:6" x14ac:dyDescent="0.35">
      <c r="F7868"/>
    </row>
    <row r="7869" spans="6:6" x14ac:dyDescent="0.35">
      <c r="F7869"/>
    </row>
    <row r="7870" spans="6:6" x14ac:dyDescent="0.35">
      <c r="F7870"/>
    </row>
    <row r="7871" spans="6:6" x14ac:dyDescent="0.35">
      <c r="F7871"/>
    </row>
    <row r="7872" spans="6:6" x14ac:dyDescent="0.35">
      <c r="F7872"/>
    </row>
    <row r="7873" spans="6:6" x14ac:dyDescent="0.35">
      <c r="F7873"/>
    </row>
    <row r="7874" spans="6:6" x14ac:dyDescent="0.35">
      <c r="F7874"/>
    </row>
    <row r="7875" spans="6:6" x14ac:dyDescent="0.35">
      <c r="F7875"/>
    </row>
    <row r="7876" spans="6:6" x14ac:dyDescent="0.35">
      <c r="F7876"/>
    </row>
    <row r="7877" spans="6:6" x14ac:dyDescent="0.35">
      <c r="F7877"/>
    </row>
    <row r="7878" spans="6:6" x14ac:dyDescent="0.35">
      <c r="F7878"/>
    </row>
    <row r="7879" spans="6:6" x14ac:dyDescent="0.35">
      <c r="F7879"/>
    </row>
    <row r="7880" spans="6:6" x14ac:dyDescent="0.35">
      <c r="F7880"/>
    </row>
    <row r="7881" spans="6:6" x14ac:dyDescent="0.35">
      <c r="F7881"/>
    </row>
    <row r="7882" spans="6:6" x14ac:dyDescent="0.35">
      <c r="F7882"/>
    </row>
    <row r="7883" spans="6:6" x14ac:dyDescent="0.35">
      <c r="F7883"/>
    </row>
    <row r="7884" spans="6:6" x14ac:dyDescent="0.35">
      <c r="F7884"/>
    </row>
    <row r="7885" spans="6:6" x14ac:dyDescent="0.35">
      <c r="F7885"/>
    </row>
    <row r="7886" spans="6:6" x14ac:dyDescent="0.35">
      <c r="F7886"/>
    </row>
    <row r="7887" spans="6:6" x14ac:dyDescent="0.35">
      <c r="F7887"/>
    </row>
    <row r="7888" spans="6:6" x14ac:dyDescent="0.35">
      <c r="F7888"/>
    </row>
    <row r="7889" spans="6:6" x14ac:dyDescent="0.35">
      <c r="F7889"/>
    </row>
    <row r="7890" spans="6:6" x14ac:dyDescent="0.35">
      <c r="F7890"/>
    </row>
    <row r="7891" spans="6:6" x14ac:dyDescent="0.35">
      <c r="F7891"/>
    </row>
    <row r="7892" spans="6:6" x14ac:dyDescent="0.35">
      <c r="F7892"/>
    </row>
    <row r="7893" spans="6:6" x14ac:dyDescent="0.35">
      <c r="F7893"/>
    </row>
    <row r="7894" spans="6:6" x14ac:dyDescent="0.35">
      <c r="F7894"/>
    </row>
    <row r="7895" spans="6:6" x14ac:dyDescent="0.35">
      <c r="F7895"/>
    </row>
    <row r="7896" spans="6:6" x14ac:dyDescent="0.35">
      <c r="F7896"/>
    </row>
    <row r="7897" spans="6:6" x14ac:dyDescent="0.35">
      <c r="F7897"/>
    </row>
    <row r="7898" spans="6:6" x14ac:dyDescent="0.35">
      <c r="F7898"/>
    </row>
    <row r="7899" spans="6:6" x14ac:dyDescent="0.35">
      <c r="F7899"/>
    </row>
    <row r="7900" spans="6:6" x14ac:dyDescent="0.35">
      <c r="F7900"/>
    </row>
    <row r="7901" spans="6:6" x14ac:dyDescent="0.35">
      <c r="F7901"/>
    </row>
    <row r="7902" spans="6:6" x14ac:dyDescent="0.35">
      <c r="F7902"/>
    </row>
    <row r="7903" spans="6:6" x14ac:dyDescent="0.35">
      <c r="F7903"/>
    </row>
    <row r="7904" spans="6:6" x14ac:dyDescent="0.35">
      <c r="F7904"/>
    </row>
    <row r="7905" spans="6:6" x14ac:dyDescent="0.35">
      <c r="F7905"/>
    </row>
    <row r="7906" spans="6:6" x14ac:dyDescent="0.35">
      <c r="F7906"/>
    </row>
    <row r="7907" spans="6:6" x14ac:dyDescent="0.35">
      <c r="F7907"/>
    </row>
    <row r="7908" spans="6:6" x14ac:dyDescent="0.35">
      <c r="F7908"/>
    </row>
    <row r="7909" spans="6:6" x14ac:dyDescent="0.35">
      <c r="F7909"/>
    </row>
    <row r="7910" spans="6:6" x14ac:dyDescent="0.35">
      <c r="F7910"/>
    </row>
    <row r="7911" spans="6:6" x14ac:dyDescent="0.35">
      <c r="F7911"/>
    </row>
    <row r="7912" spans="6:6" x14ac:dyDescent="0.35">
      <c r="F7912"/>
    </row>
    <row r="7913" spans="6:6" x14ac:dyDescent="0.35">
      <c r="F7913"/>
    </row>
    <row r="7914" spans="6:6" x14ac:dyDescent="0.35">
      <c r="F7914"/>
    </row>
    <row r="7915" spans="6:6" x14ac:dyDescent="0.35">
      <c r="F7915"/>
    </row>
    <row r="7916" spans="6:6" x14ac:dyDescent="0.35">
      <c r="F7916"/>
    </row>
    <row r="7917" spans="6:6" x14ac:dyDescent="0.35">
      <c r="F7917"/>
    </row>
    <row r="7918" spans="6:6" x14ac:dyDescent="0.35">
      <c r="F7918"/>
    </row>
    <row r="7919" spans="6:6" x14ac:dyDescent="0.35">
      <c r="F7919"/>
    </row>
    <row r="7920" spans="6:6" x14ac:dyDescent="0.35">
      <c r="F7920"/>
    </row>
    <row r="7921" spans="6:6" x14ac:dyDescent="0.35">
      <c r="F7921"/>
    </row>
    <row r="7922" spans="6:6" x14ac:dyDescent="0.35">
      <c r="F7922"/>
    </row>
    <row r="7923" spans="6:6" x14ac:dyDescent="0.35">
      <c r="F7923"/>
    </row>
    <row r="7924" spans="6:6" x14ac:dyDescent="0.35">
      <c r="F7924"/>
    </row>
    <row r="7925" spans="6:6" x14ac:dyDescent="0.35">
      <c r="F7925"/>
    </row>
    <row r="7926" spans="6:6" x14ac:dyDescent="0.35">
      <c r="F7926"/>
    </row>
    <row r="7927" spans="6:6" x14ac:dyDescent="0.35">
      <c r="F7927"/>
    </row>
    <row r="7928" spans="6:6" x14ac:dyDescent="0.35">
      <c r="F7928"/>
    </row>
    <row r="7929" spans="6:6" x14ac:dyDescent="0.35">
      <c r="F7929"/>
    </row>
    <row r="7930" spans="6:6" x14ac:dyDescent="0.35">
      <c r="F7930"/>
    </row>
    <row r="7931" spans="6:6" x14ac:dyDescent="0.35">
      <c r="F7931"/>
    </row>
    <row r="7932" spans="6:6" x14ac:dyDescent="0.35">
      <c r="F7932"/>
    </row>
    <row r="7933" spans="6:6" x14ac:dyDescent="0.35">
      <c r="F7933"/>
    </row>
    <row r="7934" spans="6:6" x14ac:dyDescent="0.35">
      <c r="F7934"/>
    </row>
    <row r="7935" spans="6:6" x14ac:dyDescent="0.35">
      <c r="F7935"/>
    </row>
    <row r="7936" spans="6:6" x14ac:dyDescent="0.35">
      <c r="F7936"/>
    </row>
    <row r="7937" spans="6:6" x14ac:dyDescent="0.35">
      <c r="F7937"/>
    </row>
    <row r="7938" spans="6:6" x14ac:dyDescent="0.35">
      <c r="F7938"/>
    </row>
    <row r="7939" spans="6:6" x14ac:dyDescent="0.35">
      <c r="F7939"/>
    </row>
    <row r="7940" spans="6:6" x14ac:dyDescent="0.35">
      <c r="F7940"/>
    </row>
    <row r="7941" spans="6:6" x14ac:dyDescent="0.35">
      <c r="F7941"/>
    </row>
    <row r="7942" spans="6:6" x14ac:dyDescent="0.35">
      <c r="F7942"/>
    </row>
    <row r="7943" spans="6:6" x14ac:dyDescent="0.35">
      <c r="F7943"/>
    </row>
    <row r="7944" spans="6:6" x14ac:dyDescent="0.35">
      <c r="F7944"/>
    </row>
    <row r="7945" spans="6:6" x14ac:dyDescent="0.35">
      <c r="F7945"/>
    </row>
    <row r="7946" spans="6:6" x14ac:dyDescent="0.35">
      <c r="F7946"/>
    </row>
    <row r="7947" spans="6:6" x14ac:dyDescent="0.35">
      <c r="F7947"/>
    </row>
    <row r="7948" spans="6:6" x14ac:dyDescent="0.35">
      <c r="F7948"/>
    </row>
    <row r="7949" spans="6:6" x14ac:dyDescent="0.35">
      <c r="F7949"/>
    </row>
    <row r="7950" spans="6:6" x14ac:dyDescent="0.35">
      <c r="F7950"/>
    </row>
    <row r="7951" spans="6:6" x14ac:dyDescent="0.35">
      <c r="F7951"/>
    </row>
    <row r="7952" spans="6:6" x14ac:dyDescent="0.35">
      <c r="F7952"/>
    </row>
    <row r="7953" spans="6:6" x14ac:dyDescent="0.35">
      <c r="F7953"/>
    </row>
    <row r="7954" spans="6:6" x14ac:dyDescent="0.35">
      <c r="F7954"/>
    </row>
    <row r="7955" spans="6:6" x14ac:dyDescent="0.35">
      <c r="F7955"/>
    </row>
    <row r="7956" spans="6:6" x14ac:dyDescent="0.35">
      <c r="F7956"/>
    </row>
    <row r="7957" spans="6:6" x14ac:dyDescent="0.35">
      <c r="F7957"/>
    </row>
    <row r="7958" spans="6:6" x14ac:dyDescent="0.35">
      <c r="F7958"/>
    </row>
    <row r="7959" spans="6:6" x14ac:dyDescent="0.35">
      <c r="F7959"/>
    </row>
    <row r="7960" spans="6:6" x14ac:dyDescent="0.35">
      <c r="F7960"/>
    </row>
    <row r="7961" spans="6:6" x14ac:dyDescent="0.35">
      <c r="F7961"/>
    </row>
    <row r="7962" spans="6:6" x14ac:dyDescent="0.35">
      <c r="F7962"/>
    </row>
    <row r="7963" spans="6:6" x14ac:dyDescent="0.35">
      <c r="F7963"/>
    </row>
    <row r="7964" spans="6:6" x14ac:dyDescent="0.35">
      <c r="F7964"/>
    </row>
    <row r="7965" spans="6:6" x14ac:dyDescent="0.35">
      <c r="F7965"/>
    </row>
    <row r="7966" spans="6:6" x14ac:dyDescent="0.35">
      <c r="F7966"/>
    </row>
    <row r="7967" spans="6:6" x14ac:dyDescent="0.35">
      <c r="F7967"/>
    </row>
    <row r="7968" spans="6:6" x14ac:dyDescent="0.35">
      <c r="F7968"/>
    </row>
    <row r="7969" spans="6:6" x14ac:dyDescent="0.35">
      <c r="F7969"/>
    </row>
    <row r="7970" spans="6:6" x14ac:dyDescent="0.35">
      <c r="F7970"/>
    </row>
    <row r="7971" spans="6:6" x14ac:dyDescent="0.35">
      <c r="F7971"/>
    </row>
    <row r="7972" spans="6:6" x14ac:dyDescent="0.35">
      <c r="F7972"/>
    </row>
    <row r="7973" spans="6:6" x14ac:dyDescent="0.35">
      <c r="F7973"/>
    </row>
    <row r="7974" spans="6:6" x14ac:dyDescent="0.35">
      <c r="F7974"/>
    </row>
    <row r="7975" spans="6:6" x14ac:dyDescent="0.35">
      <c r="F7975"/>
    </row>
    <row r="7976" spans="6:6" x14ac:dyDescent="0.35">
      <c r="F7976"/>
    </row>
    <row r="7977" spans="6:6" x14ac:dyDescent="0.35">
      <c r="F7977"/>
    </row>
    <row r="7978" spans="6:6" x14ac:dyDescent="0.35">
      <c r="F7978"/>
    </row>
    <row r="7979" spans="6:6" x14ac:dyDescent="0.35">
      <c r="F7979"/>
    </row>
    <row r="7980" spans="6:6" x14ac:dyDescent="0.35">
      <c r="F7980"/>
    </row>
    <row r="7981" spans="6:6" x14ac:dyDescent="0.35">
      <c r="F7981"/>
    </row>
    <row r="7982" spans="6:6" x14ac:dyDescent="0.35">
      <c r="F7982"/>
    </row>
    <row r="7983" spans="6:6" x14ac:dyDescent="0.35">
      <c r="F7983"/>
    </row>
    <row r="7984" spans="6:6" x14ac:dyDescent="0.35">
      <c r="F7984"/>
    </row>
    <row r="7985" spans="6:6" x14ac:dyDescent="0.35">
      <c r="F7985"/>
    </row>
    <row r="7986" spans="6:6" x14ac:dyDescent="0.35">
      <c r="F7986"/>
    </row>
    <row r="7987" spans="6:6" x14ac:dyDescent="0.35">
      <c r="F7987"/>
    </row>
    <row r="7988" spans="6:6" x14ac:dyDescent="0.35">
      <c r="F7988"/>
    </row>
    <row r="7989" spans="6:6" x14ac:dyDescent="0.35">
      <c r="F7989"/>
    </row>
    <row r="7990" spans="6:6" x14ac:dyDescent="0.35">
      <c r="F7990"/>
    </row>
    <row r="7991" spans="6:6" x14ac:dyDescent="0.35">
      <c r="F7991"/>
    </row>
    <row r="7992" spans="6:6" x14ac:dyDescent="0.35">
      <c r="F7992"/>
    </row>
    <row r="7993" spans="6:6" x14ac:dyDescent="0.35">
      <c r="F7993"/>
    </row>
    <row r="7994" spans="6:6" x14ac:dyDescent="0.35">
      <c r="F7994"/>
    </row>
    <row r="7995" spans="6:6" x14ac:dyDescent="0.35">
      <c r="F7995"/>
    </row>
    <row r="7996" spans="6:6" x14ac:dyDescent="0.35">
      <c r="F7996"/>
    </row>
    <row r="7997" spans="6:6" x14ac:dyDescent="0.35">
      <c r="F7997"/>
    </row>
    <row r="7998" spans="6:6" x14ac:dyDescent="0.35">
      <c r="F7998"/>
    </row>
    <row r="7999" spans="6:6" x14ac:dyDescent="0.35">
      <c r="F7999"/>
    </row>
    <row r="8000" spans="6:6" x14ac:dyDescent="0.35">
      <c r="F8000"/>
    </row>
    <row r="8001" spans="6:6" x14ac:dyDescent="0.35">
      <c r="F8001"/>
    </row>
    <row r="8002" spans="6:6" x14ac:dyDescent="0.35">
      <c r="F8002"/>
    </row>
    <row r="8003" spans="6:6" x14ac:dyDescent="0.35">
      <c r="F8003"/>
    </row>
    <row r="8004" spans="6:6" x14ac:dyDescent="0.35">
      <c r="F8004"/>
    </row>
    <row r="8005" spans="6:6" x14ac:dyDescent="0.35">
      <c r="F8005"/>
    </row>
    <row r="8006" spans="6:6" x14ac:dyDescent="0.35">
      <c r="F8006"/>
    </row>
    <row r="8007" spans="6:6" x14ac:dyDescent="0.35">
      <c r="F8007"/>
    </row>
    <row r="8008" spans="6:6" x14ac:dyDescent="0.35">
      <c r="F8008"/>
    </row>
    <row r="8009" spans="6:6" x14ac:dyDescent="0.35">
      <c r="F8009"/>
    </row>
    <row r="8010" spans="6:6" x14ac:dyDescent="0.35">
      <c r="F8010"/>
    </row>
    <row r="8011" spans="6:6" x14ac:dyDescent="0.35">
      <c r="F8011"/>
    </row>
    <row r="8012" spans="6:6" x14ac:dyDescent="0.35">
      <c r="F8012"/>
    </row>
    <row r="8013" spans="6:6" x14ac:dyDescent="0.35">
      <c r="F8013"/>
    </row>
    <row r="8014" spans="6:6" x14ac:dyDescent="0.35">
      <c r="F8014"/>
    </row>
    <row r="8015" spans="6:6" x14ac:dyDescent="0.35">
      <c r="F8015"/>
    </row>
    <row r="8016" spans="6:6" x14ac:dyDescent="0.35">
      <c r="F8016"/>
    </row>
    <row r="8017" spans="6:6" x14ac:dyDescent="0.35">
      <c r="F8017"/>
    </row>
    <row r="8018" spans="6:6" x14ac:dyDescent="0.35">
      <c r="F8018"/>
    </row>
    <row r="8019" spans="6:6" x14ac:dyDescent="0.35">
      <c r="F8019"/>
    </row>
    <row r="8020" spans="6:6" x14ac:dyDescent="0.35">
      <c r="F8020"/>
    </row>
    <row r="8021" spans="6:6" x14ac:dyDescent="0.35">
      <c r="F8021"/>
    </row>
    <row r="8022" spans="6:6" x14ac:dyDescent="0.35">
      <c r="F8022"/>
    </row>
    <row r="8023" spans="6:6" x14ac:dyDescent="0.35">
      <c r="F8023"/>
    </row>
    <row r="8024" spans="6:6" x14ac:dyDescent="0.35">
      <c r="F8024"/>
    </row>
    <row r="8025" spans="6:6" x14ac:dyDescent="0.35">
      <c r="F8025"/>
    </row>
    <row r="8026" spans="6:6" x14ac:dyDescent="0.35">
      <c r="F8026"/>
    </row>
    <row r="8027" spans="6:6" x14ac:dyDescent="0.35">
      <c r="F8027"/>
    </row>
    <row r="8028" spans="6:6" x14ac:dyDescent="0.35">
      <c r="F8028"/>
    </row>
    <row r="8029" spans="6:6" x14ac:dyDescent="0.35">
      <c r="F8029"/>
    </row>
    <row r="8030" spans="6:6" x14ac:dyDescent="0.35">
      <c r="F8030"/>
    </row>
    <row r="8031" spans="6:6" x14ac:dyDescent="0.35">
      <c r="F8031"/>
    </row>
    <row r="8032" spans="6:6" x14ac:dyDescent="0.35">
      <c r="F8032"/>
    </row>
    <row r="8033" spans="6:6" x14ac:dyDescent="0.35">
      <c r="F8033"/>
    </row>
    <row r="8034" spans="6:6" x14ac:dyDescent="0.35">
      <c r="F8034"/>
    </row>
    <row r="8035" spans="6:6" x14ac:dyDescent="0.35">
      <c r="F8035"/>
    </row>
    <row r="8036" spans="6:6" x14ac:dyDescent="0.35">
      <c r="F8036"/>
    </row>
    <row r="8037" spans="6:6" x14ac:dyDescent="0.35">
      <c r="F8037"/>
    </row>
    <row r="8038" spans="6:6" x14ac:dyDescent="0.35">
      <c r="F8038"/>
    </row>
    <row r="8039" spans="6:6" x14ac:dyDescent="0.35">
      <c r="F8039"/>
    </row>
    <row r="8040" spans="6:6" x14ac:dyDescent="0.35">
      <c r="F8040"/>
    </row>
    <row r="8041" spans="6:6" x14ac:dyDescent="0.35">
      <c r="F8041"/>
    </row>
    <row r="8042" spans="6:6" x14ac:dyDescent="0.35">
      <c r="F8042"/>
    </row>
    <row r="8043" spans="6:6" x14ac:dyDescent="0.35">
      <c r="F8043"/>
    </row>
    <row r="8044" spans="6:6" x14ac:dyDescent="0.35">
      <c r="F8044"/>
    </row>
    <row r="8045" spans="6:6" x14ac:dyDescent="0.35">
      <c r="F8045"/>
    </row>
    <row r="8046" spans="6:6" x14ac:dyDescent="0.35">
      <c r="F8046"/>
    </row>
    <row r="8047" spans="6:6" x14ac:dyDescent="0.35">
      <c r="F8047"/>
    </row>
    <row r="8048" spans="6:6" x14ac:dyDescent="0.35">
      <c r="F8048"/>
    </row>
    <row r="8049" spans="6:6" x14ac:dyDescent="0.35">
      <c r="F8049"/>
    </row>
    <row r="8050" spans="6:6" x14ac:dyDescent="0.35">
      <c r="F8050"/>
    </row>
    <row r="8051" spans="6:6" x14ac:dyDescent="0.35">
      <c r="F8051"/>
    </row>
    <row r="8052" spans="6:6" x14ac:dyDescent="0.35">
      <c r="F8052"/>
    </row>
    <row r="8053" spans="6:6" x14ac:dyDescent="0.35">
      <c r="F8053"/>
    </row>
    <row r="8054" spans="6:6" x14ac:dyDescent="0.35">
      <c r="F8054"/>
    </row>
    <row r="8055" spans="6:6" x14ac:dyDescent="0.35">
      <c r="F8055"/>
    </row>
    <row r="8056" spans="6:6" x14ac:dyDescent="0.35">
      <c r="F8056"/>
    </row>
    <row r="8057" spans="6:6" x14ac:dyDescent="0.35">
      <c r="F8057"/>
    </row>
    <row r="8058" spans="6:6" x14ac:dyDescent="0.35">
      <c r="F8058"/>
    </row>
    <row r="8059" spans="6:6" x14ac:dyDescent="0.35">
      <c r="F8059"/>
    </row>
    <row r="8060" spans="6:6" x14ac:dyDescent="0.35">
      <c r="F8060"/>
    </row>
    <row r="8061" spans="6:6" x14ac:dyDescent="0.35">
      <c r="F8061"/>
    </row>
    <row r="8062" spans="6:6" x14ac:dyDescent="0.35">
      <c r="F8062"/>
    </row>
    <row r="8063" spans="6:6" x14ac:dyDescent="0.35">
      <c r="F8063"/>
    </row>
    <row r="8064" spans="6:6" x14ac:dyDescent="0.35">
      <c r="F8064"/>
    </row>
    <row r="8065" spans="6:6" x14ac:dyDescent="0.35">
      <c r="F8065"/>
    </row>
    <row r="8066" spans="6:6" x14ac:dyDescent="0.35">
      <c r="F8066"/>
    </row>
    <row r="8067" spans="6:6" x14ac:dyDescent="0.35">
      <c r="F8067"/>
    </row>
    <row r="8068" spans="6:6" x14ac:dyDescent="0.35">
      <c r="F8068"/>
    </row>
    <row r="8069" spans="6:6" x14ac:dyDescent="0.35">
      <c r="F8069"/>
    </row>
    <row r="8070" spans="6:6" x14ac:dyDescent="0.35">
      <c r="F8070"/>
    </row>
    <row r="8071" spans="6:6" x14ac:dyDescent="0.35">
      <c r="F8071"/>
    </row>
    <row r="8072" spans="6:6" x14ac:dyDescent="0.35">
      <c r="F8072"/>
    </row>
    <row r="8073" spans="6:6" x14ac:dyDescent="0.35">
      <c r="F8073"/>
    </row>
    <row r="8074" spans="6:6" x14ac:dyDescent="0.35">
      <c r="F8074"/>
    </row>
    <row r="8075" spans="6:6" x14ac:dyDescent="0.35">
      <c r="F8075"/>
    </row>
    <row r="8076" spans="6:6" x14ac:dyDescent="0.35">
      <c r="F8076"/>
    </row>
    <row r="8077" spans="6:6" x14ac:dyDescent="0.35">
      <c r="F8077"/>
    </row>
    <row r="8078" spans="6:6" x14ac:dyDescent="0.35">
      <c r="F8078"/>
    </row>
    <row r="8079" spans="6:6" x14ac:dyDescent="0.35">
      <c r="F8079"/>
    </row>
    <row r="8080" spans="6:6" x14ac:dyDescent="0.35">
      <c r="F8080"/>
    </row>
    <row r="8081" spans="6:6" x14ac:dyDescent="0.35">
      <c r="F8081"/>
    </row>
    <row r="8082" spans="6:6" x14ac:dyDescent="0.35">
      <c r="F8082"/>
    </row>
    <row r="8083" spans="6:6" x14ac:dyDescent="0.35">
      <c r="F8083"/>
    </row>
    <row r="8084" spans="6:6" x14ac:dyDescent="0.35">
      <c r="F8084"/>
    </row>
    <row r="8085" spans="6:6" x14ac:dyDescent="0.35">
      <c r="F8085"/>
    </row>
    <row r="8086" spans="6:6" x14ac:dyDescent="0.35">
      <c r="F8086"/>
    </row>
    <row r="8087" spans="6:6" x14ac:dyDescent="0.35">
      <c r="F8087"/>
    </row>
    <row r="8088" spans="6:6" x14ac:dyDescent="0.35">
      <c r="F8088"/>
    </row>
    <row r="8089" spans="6:6" x14ac:dyDescent="0.35">
      <c r="F8089"/>
    </row>
    <row r="8090" spans="6:6" x14ac:dyDescent="0.35">
      <c r="F8090"/>
    </row>
    <row r="8091" spans="6:6" x14ac:dyDescent="0.35">
      <c r="F8091"/>
    </row>
    <row r="8092" spans="6:6" x14ac:dyDescent="0.35">
      <c r="F8092"/>
    </row>
    <row r="8093" spans="6:6" x14ac:dyDescent="0.35">
      <c r="F8093"/>
    </row>
    <row r="8094" spans="6:6" x14ac:dyDescent="0.35">
      <c r="F8094"/>
    </row>
    <row r="8095" spans="6:6" x14ac:dyDescent="0.35">
      <c r="F8095"/>
    </row>
    <row r="8096" spans="6:6" x14ac:dyDescent="0.35">
      <c r="F8096"/>
    </row>
    <row r="8097" spans="6:6" x14ac:dyDescent="0.35">
      <c r="F8097"/>
    </row>
    <row r="8098" spans="6:6" x14ac:dyDescent="0.35">
      <c r="F8098"/>
    </row>
    <row r="8099" spans="6:6" x14ac:dyDescent="0.35">
      <c r="F8099"/>
    </row>
    <row r="8100" spans="6:6" x14ac:dyDescent="0.35">
      <c r="F8100"/>
    </row>
    <row r="8101" spans="6:6" x14ac:dyDescent="0.35">
      <c r="F8101"/>
    </row>
    <row r="8102" spans="6:6" x14ac:dyDescent="0.35">
      <c r="F8102"/>
    </row>
    <row r="8103" spans="6:6" x14ac:dyDescent="0.35">
      <c r="F8103"/>
    </row>
    <row r="8104" spans="6:6" x14ac:dyDescent="0.35">
      <c r="F8104"/>
    </row>
    <row r="8105" spans="6:6" x14ac:dyDescent="0.35">
      <c r="F8105"/>
    </row>
    <row r="8106" spans="6:6" x14ac:dyDescent="0.35">
      <c r="F8106"/>
    </row>
    <row r="8107" spans="6:6" x14ac:dyDescent="0.35">
      <c r="F8107"/>
    </row>
    <row r="8108" spans="6:6" x14ac:dyDescent="0.35">
      <c r="F8108"/>
    </row>
    <row r="8109" spans="6:6" x14ac:dyDescent="0.35">
      <c r="F8109"/>
    </row>
    <row r="8110" spans="6:6" x14ac:dyDescent="0.35">
      <c r="F8110"/>
    </row>
    <row r="8111" spans="6:6" x14ac:dyDescent="0.35">
      <c r="F8111"/>
    </row>
    <row r="8112" spans="6:6" x14ac:dyDescent="0.35">
      <c r="F8112"/>
    </row>
    <row r="8113" spans="6:6" x14ac:dyDescent="0.35">
      <c r="F8113"/>
    </row>
    <row r="8114" spans="6:6" x14ac:dyDescent="0.35">
      <c r="F8114"/>
    </row>
    <row r="8115" spans="6:6" x14ac:dyDescent="0.35">
      <c r="F8115"/>
    </row>
    <row r="8116" spans="6:6" x14ac:dyDescent="0.35">
      <c r="F8116"/>
    </row>
    <row r="8117" spans="6:6" x14ac:dyDescent="0.35">
      <c r="F8117"/>
    </row>
    <row r="8118" spans="6:6" x14ac:dyDescent="0.35">
      <c r="F8118"/>
    </row>
    <row r="8119" spans="6:6" x14ac:dyDescent="0.35">
      <c r="F8119"/>
    </row>
    <row r="8120" spans="6:6" x14ac:dyDescent="0.35">
      <c r="F8120"/>
    </row>
    <row r="8121" spans="6:6" x14ac:dyDescent="0.35">
      <c r="F8121"/>
    </row>
    <row r="8122" spans="6:6" x14ac:dyDescent="0.35">
      <c r="F8122"/>
    </row>
    <row r="8123" spans="6:6" x14ac:dyDescent="0.35">
      <c r="F8123"/>
    </row>
    <row r="8124" spans="6:6" x14ac:dyDescent="0.35">
      <c r="F8124"/>
    </row>
    <row r="8125" spans="6:6" x14ac:dyDescent="0.35">
      <c r="F8125"/>
    </row>
    <row r="8126" spans="6:6" x14ac:dyDescent="0.35">
      <c r="F8126"/>
    </row>
    <row r="8127" spans="6:6" x14ac:dyDescent="0.35">
      <c r="F8127"/>
    </row>
    <row r="8128" spans="6:6" x14ac:dyDescent="0.35">
      <c r="F8128"/>
    </row>
    <row r="8129" spans="6:6" x14ac:dyDescent="0.35">
      <c r="F8129"/>
    </row>
    <row r="8130" spans="6:6" x14ac:dyDescent="0.35">
      <c r="F8130"/>
    </row>
    <row r="8131" spans="6:6" x14ac:dyDescent="0.35">
      <c r="F8131"/>
    </row>
    <row r="8132" spans="6:6" x14ac:dyDescent="0.35">
      <c r="F8132"/>
    </row>
    <row r="8133" spans="6:6" x14ac:dyDescent="0.35">
      <c r="F8133"/>
    </row>
    <row r="8134" spans="6:6" x14ac:dyDescent="0.35">
      <c r="F8134"/>
    </row>
    <row r="8135" spans="6:6" x14ac:dyDescent="0.35">
      <c r="F8135"/>
    </row>
    <row r="8136" spans="6:6" x14ac:dyDescent="0.35">
      <c r="F8136"/>
    </row>
    <row r="8137" spans="6:6" x14ac:dyDescent="0.35">
      <c r="F8137"/>
    </row>
    <row r="8138" spans="6:6" x14ac:dyDescent="0.35">
      <c r="F8138"/>
    </row>
    <row r="8139" spans="6:6" x14ac:dyDescent="0.35">
      <c r="F8139"/>
    </row>
    <row r="8140" spans="6:6" x14ac:dyDescent="0.35">
      <c r="F8140"/>
    </row>
    <row r="8141" spans="6:6" x14ac:dyDescent="0.35">
      <c r="F8141"/>
    </row>
    <row r="8142" spans="6:6" x14ac:dyDescent="0.35">
      <c r="F8142"/>
    </row>
    <row r="8143" spans="6:6" x14ac:dyDescent="0.35">
      <c r="F8143"/>
    </row>
    <row r="8144" spans="6:6" x14ac:dyDescent="0.35">
      <c r="F8144"/>
    </row>
    <row r="8145" spans="6:6" x14ac:dyDescent="0.35">
      <c r="F8145"/>
    </row>
    <row r="8146" spans="6:6" x14ac:dyDescent="0.35">
      <c r="F8146"/>
    </row>
    <row r="8147" spans="6:6" x14ac:dyDescent="0.35">
      <c r="F8147"/>
    </row>
    <row r="8148" spans="6:6" x14ac:dyDescent="0.35">
      <c r="F8148"/>
    </row>
    <row r="8149" spans="6:6" x14ac:dyDescent="0.35">
      <c r="F8149"/>
    </row>
    <row r="8150" spans="6:6" x14ac:dyDescent="0.35">
      <c r="F8150"/>
    </row>
    <row r="8151" spans="6:6" x14ac:dyDescent="0.35">
      <c r="F8151"/>
    </row>
    <row r="8152" spans="6:6" x14ac:dyDescent="0.35">
      <c r="F8152"/>
    </row>
    <row r="8153" spans="6:6" x14ac:dyDescent="0.35">
      <c r="F8153"/>
    </row>
    <row r="8154" spans="6:6" x14ac:dyDescent="0.35">
      <c r="F8154"/>
    </row>
    <row r="8155" spans="6:6" x14ac:dyDescent="0.35">
      <c r="F8155"/>
    </row>
    <row r="8156" spans="6:6" x14ac:dyDescent="0.35">
      <c r="F8156"/>
    </row>
    <row r="8157" spans="6:6" x14ac:dyDescent="0.35">
      <c r="F8157"/>
    </row>
    <row r="8158" spans="6:6" x14ac:dyDescent="0.35">
      <c r="F8158"/>
    </row>
    <row r="8159" spans="6:6" x14ac:dyDescent="0.35">
      <c r="F8159"/>
    </row>
    <row r="8160" spans="6:6" x14ac:dyDescent="0.35">
      <c r="F8160"/>
    </row>
    <row r="8161" spans="6:6" x14ac:dyDescent="0.35">
      <c r="F8161"/>
    </row>
    <row r="8162" spans="6:6" x14ac:dyDescent="0.35">
      <c r="F8162"/>
    </row>
    <row r="8163" spans="6:6" x14ac:dyDescent="0.35">
      <c r="F8163"/>
    </row>
    <row r="8164" spans="6:6" x14ac:dyDescent="0.35">
      <c r="F8164"/>
    </row>
    <row r="8165" spans="6:6" x14ac:dyDescent="0.35">
      <c r="F8165"/>
    </row>
    <row r="8166" spans="6:6" x14ac:dyDescent="0.35">
      <c r="F8166"/>
    </row>
    <row r="8167" spans="6:6" x14ac:dyDescent="0.35">
      <c r="F8167"/>
    </row>
    <row r="8168" spans="6:6" x14ac:dyDescent="0.35">
      <c r="F8168"/>
    </row>
    <row r="8169" spans="6:6" x14ac:dyDescent="0.35">
      <c r="F8169"/>
    </row>
    <row r="8170" spans="6:6" x14ac:dyDescent="0.35">
      <c r="F8170"/>
    </row>
    <row r="8171" spans="6:6" x14ac:dyDescent="0.35">
      <c r="F8171"/>
    </row>
    <row r="8172" spans="6:6" x14ac:dyDescent="0.35">
      <c r="F8172"/>
    </row>
    <row r="8173" spans="6:6" x14ac:dyDescent="0.35">
      <c r="F8173"/>
    </row>
    <row r="8174" spans="6:6" x14ac:dyDescent="0.35">
      <c r="F8174"/>
    </row>
    <row r="8175" spans="6:6" x14ac:dyDescent="0.35">
      <c r="F8175"/>
    </row>
    <row r="8176" spans="6:6" x14ac:dyDescent="0.35">
      <c r="F8176"/>
    </row>
    <row r="8177" spans="6:6" x14ac:dyDescent="0.35">
      <c r="F8177"/>
    </row>
    <row r="8178" spans="6:6" x14ac:dyDescent="0.35">
      <c r="F8178"/>
    </row>
    <row r="8179" spans="6:6" x14ac:dyDescent="0.35">
      <c r="F8179"/>
    </row>
    <row r="8180" spans="6:6" x14ac:dyDescent="0.35">
      <c r="F8180"/>
    </row>
    <row r="8181" spans="6:6" x14ac:dyDescent="0.35">
      <c r="F8181"/>
    </row>
    <row r="8182" spans="6:6" x14ac:dyDescent="0.35">
      <c r="F8182"/>
    </row>
    <row r="8183" spans="6:6" x14ac:dyDescent="0.35">
      <c r="F8183"/>
    </row>
    <row r="8184" spans="6:6" x14ac:dyDescent="0.35">
      <c r="F8184"/>
    </row>
    <row r="8185" spans="6:6" x14ac:dyDescent="0.35">
      <c r="F8185"/>
    </row>
    <row r="8186" spans="6:6" x14ac:dyDescent="0.35">
      <c r="F8186"/>
    </row>
    <row r="8187" spans="6:6" x14ac:dyDescent="0.35">
      <c r="F8187"/>
    </row>
    <row r="8188" spans="6:6" x14ac:dyDescent="0.35">
      <c r="F8188"/>
    </row>
    <row r="8189" spans="6:6" x14ac:dyDescent="0.35">
      <c r="F8189"/>
    </row>
    <row r="8190" spans="6:6" x14ac:dyDescent="0.35">
      <c r="F8190"/>
    </row>
    <row r="8191" spans="6:6" x14ac:dyDescent="0.35">
      <c r="F8191"/>
    </row>
    <row r="8192" spans="6:6" x14ac:dyDescent="0.35">
      <c r="F8192"/>
    </row>
    <row r="8193" spans="6:6" x14ac:dyDescent="0.35">
      <c r="F8193"/>
    </row>
    <row r="8194" spans="6:6" x14ac:dyDescent="0.35">
      <c r="F8194"/>
    </row>
    <row r="8195" spans="6:6" x14ac:dyDescent="0.35">
      <c r="F8195"/>
    </row>
    <row r="8196" spans="6:6" x14ac:dyDescent="0.35">
      <c r="F8196"/>
    </row>
    <row r="8197" spans="6:6" x14ac:dyDescent="0.35">
      <c r="F8197"/>
    </row>
    <row r="8198" spans="6:6" x14ac:dyDescent="0.35">
      <c r="F8198"/>
    </row>
    <row r="8199" spans="6:6" x14ac:dyDescent="0.35">
      <c r="F8199"/>
    </row>
    <row r="8200" spans="6:6" x14ac:dyDescent="0.35">
      <c r="F8200"/>
    </row>
    <row r="8201" spans="6:6" x14ac:dyDescent="0.35">
      <c r="F8201"/>
    </row>
    <row r="8202" spans="6:6" x14ac:dyDescent="0.35">
      <c r="F8202"/>
    </row>
    <row r="8203" spans="6:6" x14ac:dyDescent="0.35">
      <c r="F8203"/>
    </row>
    <row r="8204" spans="6:6" x14ac:dyDescent="0.35">
      <c r="F8204"/>
    </row>
    <row r="8205" spans="6:6" x14ac:dyDescent="0.35">
      <c r="F8205"/>
    </row>
    <row r="8206" spans="6:6" x14ac:dyDescent="0.35">
      <c r="F8206"/>
    </row>
    <row r="8207" spans="6:6" x14ac:dyDescent="0.35">
      <c r="F8207"/>
    </row>
    <row r="8208" spans="6:6" x14ac:dyDescent="0.35">
      <c r="F8208"/>
    </row>
    <row r="8209" spans="6:6" x14ac:dyDescent="0.35">
      <c r="F8209"/>
    </row>
    <row r="8210" spans="6:6" x14ac:dyDescent="0.35">
      <c r="F8210"/>
    </row>
    <row r="8211" spans="6:6" x14ac:dyDescent="0.35">
      <c r="F8211"/>
    </row>
    <row r="8212" spans="6:6" x14ac:dyDescent="0.35">
      <c r="F8212"/>
    </row>
    <row r="8213" spans="6:6" x14ac:dyDescent="0.35">
      <c r="F8213"/>
    </row>
    <row r="8214" spans="6:6" x14ac:dyDescent="0.35">
      <c r="F8214"/>
    </row>
    <row r="8215" spans="6:6" x14ac:dyDescent="0.35">
      <c r="F8215"/>
    </row>
    <row r="8216" spans="6:6" x14ac:dyDescent="0.35">
      <c r="F8216"/>
    </row>
    <row r="8217" spans="6:6" x14ac:dyDescent="0.35">
      <c r="F8217"/>
    </row>
    <row r="8218" spans="6:6" x14ac:dyDescent="0.35">
      <c r="F8218"/>
    </row>
    <row r="8219" spans="6:6" x14ac:dyDescent="0.35">
      <c r="F8219"/>
    </row>
    <row r="8220" spans="6:6" x14ac:dyDescent="0.35">
      <c r="F8220"/>
    </row>
    <row r="8221" spans="6:6" x14ac:dyDescent="0.35">
      <c r="F8221"/>
    </row>
    <row r="8222" spans="6:6" x14ac:dyDescent="0.35">
      <c r="F8222"/>
    </row>
    <row r="8223" spans="6:6" x14ac:dyDescent="0.35">
      <c r="F8223"/>
    </row>
    <row r="8224" spans="6:6" x14ac:dyDescent="0.35">
      <c r="F8224"/>
    </row>
    <row r="8225" spans="6:6" x14ac:dyDescent="0.35">
      <c r="F8225"/>
    </row>
    <row r="8226" spans="6:6" x14ac:dyDescent="0.35">
      <c r="F8226"/>
    </row>
    <row r="8227" spans="6:6" x14ac:dyDescent="0.35">
      <c r="F8227"/>
    </row>
    <row r="8228" spans="6:6" x14ac:dyDescent="0.35">
      <c r="F8228"/>
    </row>
    <row r="8229" spans="6:6" x14ac:dyDescent="0.35">
      <c r="F8229"/>
    </row>
    <row r="8230" spans="6:6" x14ac:dyDescent="0.35">
      <c r="F8230"/>
    </row>
    <row r="8231" spans="6:6" x14ac:dyDescent="0.35">
      <c r="F8231"/>
    </row>
    <row r="8232" spans="6:6" x14ac:dyDescent="0.35">
      <c r="F8232"/>
    </row>
    <row r="8233" spans="6:6" x14ac:dyDescent="0.35">
      <c r="F8233"/>
    </row>
    <row r="8234" spans="6:6" x14ac:dyDescent="0.35">
      <c r="F8234"/>
    </row>
    <row r="8235" spans="6:6" x14ac:dyDescent="0.35">
      <c r="F8235"/>
    </row>
    <row r="8236" spans="6:6" x14ac:dyDescent="0.35">
      <c r="F8236"/>
    </row>
    <row r="8237" spans="6:6" x14ac:dyDescent="0.35">
      <c r="F8237"/>
    </row>
    <row r="8238" spans="6:6" x14ac:dyDescent="0.35">
      <c r="F8238"/>
    </row>
    <row r="8239" spans="6:6" x14ac:dyDescent="0.35">
      <c r="F8239"/>
    </row>
    <row r="8240" spans="6:6" x14ac:dyDescent="0.35">
      <c r="F8240"/>
    </row>
    <row r="8241" spans="6:6" x14ac:dyDescent="0.35">
      <c r="F8241"/>
    </row>
    <row r="8242" spans="6:6" x14ac:dyDescent="0.35">
      <c r="F8242"/>
    </row>
    <row r="8243" spans="6:6" x14ac:dyDescent="0.35">
      <c r="F8243"/>
    </row>
    <row r="8244" spans="6:6" x14ac:dyDescent="0.35">
      <c r="F8244"/>
    </row>
    <row r="8245" spans="6:6" x14ac:dyDescent="0.35">
      <c r="F8245"/>
    </row>
    <row r="8246" spans="6:6" x14ac:dyDescent="0.35">
      <c r="F8246"/>
    </row>
    <row r="8247" spans="6:6" x14ac:dyDescent="0.35">
      <c r="F8247"/>
    </row>
    <row r="8248" spans="6:6" x14ac:dyDescent="0.35">
      <c r="F8248"/>
    </row>
    <row r="8249" spans="6:6" x14ac:dyDescent="0.35">
      <c r="F8249"/>
    </row>
    <row r="8250" spans="6:6" x14ac:dyDescent="0.35">
      <c r="F8250"/>
    </row>
    <row r="8251" spans="6:6" x14ac:dyDescent="0.35">
      <c r="F8251"/>
    </row>
    <row r="8252" spans="6:6" x14ac:dyDescent="0.35">
      <c r="F8252"/>
    </row>
    <row r="8253" spans="6:6" x14ac:dyDescent="0.35">
      <c r="F8253"/>
    </row>
    <row r="8254" spans="6:6" x14ac:dyDescent="0.35">
      <c r="F8254"/>
    </row>
    <row r="8255" spans="6:6" x14ac:dyDescent="0.35">
      <c r="F8255"/>
    </row>
    <row r="8256" spans="6:6" x14ac:dyDescent="0.35">
      <c r="F8256"/>
    </row>
    <row r="8257" spans="6:6" x14ac:dyDescent="0.35">
      <c r="F8257"/>
    </row>
    <row r="8258" spans="6:6" x14ac:dyDescent="0.35">
      <c r="F8258"/>
    </row>
    <row r="8259" spans="6:6" x14ac:dyDescent="0.35">
      <c r="F8259"/>
    </row>
    <row r="8260" spans="6:6" x14ac:dyDescent="0.35">
      <c r="F8260"/>
    </row>
    <row r="8261" spans="6:6" x14ac:dyDescent="0.35">
      <c r="F8261"/>
    </row>
    <row r="8262" spans="6:6" x14ac:dyDescent="0.35">
      <c r="F8262"/>
    </row>
    <row r="8263" spans="6:6" x14ac:dyDescent="0.35">
      <c r="F8263"/>
    </row>
    <row r="8264" spans="6:6" x14ac:dyDescent="0.35">
      <c r="F8264"/>
    </row>
    <row r="8265" spans="6:6" x14ac:dyDescent="0.35">
      <c r="F8265"/>
    </row>
    <row r="8266" spans="6:6" x14ac:dyDescent="0.35">
      <c r="F8266"/>
    </row>
    <row r="8267" spans="6:6" x14ac:dyDescent="0.35">
      <c r="F8267"/>
    </row>
    <row r="8268" spans="6:6" x14ac:dyDescent="0.35">
      <c r="F8268"/>
    </row>
    <row r="8269" spans="6:6" x14ac:dyDescent="0.35">
      <c r="F8269"/>
    </row>
    <row r="8270" spans="6:6" x14ac:dyDescent="0.35">
      <c r="F8270"/>
    </row>
    <row r="8271" spans="6:6" x14ac:dyDescent="0.35">
      <c r="F8271"/>
    </row>
    <row r="8272" spans="6:6" x14ac:dyDescent="0.35">
      <c r="F8272"/>
    </row>
    <row r="8273" spans="6:6" x14ac:dyDescent="0.35">
      <c r="F8273"/>
    </row>
    <row r="8274" spans="6:6" x14ac:dyDescent="0.35">
      <c r="F8274"/>
    </row>
    <row r="8275" spans="6:6" x14ac:dyDescent="0.35">
      <c r="F8275"/>
    </row>
    <row r="8276" spans="6:6" x14ac:dyDescent="0.35">
      <c r="F8276"/>
    </row>
    <row r="8277" spans="6:6" x14ac:dyDescent="0.35">
      <c r="F8277"/>
    </row>
    <row r="8278" spans="6:6" x14ac:dyDescent="0.35">
      <c r="F8278"/>
    </row>
    <row r="8279" spans="6:6" x14ac:dyDescent="0.35">
      <c r="F8279"/>
    </row>
    <row r="8280" spans="6:6" x14ac:dyDescent="0.35">
      <c r="F8280"/>
    </row>
    <row r="8281" spans="6:6" x14ac:dyDescent="0.35">
      <c r="F8281"/>
    </row>
    <row r="8282" spans="6:6" x14ac:dyDescent="0.35">
      <c r="F8282"/>
    </row>
    <row r="8283" spans="6:6" x14ac:dyDescent="0.35">
      <c r="F8283"/>
    </row>
    <row r="8284" spans="6:6" x14ac:dyDescent="0.35">
      <c r="F8284"/>
    </row>
    <row r="8285" spans="6:6" x14ac:dyDescent="0.35">
      <c r="F8285"/>
    </row>
    <row r="8286" spans="6:6" x14ac:dyDescent="0.35">
      <c r="F8286"/>
    </row>
    <row r="8287" spans="6:6" x14ac:dyDescent="0.35">
      <c r="F8287"/>
    </row>
    <row r="8288" spans="6:6" x14ac:dyDescent="0.35">
      <c r="F8288"/>
    </row>
    <row r="8289" spans="6:6" x14ac:dyDescent="0.35">
      <c r="F8289"/>
    </row>
    <row r="8290" spans="6:6" x14ac:dyDescent="0.35">
      <c r="F8290"/>
    </row>
    <row r="8291" spans="6:6" x14ac:dyDescent="0.35">
      <c r="F8291"/>
    </row>
    <row r="8292" spans="6:6" x14ac:dyDescent="0.35">
      <c r="F8292"/>
    </row>
    <row r="8293" spans="6:6" x14ac:dyDescent="0.35">
      <c r="F8293"/>
    </row>
    <row r="8294" spans="6:6" x14ac:dyDescent="0.35">
      <c r="F8294"/>
    </row>
    <row r="8295" spans="6:6" x14ac:dyDescent="0.35">
      <c r="F8295"/>
    </row>
    <row r="8296" spans="6:6" x14ac:dyDescent="0.35">
      <c r="F8296"/>
    </row>
    <row r="8297" spans="6:6" x14ac:dyDescent="0.35">
      <c r="F8297"/>
    </row>
    <row r="8298" spans="6:6" x14ac:dyDescent="0.35">
      <c r="F8298"/>
    </row>
    <row r="8299" spans="6:6" x14ac:dyDescent="0.35">
      <c r="F8299"/>
    </row>
    <row r="8300" spans="6:6" x14ac:dyDescent="0.35">
      <c r="F8300"/>
    </row>
    <row r="8301" spans="6:6" x14ac:dyDescent="0.35">
      <c r="F8301"/>
    </row>
    <row r="8302" spans="6:6" x14ac:dyDescent="0.35">
      <c r="F8302"/>
    </row>
    <row r="8303" spans="6:6" x14ac:dyDescent="0.35">
      <c r="F8303"/>
    </row>
    <row r="8304" spans="6:6" x14ac:dyDescent="0.35">
      <c r="F8304"/>
    </row>
    <row r="8305" spans="6:6" x14ac:dyDescent="0.35">
      <c r="F8305"/>
    </row>
    <row r="8306" spans="6:6" x14ac:dyDescent="0.35">
      <c r="F8306"/>
    </row>
    <row r="8307" spans="6:6" x14ac:dyDescent="0.35">
      <c r="F8307"/>
    </row>
    <row r="8308" spans="6:6" x14ac:dyDescent="0.35">
      <c r="F8308"/>
    </row>
    <row r="8309" spans="6:6" x14ac:dyDescent="0.35">
      <c r="F8309"/>
    </row>
    <row r="8310" spans="6:6" x14ac:dyDescent="0.35">
      <c r="F8310"/>
    </row>
    <row r="8311" spans="6:6" x14ac:dyDescent="0.35">
      <c r="F8311"/>
    </row>
    <row r="8312" spans="6:6" x14ac:dyDescent="0.35">
      <c r="F8312"/>
    </row>
    <row r="8313" spans="6:6" x14ac:dyDescent="0.35">
      <c r="F8313"/>
    </row>
    <row r="8314" spans="6:6" x14ac:dyDescent="0.35">
      <c r="F8314"/>
    </row>
    <row r="8315" spans="6:6" x14ac:dyDescent="0.35">
      <c r="F8315"/>
    </row>
    <row r="8316" spans="6:6" x14ac:dyDescent="0.35">
      <c r="F8316"/>
    </row>
    <row r="8317" spans="6:6" x14ac:dyDescent="0.35">
      <c r="F8317"/>
    </row>
    <row r="8318" spans="6:6" x14ac:dyDescent="0.35">
      <c r="F8318"/>
    </row>
    <row r="8319" spans="6:6" x14ac:dyDescent="0.35">
      <c r="F8319"/>
    </row>
    <row r="8320" spans="6:6" x14ac:dyDescent="0.35">
      <c r="F8320"/>
    </row>
    <row r="8321" spans="6:6" x14ac:dyDescent="0.35">
      <c r="F8321"/>
    </row>
    <row r="8322" spans="6:6" x14ac:dyDescent="0.35">
      <c r="F8322"/>
    </row>
    <row r="8323" spans="6:6" x14ac:dyDescent="0.35">
      <c r="F8323"/>
    </row>
    <row r="8324" spans="6:6" x14ac:dyDescent="0.35">
      <c r="F8324"/>
    </row>
    <row r="8325" spans="6:6" x14ac:dyDescent="0.35">
      <c r="F8325"/>
    </row>
    <row r="8326" spans="6:6" x14ac:dyDescent="0.35">
      <c r="F8326"/>
    </row>
    <row r="8327" spans="6:6" x14ac:dyDescent="0.35">
      <c r="F8327"/>
    </row>
    <row r="8328" spans="6:6" x14ac:dyDescent="0.35">
      <c r="F8328"/>
    </row>
    <row r="8329" spans="6:6" x14ac:dyDescent="0.35">
      <c r="F8329"/>
    </row>
    <row r="8330" spans="6:6" x14ac:dyDescent="0.35">
      <c r="F8330"/>
    </row>
    <row r="8331" spans="6:6" x14ac:dyDescent="0.35">
      <c r="F8331"/>
    </row>
    <row r="8332" spans="6:6" x14ac:dyDescent="0.35">
      <c r="F8332"/>
    </row>
    <row r="8333" spans="6:6" x14ac:dyDescent="0.35">
      <c r="F8333"/>
    </row>
    <row r="8334" spans="6:6" x14ac:dyDescent="0.35">
      <c r="F8334"/>
    </row>
    <row r="8335" spans="6:6" x14ac:dyDescent="0.35">
      <c r="F8335"/>
    </row>
    <row r="8336" spans="6:6" x14ac:dyDescent="0.35">
      <c r="F8336"/>
    </row>
    <row r="8337" spans="6:6" x14ac:dyDescent="0.35">
      <c r="F8337"/>
    </row>
    <row r="8338" spans="6:6" x14ac:dyDescent="0.35">
      <c r="F8338"/>
    </row>
    <row r="8339" spans="6:6" x14ac:dyDescent="0.35">
      <c r="F8339"/>
    </row>
    <row r="8340" spans="6:6" x14ac:dyDescent="0.35">
      <c r="F8340"/>
    </row>
    <row r="8341" spans="6:6" x14ac:dyDescent="0.35">
      <c r="F8341"/>
    </row>
    <row r="8342" spans="6:6" x14ac:dyDescent="0.35">
      <c r="F8342"/>
    </row>
    <row r="8343" spans="6:6" x14ac:dyDescent="0.35">
      <c r="F8343"/>
    </row>
    <row r="8344" spans="6:6" x14ac:dyDescent="0.35">
      <c r="F8344"/>
    </row>
    <row r="8345" spans="6:6" x14ac:dyDescent="0.35">
      <c r="F8345"/>
    </row>
    <row r="8346" spans="6:6" x14ac:dyDescent="0.35">
      <c r="F8346"/>
    </row>
    <row r="8347" spans="6:6" x14ac:dyDescent="0.35">
      <c r="F8347"/>
    </row>
    <row r="8348" spans="6:6" x14ac:dyDescent="0.35">
      <c r="F8348"/>
    </row>
    <row r="8349" spans="6:6" x14ac:dyDescent="0.35">
      <c r="F8349"/>
    </row>
    <row r="8350" spans="6:6" x14ac:dyDescent="0.35">
      <c r="F8350"/>
    </row>
    <row r="8351" spans="6:6" x14ac:dyDescent="0.35">
      <c r="F8351"/>
    </row>
    <row r="8352" spans="6:6" x14ac:dyDescent="0.35">
      <c r="F8352"/>
    </row>
    <row r="8353" spans="6:6" x14ac:dyDescent="0.35">
      <c r="F8353"/>
    </row>
    <row r="8354" spans="6:6" x14ac:dyDescent="0.35">
      <c r="F8354"/>
    </row>
    <row r="8355" spans="6:6" x14ac:dyDescent="0.35">
      <c r="F8355"/>
    </row>
    <row r="8356" spans="6:6" x14ac:dyDescent="0.35">
      <c r="F8356"/>
    </row>
    <row r="8357" spans="6:6" x14ac:dyDescent="0.35">
      <c r="F8357"/>
    </row>
    <row r="8358" spans="6:6" x14ac:dyDescent="0.35">
      <c r="F8358"/>
    </row>
    <row r="8359" spans="6:6" x14ac:dyDescent="0.35">
      <c r="F8359"/>
    </row>
    <row r="8360" spans="6:6" x14ac:dyDescent="0.35">
      <c r="F8360"/>
    </row>
    <row r="8361" spans="6:6" x14ac:dyDescent="0.35">
      <c r="F8361"/>
    </row>
    <row r="8362" spans="6:6" x14ac:dyDescent="0.35">
      <c r="F8362"/>
    </row>
    <row r="8363" spans="6:6" x14ac:dyDescent="0.35">
      <c r="F8363"/>
    </row>
    <row r="8364" spans="6:6" x14ac:dyDescent="0.35">
      <c r="F8364"/>
    </row>
    <row r="8365" spans="6:6" x14ac:dyDescent="0.35">
      <c r="F8365"/>
    </row>
    <row r="8366" spans="6:6" x14ac:dyDescent="0.35">
      <c r="F8366"/>
    </row>
    <row r="8367" spans="6:6" x14ac:dyDescent="0.35">
      <c r="F8367"/>
    </row>
    <row r="8368" spans="6:6" x14ac:dyDescent="0.35">
      <c r="F8368"/>
    </row>
    <row r="8369" spans="6:6" x14ac:dyDescent="0.35">
      <c r="F8369"/>
    </row>
    <row r="8370" spans="6:6" x14ac:dyDescent="0.35">
      <c r="F8370"/>
    </row>
    <row r="8371" spans="6:6" x14ac:dyDescent="0.35">
      <c r="F8371"/>
    </row>
    <row r="8372" spans="6:6" x14ac:dyDescent="0.35">
      <c r="F8372"/>
    </row>
    <row r="8373" spans="6:6" x14ac:dyDescent="0.35">
      <c r="F8373"/>
    </row>
    <row r="8374" spans="6:6" x14ac:dyDescent="0.35">
      <c r="F8374"/>
    </row>
    <row r="8375" spans="6:6" x14ac:dyDescent="0.35">
      <c r="F8375"/>
    </row>
    <row r="8376" spans="6:6" x14ac:dyDescent="0.35">
      <c r="F8376"/>
    </row>
    <row r="8377" spans="6:6" x14ac:dyDescent="0.35">
      <c r="F8377"/>
    </row>
    <row r="8378" spans="6:6" x14ac:dyDescent="0.35">
      <c r="F8378"/>
    </row>
    <row r="8379" spans="6:6" x14ac:dyDescent="0.35">
      <c r="F8379"/>
    </row>
    <row r="8380" spans="6:6" x14ac:dyDescent="0.35">
      <c r="F8380"/>
    </row>
    <row r="8381" spans="6:6" x14ac:dyDescent="0.35">
      <c r="F8381"/>
    </row>
    <row r="8382" spans="6:6" x14ac:dyDescent="0.35">
      <c r="F8382"/>
    </row>
    <row r="8383" spans="6:6" x14ac:dyDescent="0.35">
      <c r="F8383"/>
    </row>
    <row r="8384" spans="6:6" x14ac:dyDescent="0.35">
      <c r="F8384"/>
    </row>
    <row r="8385" spans="6:6" x14ac:dyDescent="0.35">
      <c r="F8385"/>
    </row>
    <row r="8386" spans="6:6" x14ac:dyDescent="0.35">
      <c r="F8386"/>
    </row>
    <row r="8387" spans="6:6" x14ac:dyDescent="0.35">
      <c r="F8387"/>
    </row>
    <row r="8388" spans="6:6" x14ac:dyDescent="0.35">
      <c r="F8388"/>
    </row>
    <row r="8389" spans="6:6" x14ac:dyDescent="0.35">
      <c r="F8389"/>
    </row>
    <row r="8390" spans="6:6" x14ac:dyDescent="0.35">
      <c r="F8390"/>
    </row>
    <row r="8391" spans="6:6" x14ac:dyDescent="0.35">
      <c r="F8391"/>
    </row>
    <row r="8392" spans="6:6" x14ac:dyDescent="0.35">
      <c r="F8392"/>
    </row>
    <row r="8393" spans="6:6" x14ac:dyDescent="0.35">
      <c r="F8393"/>
    </row>
    <row r="8394" spans="6:6" x14ac:dyDescent="0.35">
      <c r="F8394"/>
    </row>
    <row r="8395" spans="6:6" x14ac:dyDescent="0.35">
      <c r="F8395"/>
    </row>
    <row r="8396" spans="6:6" x14ac:dyDescent="0.35">
      <c r="F8396"/>
    </row>
    <row r="8397" spans="6:6" x14ac:dyDescent="0.35">
      <c r="F8397"/>
    </row>
    <row r="8398" spans="6:6" x14ac:dyDescent="0.35">
      <c r="F8398"/>
    </row>
    <row r="8399" spans="6:6" x14ac:dyDescent="0.35">
      <c r="F8399"/>
    </row>
    <row r="8400" spans="6:6" x14ac:dyDescent="0.35">
      <c r="F8400"/>
    </row>
    <row r="8401" spans="6:6" x14ac:dyDescent="0.35">
      <c r="F8401"/>
    </row>
    <row r="8402" spans="6:6" x14ac:dyDescent="0.35">
      <c r="F8402"/>
    </row>
    <row r="8403" spans="6:6" x14ac:dyDescent="0.35">
      <c r="F8403"/>
    </row>
    <row r="8404" spans="6:6" x14ac:dyDescent="0.35">
      <c r="F8404"/>
    </row>
    <row r="8405" spans="6:6" x14ac:dyDescent="0.35">
      <c r="F8405"/>
    </row>
    <row r="8406" spans="6:6" x14ac:dyDescent="0.35">
      <c r="F8406"/>
    </row>
    <row r="8407" spans="6:6" x14ac:dyDescent="0.35">
      <c r="F8407"/>
    </row>
    <row r="8408" spans="6:6" x14ac:dyDescent="0.35">
      <c r="F8408"/>
    </row>
    <row r="8409" spans="6:6" x14ac:dyDescent="0.35">
      <c r="F8409"/>
    </row>
    <row r="8410" spans="6:6" x14ac:dyDescent="0.35">
      <c r="F8410"/>
    </row>
    <row r="8411" spans="6:6" x14ac:dyDescent="0.35">
      <c r="F8411"/>
    </row>
    <row r="8412" spans="6:6" x14ac:dyDescent="0.35">
      <c r="F8412"/>
    </row>
    <row r="8413" spans="6:6" x14ac:dyDescent="0.35">
      <c r="F8413"/>
    </row>
    <row r="8414" spans="6:6" x14ac:dyDescent="0.35">
      <c r="F8414"/>
    </row>
    <row r="8415" spans="6:6" x14ac:dyDescent="0.35">
      <c r="F8415"/>
    </row>
    <row r="8416" spans="6:6" x14ac:dyDescent="0.35">
      <c r="F8416"/>
    </row>
    <row r="8417" spans="6:6" x14ac:dyDescent="0.35">
      <c r="F8417"/>
    </row>
    <row r="8418" spans="6:6" x14ac:dyDescent="0.35">
      <c r="F8418"/>
    </row>
    <row r="8419" spans="6:6" x14ac:dyDescent="0.35">
      <c r="F8419"/>
    </row>
    <row r="8420" spans="6:6" x14ac:dyDescent="0.35">
      <c r="F8420"/>
    </row>
    <row r="8421" spans="6:6" x14ac:dyDescent="0.35">
      <c r="F8421"/>
    </row>
    <row r="8422" spans="6:6" x14ac:dyDescent="0.35">
      <c r="F8422"/>
    </row>
    <row r="8423" spans="6:6" x14ac:dyDescent="0.35">
      <c r="F8423"/>
    </row>
    <row r="8424" spans="6:6" x14ac:dyDescent="0.35">
      <c r="F8424"/>
    </row>
    <row r="8425" spans="6:6" x14ac:dyDescent="0.35">
      <c r="F8425"/>
    </row>
    <row r="8426" spans="6:6" x14ac:dyDescent="0.35">
      <c r="F8426"/>
    </row>
    <row r="8427" spans="6:6" x14ac:dyDescent="0.35">
      <c r="F8427"/>
    </row>
    <row r="8428" spans="6:6" x14ac:dyDescent="0.35">
      <c r="F8428"/>
    </row>
    <row r="8429" spans="6:6" x14ac:dyDescent="0.35">
      <c r="F8429"/>
    </row>
    <row r="8430" spans="6:6" x14ac:dyDescent="0.35">
      <c r="F8430"/>
    </row>
    <row r="8431" spans="6:6" x14ac:dyDescent="0.35">
      <c r="F8431"/>
    </row>
    <row r="8432" spans="6:6" x14ac:dyDescent="0.35">
      <c r="F8432"/>
    </row>
    <row r="8433" spans="6:6" x14ac:dyDescent="0.35">
      <c r="F8433"/>
    </row>
    <row r="8434" spans="6:6" x14ac:dyDescent="0.35">
      <c r="F8434"/>
    </row>
    <row r="8435" spans="6:6" x14ac:dyDescent="0.35">
      <c r="F8435"/>
    </row>
    <row r="8436" spans="6:6" x14ac:dyDescent="0.35">
      <c r="F8436"/>
    </row>
    <row r="8437" spans="6:6" x14ac:dyDescent="0.35">
      <c r="F8437"/>
    </row>
    <row r="8438" spans="6:6" x14ac:dyDescent="0.35">
      <c r="F8438"/>
    </row>
    <row r="8439" spans="6:6" x14ac:dyDescent="0.35">
      <c r="F8439"/>
    </row>
    <row r="8440" spans="6:6" x14ac:dyDescent="0.35">
      <c r="F8440"/>
    </row>
    <row r="8441" spans="6:6" x14ac:dyDescent="0.35">
      <c r="F8441"/>
    </row>
    <row r="8442" spans="6:6" x14ac:dyDescent="0.35">
      <c r="F8442"/>
    </row>
    <row r="8443" spans="6:6" x14ac:dyDescent="0.35">
      <c r="F8443"/>
    </row>
    <row r="8444" spans="6:6" x14ac:dyDescent="0.35">
      <c r="F8444"/>
    </row>
    <row r="8445" spans="6:6" x14ac:dyDescent="0.35">
      <c r="F8445"/>
    </row>
    <row r="8446" spans="6:6" x14ac:dyDescent="0.35">
      <c r="F8446"/>
    </row>
    <row r="8447" spans="6:6" x14ac:dyDescent="0.35">
      <c r="F8447"/>
    </row>
    <row r="8448" spans="6:6" x14ac:dyDescent="0.35">
      <c r="F8448"/>
    </row>
    <row r="8449" spans="6:6" x14ac:dyDescent="0.35">
      <c r="F8449"/>
    </row>
    <row r="8450" spans="6:6" x14ac:dyDescent="0.35">
      <c r="F8450"/>
    </row>
    <row r="8451" spans="6:6" x14ac:dyDescent="0.35">
      <c r="F8451"/>
    </row>
    <row r="8452" spans="6:6" x14ac:dyDescent="0.35">
      <c r="F8452"/>
    </row>
    <row r="8453" spans="6:6" x14ac:dyDescent="0.35">
      <c r="F8453"/>
    </row>
    <row r="8454" spans="6:6" x14ac:dyDescent="0.35">
      <c r="F8454"/>
    </row>
    <row r="8455" spans="6:6" x14ac:dyDescent="0.35">
      <c r="F8455"/>
    </row>
    <row r="8456" spans="6:6" x14ac:dyDescent="0.35">
      <c r="F8456"/>
    </row>
    <row r="8457" spans="6:6" x14ac:dyDescent="0.35">
      <c r="F8457"/>
    </row>
    <row r="8458" spans="6:6" x14ac:dyDescent="0.35">
      <c r="F8458"/>
    </row>
    <row r="8459" spans="6:6" x14ac:dyDescent="0.35">
      <c r="F8459"/>
    </row>
    <row r="8460" spans="6:6" x14ac:dyDescent="0.35">
      <c r="F8460"/>
    </row>
    <row r="8461" spans="6:6" x14ac:dyDescent="0.35">
      <c r="F8461"/>
    </row>
    <row r="8462" spans="6:6" x14ac:dyDescent="0.35">
      <c r="F8462"/>
    </row>
    <row r="8463" spans="6:6" x14ac:dyDescent="0.35">
      <c r="F8463"/>
    </row>
    <row r="8464" spans="6:6" x14ac:dyDescent="0.35">
      <c r="F8464"/>
    </row>
    <row r="8465" spans="6:6" x14ac:dyDescent="0.35">
      <c r="F8465"/>
    </row>
    <row r="8466" spans="6:6" x14ac:dyDescent="0.35">
      <c r="F8466"/>
    </row>
    <row r="8467" spans="6:6" x14ac:dyDescent="0.35">
      <c r="F8467"/>
    </row>
    <row r="8468" spans="6:6" x14ac:dyDescent="0.35">
      <c r="F8468"/>
    </row>
    <row r="8469" spans="6:6" x14ac:dyDescent="0.35">
      <c r="F8469"/>
    </row>
    <row r="8470" spans="6:6" x14ac:dyDescent="0.35">
      <c r="F8470"/>
    </row>
    <row r="8471" spans="6:6" x14ac:dyDescent="0.35">
      <c r="F8471"/>
    </row>
    <row r="8472" spans="6:6" x14ac:dyDescent="0.35">
      <c r="F8472"/>
    </row>
    <row r="8473" spans="6:6" x14ac:dyDescent="0.35">
      <c r="F8473"/>
    </row>
    <row r="8474" spans="6:6" x14ac:dyDescent="0.35">
      <c r="F8474"/>
    </row>
    <row r="8475" spans="6:6" x14ac:dyDescent="0.35">
      <c r="F8475"/>
    </row>
    <row r="8476" spans="6:6" x14ac:dyDescent="0.35">
      <c r="F8476"/>
    </row>
    <row r="8477" spans="6:6" x14ac:dyDescent="0.35">
      <c r="F8477"/>
    </row>
    <row r="8478" spans="6:6" x14ac:dyDescent="0.35">
      <c r="F8478"/>
    </row>
    <row r="8479" spans="6:6" x14ac:dyDescent="0.35">
      <c r="F8479"/>
    </row>
    <row r="8480" spans="6:6" x14ac:dyDescent="0.35">
      <c r="F8480"/>
    </row>
    <row r="8481" spans="6:6" x14ac:dyDescent="0.35">
      <c r="F8481"/>
    </row>
    <row r="8482" spans="6:6" x14ac:dyDescent="0.35">
      <c r="F8482"/>
    </row>
    <row r="8483" spans="6:6" x14ac:dyDescent="0.35">
      <c r="F8483"/>
    </row>
    <row r="8484" spans="6:6" x14ac:dyDescent="0.35">
      <c r="F8484"/>
    </row>
    <row r="8485" spans="6:6" x14ac:dyDescent="0.35">
      <c r="F8485"/>
    </row>
    <row r="8486" spans="6:6" x14ac:dyDescent="0.35">
      <c r="F8486"/>
    </row>
    <row r="8487" spans="6:6" x14ac:dyDescent="0.35">
      <c r="F8487"/>
    </row>
    <row r="8488" spans="6:6" x14ac:dyDescent="0.35">
      <c r="F8488"/>
    </row>
    <row r="8489" spans="6:6" x14ac:dyDescent="0.35">
      <c r="F8489"/>
    </row>
    <row r="8490" spans="6:6" x14ac:dyDescent="0.35">
      <c r="F8490"/>
    </row>
    <row r="8491" spans="6:6" x14ac:dyDescent="0.35">
      <c r="F8491"/>
    </row>
    <row r="8492" spans="6:6" x14ac:dyDescent="0.35">
      <c r="F8492"/>
    </row>
    <row r="8493" spans="6:6" x14ac:dyDescent="0.35">
      <c r="F8493"/>
    </row>
    <row r="8494" spans="6:6" x14ac:dyDescent="0.35">
      <c r="F8494"/>
    </row>
    <row r="8495" spans="6:6" x14ac:dyDescent="0.35">
      <c r="F8495"/>
    </row>
    <row r="8496" spans="6:6" x14ac:dyDescent="0.35">
      <c r="F8496"/>
    </row>
    <row r="8497" spans="6:6" x14ac:dyDescent="0.35">
      <c r="F8497"/>
    </row>
    <row r="8498" spans="6:6" x14ac:dyDescent="0.35">
      <c r="F8498"/>
    </row>
    <row r="8499" spans="6:6" x14ac:dyDescent="0.35">
      <c r="F8499"/>
    </row>
    <row r="8500" spans="6:6" x14ac:dyDescent="0.35">
      <c r="F8500"/>
    </row>
    <row r="8501" spans="6:6" x14ac:dyDescent="0.35">
      <c r="F8501"/>
    </row>
    <row r="8502" spans="6:6" x14ac:dyDescent="0.35">
      <c r="F8502"/>
    </row>
    <row r="8503" spans="6:6" x14ac:dyDescent="0.35">
      <c r="F8503"/>
    </row>
    <row r="8504" spans="6:6" x14ac:dyDescent="0.35">
      <c r="F8504"/>
    </row>
    <row r="8505" spans="6:6" x14ac:dyDescent="0.35">
      <c r="F8505"/>
    </row>
    <row r="8506" spans="6:6" x14ac:dyDescent="0.35">
      <c r="F8506"/>
    </row>
    <row r="8507" spans="6:6" x14ac:dyDescent="0.35">
      <c r="F8507"/>
    </row>
    <row r="8508" spans="6:6" x14ac:dyDescent="0.35">
      <c r="F8508"/>
    </row>
    <row r="8509" spans="6:6" x14ac:dyDescent="0.35">
      <c r="F8509"/>
    </row>
    <row r="8510" spans="6:6" x14ac:dyDescent="0.35">
      <c r="F8510"/>
    </row>
    <row r="8511" spans="6:6" x14ac:dyDescent="0.35">
      <c r="F8511"/>
    </row>
    <row r="8512" spans="6:6" x14ac:dyDescent="0.35">
      <c r="F8512"/>
    </row>
    <row r="8513" spans="6:6" x14ac:dyDescent="0.35">
      <c r="F8513"/>
    </row>
    <row r="8514" spans="6:6" x14ac:dyDescent="0.35">
      <c r="F8514"/>
    </row>
    <row r="8515" spans="6:6" x14ac:dyDescent="0.35">
      <c r="F8515"/>
    </row>
    <row r="8516" spans="6:6" x14ac:dyDescent="0.35">
      <c r="F8516"/>
    </row>
    <row r="8517" spans="6:6" x14ac:dyDescent="0.35">
      <c r="F8517"/>
    </row>
    <row r="8518" spans="6:6" x14ac:dyDescent="0.35">
      <c r="F8518"/>
    </row>
    <row r="8519" spans="6:6" x14ac:dyDescent="0.35">
      <c r="F8519"/>
    </row>
    <row r="8520" spans="6:6" x14ac:dyDescent="0.35">
      <c r="F8520"/>
    </row>
    <row r="8521" spans="6:6" x14ac:dyDescent="0.35">
      <c r="F8521"/>
    </row>
    <row r="8522" spans="6:6" x14ac:dyDescent="0.35">
      <c r="F8522"/>
    </row>
    <row r="8523" spans="6:6" x14ac:dyDescent="0.35">
      <c r="F8523"/>
    </row>
    <row r="8524" spans="6:6" x14ac:dyDescent="0.35">
      <c r="F8524"/>
    </row>
    <row r="8525" spans="6:6" x14ac:dyDescent="0.35">
      <c r="F8525"/>
    </row>
    <row r="8526" spans="6:6" x14ac:dyDescent="0.35">
      <c r="F8526"/>
    </row>
    <row r="8527" spans="6:6" x14ac:dyDescent="0.35">
      <c r="F8527"/>
    </row>
    <row r="8528" spans="6:6" x14ac:dyDescent="0.35">
      <c r="F8528"/>
    </row>
    <row r="8529" spans="6:6" x14ac:dyDescent="0.35">
      <c r="F8529"/>
    </row>
    <row r="8530" spans="6:6" x14ac:dyDescent="0.35">
      <c r="F8530"/>
    </row>
    <row r="8531" spans="6:6" x14ac:dyDescent="0.35">
      <c r="F8531"/>
    </row>
    <row r="8532" spans="6:6" x14ac:dyDescent="0.35">
      <c r="F8532"/>
    </row>
    <row r="8533" spans="6:6" x14ac:dyDescent="0.35">
      <c r="F8533"/>
    </row>
    <row r="8534" spans="6:6" x14ac:dyDescent="0.35">
      <c r="F8534"/>
    </row>
    <row r="8535" spans="6:6" x14ac:dyDescent="0.35">
      <c r="F8535"/>
    </row>
    <row r="8536" spans="6:6" x14ac:dyDescent="0.35">
      <c r="F8536"/>
    </row>
    <row r="8537" spans="6:6" x14ac:dyDescent="0.35">
      <c r="F8537"/>
    </row>
    <row r="8538" spans="6:6" x14ac:dyDescent="0.35">
      <c r="F8538"/>
    </row>
    <row r="8539" spans="6:6" x14ac:dyDescent="0.35">
      <c r="F8539"/>
    </row>
    <row r="8540" spans="6:6" x14ac:dyDescent="0.35">
      <c r="F8540"/>
    </row>
    <row r="8541" spans="6:6" x14ac:dyDescent="0.35">
      <c r="F8541"/>
    </row>
    <row r="8542" spans="6:6" x14ac:dyDescent="0.35">
      <c r="F8542"/>
    </row>
    <row r="8543" spans="6:6" x14ac:dyDescent="0.35">
      <c r="F8543"/>
    </row>
    <row r="8544" spans="6:6" x14ac:dyDescent="0.35">
      <c r="F8544"/>
    </row>
    <row r="8545" spans="6:6" x14ac:dyDescent="0.35">
      <c r="F8545"/>
    </row>
    <row r="8546" spans="6:6" x14ac:dyDescent="0.35">
      <c r="F8546"/>
    </row>
    <row r="8547" spans="6:6" x14ac:dyDescent="0.35">
      <c r="F8547"/>
    </row>
    <row r="8548" spans="6:6" x14ac:dyDescent="0.35">
      <c r="F8548"/>
    </row>
    <row r="8549" spans="6:6" x14ac:dyDescent="0.35">
      <c r="F8549"/>
    </row>
    <row r="8550" spans="6:6" x14ac:dyDescent="0.35">
      <c r="F8550"/>
    </row>
    <row r="8551" spans="6:6" x14ac:dyDescent="0.35">
      <c r="F8551"/>
    </row>
    <row r="8552" spans="6:6" x14ac:dyDescent="0.35">
      <c r="F8552"/>
    </row>
    <row r="8553" spans="6:6" x14ac:dyDescent="0.35">
      <c r="F8553"/>
    </row>
    <row r="8554" spans="6:6" x14ac:dyDescent="0.35">
      <c r="F8554"/>
    </row>
    <row r="8555" spans="6:6" x14ac:dyDescent="0.35">
      <c r="F8555"/>
    </row>
    <row r="8556" spans="6:6" x14ac:dyDescent="0.35">
      <c r="F8556"/>
    </row>
    <row r="8557" spans="6:6" x14ac:dyDescent="0.35">
      <c r="F8557"/>
    </row>
    <row r="8558" spans="6:6" x14ac:dyDescent="0.35">
      <c r="F8558"/>
    </row>
    <row r="8559" spans="6:6" x14ac:dyDescent="0.35">
      <c r="F8559"/>
    </row>
    <row r="8560" spans="6:6" x14ac:dyDescent="0.35">
      <c r="F8560"/>
    </row>
    <row r="8561" spans="6:6" x14ac:dyDescent="0.35">
      <c r="F8561"/>
    </row>
    <row r="8562" spans="6:6" x14ac:dyDescent="0.35">
      <c r="F8562"/>
    </row>
    <row r="8563" spans="6:6" x14ac:dyDescent="0.35">
      <c r="F8563"/>
    </row>
    <row r="8564" spans="6:6" x14ac:dyDescent="0.35">
      <c r="F8564"/>
    </row>
    <row r="8565" spans="6:6" x14ac:dyDescent="0.35">
      <c r="F8565"/>
    </row>
    <row r="8566" spans="6:6" x14ac:dyDescent="0.35">
      <c r="F8566"/>
    </row>
    <row r="8567" spans="6:6" x14ac:dyDescent="0.35">
      <c r="F8567"/>
    </row>
    <row r="8568" spans="6:6" x14ac:dyDescent="0.35">
      <c r="F8568"/>
    </row>
    <row r="8569" spans="6:6" x14ac:dyDescent="0.35">
      <c r="F8569"/>
    </row>
    <row r="8570" spans="6:6" x14ac:dyDescent="0.35">
      <c r="F8570"/>
    </row>
    <row r="8571" spans="6:6" x14ac:dyDescent="0.35">
      <c r="F8571"/>
    </row>
    <row r="8572" spans="6:6" x14ac:dyDescent="0.35">
      <c r="F8572"/>
    </row>
    <row r="8573" spans="6:6" x14ac:dyDescent="0.35">
      <c r="F8573"/>
    </row>
    <row r="8574" spans="6:6" x14ac:dyDescent="0.35">
      <c r="F8574"/>
    </row>
    <row r="8575" spans="6:6" x14ac:dyDescent="0.35">
      <c r="F8575"/>
    </row>
    <row r="8576" spans="6:6" x14ac:dyDescent="0.35">
      <c r="F8576"/>
    </row>
    <row r="8577" spans="6:6" x14ac:dyDescent="0.35">
      <c r="F8577"/>
    </row>
    <row r="8578" spans="6:6" x14ac:dyDescent="0.35">
      <c r="F8578"/>
    </row>
    <row r="8579" spans="6:6" x14ac:dyDescent="0.35">
      <c r="F8579"/>
    </row>
    <row r="8580" spans="6:6" x14ac:dyDescent="0.35">
      <c r="F8580"/>
    </row>
    <row r="8581" spans="6:6" x14ac:dyDescent="0.35">
      <c r="F8581"/>
    </row>
    <row r="8582" spans="6:6" x14ac:dyDescent="0.35">
      <c r="F8582"/>
    </row>
    <row r="8583" spans="6:6" x14ac:dyDescent="0.35">
      <c r="F8583"/>
    </row>
    <row r="8584" spans="6:6" x14ac:dyDescent="0.35">
      <c r="F8584"/>
    </row>
    <row r="8585" spans="6:6" x14ac:dyDescent="0.35">
      <c r="F8585"/>
    </row>
    <row r="8586" spans="6:6" x14ac:dyDescent="0.35">
      <c r="F8586"/>
    </row>
    <row r="8587" spans="6:6" x14ac:dyDescent="0.35">
      <c r="F8587"/>
    </row>
    <row r="8588" spans="6:6" x14ac:dyDescent="0.35">
      <c r="F8588"/>
    </row>
    <row r="8589" spans="6:6" x14ac:dyDescent="0.35">
      <c r="F8589"/>
    </row>
    <row r="8590" spans="6:6" x14ac:dyDescent="0.35">
      <c r="F8590"/>
    </row>
    <row r="8591" spans="6:6" x14ac:dyDescent="0.35">
      <c r="F8591"/>
    </row>
    <row r="8592" spans="6:6" x14ac:dyDescent="0.35">
      <c r="F8592"/>
    </row>
    <row r="8593" spans="6:6" x14ac:dyDescent="0.35">
      <c r="F8593"/>
    </row>
    <row r="8594" spans="6:6" x14ac:dyDescent="0.35">
      <c r="F8594"/>
    </row>
    <row r="8595" spans="6:6" x14ac:dyDescent="0.35">
      <c r="F8595"/>
    </row>
    <row r="8596" spans="6:6" x14ac:dyDescent="0.35">
      <c r="F8596"/>
    </row>
    <row r="8597" spans="6:6" x14ac:dyDescent="0.35">
      <c r="F8597"/>
    </row>
    <row r="8598" spans="6:6" x14ac:dyDescent="0.35">
      <c r="F8598"/>
    </row>
    <row r="8599" spans="6:6" x14ac:dyDescent="0.35">
      <c r="F8599"/>
    </row>
    <row r="8600" spans="6:6" x14ac:dyDescent="0.35">
      <c r="F8600"/>
    </row>
    <row r="8601" spans="6:6" x14ac:dyDescent="0.35">
      <c r="F8601"/>
    </row>
    <row r="8602" spans="6:6" x14ac:dyDescent="0.35">
      <c r="F8602"/>
    </row>
    <row r="8603" spans="6:6" x14ac:dyDescent="0.35">
      <c r="F8603"/>
    </row>
    <row r="8604" spans="6:6" x14ac:dyDescent="0.35">
      <c r="F8604"/>
    </row>
    <row r="8605" spans="6:6" x14ac:dyDescent="0.35">
      <c r="F8605"/>
    </row>
    <row r="8606" spans="6:6" x14ac:dyDescent="0.35">
      <c r="F8606"/>
    </row>
    <row r="8607" spans="6:6" x14ac:dyDescent="0.35">
      <c r="F8607"/>
    </row>
    <row r="8608" spans="6:6" x14ac:dyDescent="0.35">
      <c r="F8608"/>
    </row>
    <row r="8609" spans="6:6" x14ac:dyDescent="0.35">
      <c r="F8609"/>
    </row>
    <row r="8610" spans="6:6" x14ac:dyDescent="0.35">
      <c r="F8610"/>
    </row>
    <row r="8611" spans="6:6" x14ac:dyDescent="0.35">
      <c r="F8611"/>
    </row>
    <row r="8612" spans="6:6" x14ac:dyDescent="0.35">
      <c r="F8612"/>
    </row>
    <row r="8613" spans="6:6" x14ac:dyDescent="0.35">
      <c r="F8613"/>
    </row>
    <row r="8614" spans="6:6" x14ac:dyDescent="0.35">
      <c r="F8614"/>
    </row>
    <row r="8615" spans="6:6" x14ac:dyDescent="0.35">
      <c r="F8615"/>
    </row>
    <row r="8616" spans="6:6" x14ac:dyDescent="0.35">
      <c r="F8616"/>
    </row>
    <row r="8617" spans="6:6" x14ac:dyDescent="0.35">
      <c r="F8617"/>
    </row>
    <row r="8618" spans="6:6" x14ac:dyDescent="0.35">
      <c r="F8618"/>
    </row>
    <row r="8619" spans="6:6" x14ac:dyDescent="0.35">
      <c r="F8619"/>
    </row>
    <row r="8620" spans="6:6" x14ac:dyDescent="0.35">
      <c r="F8620"/>
    </row>
    <row r="8621" spans="6:6" x14ac:dyDescent="0.35">
      <c r="F8621"/>
    </row>
    <row r="8622" spans="6:6" x14ac:dyDescent="0.35">
      <c r="F8622"/>
    </row>
    <row r="8623" spans="6:6" x14ac:dyDescent="0.35">
      <c r="F8623"/>
    </row>
    <row r="8624" spans="6:6" x14ac:dyDescent="0.35">
      <c r="F8624"/>
    </row>
    <row r="8625" spans="6:6" x14ac:dyDescent="0.35">
      <c r="F8625"/>
    </row>
    <row r="8626" spans="6:6" x14ac:dyDescent="0.35">
      <c r="F8626"/>
    </row>
    <row r="8627" spans="6:6" x14ac:dyDescent="0.35">
      <c r="F8627"/>
    </row>
    <row r="8628" spans="6:6" x14ac:dyDescent="0.35">
      <c r="F8628"/>
    </row>
    <row r="8629" spans="6:6" x14ac:dyDescent="0.35">
      <c r="F8629"/>
    </row>
    <row r="8630" spans="6:6" x14ac:dyDescent="0.35">
      <c r="F8630"/>
    </row>
    <row r="8631" spans="6:6" x14ac:dyDescent="0.35">
      <c r="F8631"/>
    </row>
    <row r="8632" spans="6:6" x14ac:dyDescent="0.35">
      <c r="F8632"/>
    </row>
    <row r="8633" spans="6:6" x14ac:dyDescent="0.35">
      <c r="F8633"/>
    </row>
    <row r="8634" spans="6:6" x14ac:dyDescent="0.35">
      <c r="F8634"/>
    </row>
    <row r="8635" spans="6:6" x14ac:dyDescent="0.35">
      <c r="F8635"/>
    </row>
    <row r="8636" spans="6:6" x14ac:dyDescent="0.35">
      <c r="F8636"/>
    </row>
    <row r="8637" spans="6:6" x14ac:dyDescent="0.35">
      <c r="F8637"/>
    </row>
    <row r="8638" spans="6:6" x14ac:dyDescent="0.35">
      <c r="F8638"/>
    </row>
    <row r="8639" spans="6:6" x14ac:dyDescent="0.35">
      <c r="F8639"/>
    </row>
    <row r="8640" spans="6:6" x14ac:dyDescent="0.35">
      <c r="F8640"/>
    </row>
    <row r="8641" spans="6:6" x14ac:dyDescent="0.35">
      <c r="F8641"/>
    </row>
    <row r="8642" spans="6:6" x14ac:dyDescent="0.35">
      <c r="F8642"/>
    </row>
    <row r="8643" spans="6:6" x14ac:dyDescent="0.35">
      <c r="F8643"/>
    </row>
    <row r="8644" spans="6:6" x14ac:dyDescent="0.35">
      <c r="F8644"/>
    </row>
    <row r="8645" spans="6:6" x14ac:dyDescent="0.35">
      <c r="F8645"/>
    </row>
    <row r="8646" spans="6:6" x14ac:dyDescent="0.35">
      <c r="F8646"/>
    </row>
    <row r="8647" spans="6:6" x14ac:dyDescent="0.35">
      <c r="F8647"/>
    </row>
    <row r="8648" spans="6:6" x14ac:dyDescent="0.35">
      <c r="F8648"/>
    </row>
    <row r="8649" spans="6:6" x14ac:dyDescent="0.35">
      <c r="F8649"/>
    </row>
    <row r="8650" spans="6:6" x14ac:dyDescent="0.35">
      <c r="F8650"/>
    </row>
    <row r="8651" spans="6:6" x14ac:dyDescent="0.35">
      <c r="F8651"/>
    </row>
    <row r="8652" spans="6:6" x14ac:dyDescent="0.35">
      <c r="F8652"/>
    </row>
    <row r="8653" spans="6:6" x14ac:dyDescent="0.35">
      <c r="F8653"/>
    </row>
    <row r="8654" spans="6:6" x14ac:dyDescent="0.35">
      <c r="F8654"/>
    </row>
    <row r="8655" spans="6:6" x14ac:dyDescent="0.35">
      <c r="F8655"/>
    </row>
    <row r="8656" spans="6:6" x14ac:dyDescent="0.35">
      <c r="F8656"/>
    </row>
    <row r="8657" spans="6:6" x14ac:dyDescent="0.35">
      <c r="F8657"/>
    </row>
    <row r="8658" spans="6:6" x14ac:dyDescent="0.35">
      <c r="F8658"/>
    </row>
    <row r="8659" spans="6:6" x14ac:dyDescent="0.35">
      <c r="F8659"/>
    </row>
    <row r="8660" spans="6:6" x14ac:dyDescent="0.35">
      <c r="F8660"/>
    </row>
    <row r="8661" spans="6:6" x14ac:dyDescent="0.35">
      <c r="F8661"/>
    </row>
    <row r="8662" spans="6:6" x14ac:dyDescent="0.35">
      <c r="F8662"/>
    </row>
    <row r="8663" spans="6:6" x14ac:dyDescent="0.35">
      <c r="F8663"/>
    </row>
    <row r="8664" spans="6:6" x14ac:dyDescent="0.35">
      <c r="F8664"/>
    </row>
    <row r="8665" spans="6:6" x14ac:dyDescent="0.35">
      <c r="F8665"/>
    </row>
    <row r="8666" spans="6:6" x14ac:dyDescent="0.35">
      <c r="F8666"/>
    </row>
    <row r="8667" spans="6:6" x14ac:dyDescent="0.35">
      <c r="F8667"/>
    </row>
    <row r="8668" spans="6:6" x14ac:dyDescent="0.35">
      <c r="F8668"/>
    </row>
    <row r="8669" spans="6:6" x14ac:dyDescent="0.35">
      <c r="F8669"/>
    </row>
    <row r="8670" spans="6:6" x14ac:dyDescent="0.35">
      <c r="F8670"/>
    </row>
    <row r="8671" spans="6:6" x14ac:dyDescent="0.35">
      <c r="F8671"/>
    </row>
    <row r="8672" spans="6:6" x14ac:dyDescent="0.35">
      <c r="F8672"/>
    </row>
    <row r="8673" spans="6:6" x14ac:dyDescent="0.35">
      <c r="F8673"/>
    </row>
    <row r="8674" spans="6:6" x14ac:dyDescent="0.35">
      <c r="F8674"/>
    </row>
    <row r="8675" spans="6:6" x14ac:dyDescent="0.35">
      <c r="F8675"/>
    </row>
    <row r="8676" spans="6:6" x14ac:dyDescent="0.35">
      <c r="F8676"/>
    </row>
    <row r="8677" spans="6:6" x14ac:dyDescent="0.35">
      <c r="F8677"/>
    </row>
    <row r="8678" spans="6:6" x14ac:dyDescent="0.35">
      <c r="F8678"/>
    </row>
    <row r="8679" spans="6:6" x14ac:dyDescent="0.35">
      <c r="F8679"/>
    </row>
    <row r="8680" spans="6:6" x14ac:dyDescent="0.35">
      <c r="F8680"/>
    </row>
    <row r="8681" spans="6:6" x14ac:dyDescent="0.35">
      <c r="F8681"/>
    </row>
    <row r="8682" spans="6:6" x14ac:dyDescent="0.35">
      <c r="F8682"/>
    </row>
    <row r="8683" spans="6:6" x14ac:dyDescent="0.35">
      <c r="F8683"/>
    </row>
    <row r="8684" spans="6:6" x14ac:dyDescent="0.35">
      <c r="F8684"/>
    </row>
    <row r="8685" spans="6:6" x14ac:dyDescent="0.35">
      <c r="F8685"/>
    </row>
    <row r="8686" spans="6:6" x14ac:dyDescent="0.35">
      <c r="F8686"/>
    </row>
    <row r="8687" spans="6:6" x14ac:dyDescent="0.35">
      <c r="F8687"/>
    </row>
    <row r="8688" spans="6:6" x14ac:dyDescent="0.35">
      <c r="F8688"/>
    </row>
    <row r="8689" spans="6:6" x14ac:dyDescent="0.35">
      <c r="F8689"/>
    </row>
    <row r="8690" spans="6:6" x14ac:dyDescent="0.35">
      <c r="F8690"/>
    </row>
    <row r="8691" spans="6:6" x14ac:dyDescent="0.35">
      <c r="F8691"/>
    </row>
    <row r="8692" spans="6:6" x14ac:dyDescent="0.35">
      <c r="F8692"/>
    </row>
    <row r="8693" spans="6:6" x14ac:dyDescent="0.35">
      <c r="F8693"/>
    </row>
    <row r="8694" spans="6:6" x14ac:dyDescent="0.35">
      <c r="F8694"/>
    </row>
    <row r="8695" spans="6:6" x14ac:dyDescent="0.35">
      <c r="F8695"/>
    </row>
    <row r="8696" spans="6:6" x14ac:dyDescent="0.35">
      <c r="F8696"/>
    </row>
    <row r="8697" spans="6:6" x14ac:dyDescent="0.35">
      <c r="F8697"/>
    </row>
    <row r="8698" spans="6:6" x14ac:dyDescent="0.35">
      <c r="F8698"/>
    </row>
    <row r="8699" spans="6:6" x14ac:dyDescent="0.35">
      <c r="F8699"/>
    </row>
    <row r="8700" spans="6:6" x14ac:dyDescent="0.35">
      <c r="F8700"/>
    </row>
    <row r="8701" spans="6:6" x14ac:dyDescent="0.35">
      <c r="F8701"/>
    </row>
    <row r="8702" spans="6:6" x14ac:dyDescent="0.35">
      <c r="F8702"/>
    </row>
    <row r="8703" spans="6:6" x14ac:dyDescent="0.35">
      <c r="F8703"/>
    </row>
    <row r="8704" spans="6:6" x14ac:dyDescent="0.35">
      <c r="F8704"/>
    </row>
    <row r="8705" spans="6:6" x14ac:dyDescent="0.35">
      <c r="F8705"/>
    </row>
    <row r="8706" spans="6:6" x14ac:dyDescent="0.35">
      <c r="F8706"/>
    </row>
    <row r="8707" spans="6:6" x14ac:dyDescent="0.35">
      <c r="F8707"/>
    </row>
    <row r="8708" spans="6:6" x14ac:dyDescent="0.35">
      <c r="F8708"/>
    </row>
    <row r="8709" spans="6:6" x14ac:dyDescent="0.35">
      <c r="F8709"/>
    </row>
    <row r="8710" spans="6:6" x14ac:dyDescent="0.35">
      <c r="F8710"/>
    </row>
    <row r="8711" spans="6:6" x14ac:dyDescent="0.35">
      <c r="F8711"/>
    </row>
    <row r="8712" spans="6:6" x14ac:dyDescent="0.35">
      <c r="F8712"/>
    </row>
    <row r="8713" spans="6:6" x14ac:dyDescent="0.35">
      <c r="F8713"/>
    </row>
    <row r="8714" spans="6:6" x14ac:dyDescent="0.35">
      <c r="F8714"/>
    </row>
    <row r="8715" spans="6:6" x14ac:dyDescent="0.35">
      <c r="F8715"/>
    </row>
    <row r="8716" spans="6:6" x14ac:dyDescent="0.35">
      <c r="F8716"/>
    </row>
    <row r="8717" spans="6:6" x14ac:dyDescent="0.35">
      <c r="F8717"/>
    </row>
    <row r="8718" spans="6:6" x14ac:dyDescent="0.35">
      <c r="F8718"/>
    </row>
    <row r="8719" spans="6:6" x14ac:dyDescent="0.35">
      <c r="F8719"/>
    </row>
    <row r="8720" spans="6:6" x14ac:dyDescent="0.35">
      <c r="F8720"/>
    </row>
    <row r="8721" spans="6:6" x14ac:dyDescent="0.35">
      <c r="F8721"/>
    </row>
    <row r="8722" spans="6:6" x14ac:dyDescent="0.35">
      <c r="F8722"/>
    </row>
    <row r="8723" spans="6:6" x14ac:dyDescent="0.35">
      <c r="F8723"/>
    </row>
    <row r="8724" spans="6:6" x14ac:dyDescent="0.35">
      <c r="F8724"/>
    </row>
    <row r="8725" spans="6:6" x14ac:dyDescent="0.35">
      <c r="F8725"/>
    </row>
    <row r="8726" spans="6:6" x14ac:dyDescent="0.35">
      <c r="F8726"/>
    </row>
    <row r="8727" spans="6:6" x14ac:dyDescent="0.35">
      <c r="F8727"/>
    </row>
    <row r="8728" spans="6:6" x14ac:dyDescent="0.35">
      <c r="F8728"/>
    </row>
    <row r="8729" spans="6:6" x14ac:dyDescent="0.35">
      <c r="F8729"/>
    </row>
    <row r="8730" spans="6:6" x14ac:dyDescent="0.35">
      <c r="F8730"/>
    </row>
    <row r="8731" spans="6:6" x14ac:dyDescent="0.35">
      <c r="F8731"/>
    </row>
    <row r="8732" spans="6:6" x14ac:dyDescent="0.35">
      <c r="F8732"/>
    </row>
    <row r="8733" spans="6:6" x14ac:dyDescent="0.35">
      <c r="F8733"/>
    </row>
    <row r="8734" spans="6:6" x14ac:dyDescent="0.35">
      <c r="F8734"/>
    </row>
    <row r="8735" spans="6:6" x14ac:dyDescent="0.35">
      <c r="F8735"/>
    </row>
    <row r="8736" spans="6:6" x14ac:dyDescent="0.35">
      <c r="F8736"/>
    </row>
    <row r="8737" spans="6:6" x14ac:dyDescent="0.35">
      <c r="F8737"/>
    </row>
    <row r="8738" spans="6:6" x14ac:dyDescent="0.35">
      <c r="F8738"/>
    </row>
    <row r="8739" spans="6:6" x14ac:dyDescent="0.35">
      <c r="F8739"/>
    </row>
    <row r="8740" spans="6:6" x14ac:dyDescent="0.35">
      <c r="F8740"/>
    </row>
    <row r="8741" spans="6:6" x14ac:dyDescent="0.35">
      <c r="F8741"/>
    </row>
    <row r="8742" spans="6:6" x14ac:dyDescent="0.35">
      <c r="F8742"/>
    </row>
    <row r="8743" spans="6:6" x14ac:dyDescent="0.35">
      <c r="F8743"/>
    </row>
    <row r="8744" spans="6:6" x14ac:dyDescent="0.35">
      <c r="F8744"/>
    </row>
    <row r="8745" spans="6:6" x14ac:dyDescent="0.35">
      <c r="F8745"/>
    </row>
    <row r="8746" spans="6:6" x14ac:dyDescent="0.35">
      <c r="F8746"/>
    </row>
    <row r="8747" spans="6:6" x14ac:dyDescent="0.35">
      <c r="F8747"/>
    </row>
    <row r="8748" spans="6:6" x14ac:dyDescent="0.35">
      <c r="F8748"/>
    </row>
    <row r="8749" spans="6:6" x14ac:dyDescent="0.35">
      <c r="F8749"/>
    </row>
    <row r="8750" spans="6:6" x14ac:dyDescent="0.35">
      <c r="F8750"/>
    </row>
    <row r="8751" spans="6:6" x14ac:dyDescent="0.35">
      <c r="F8751"/>
    </row>
    <row r="8752" spans="6:6" x14ac:dyDescent="0.35">
      <c r="F8752"/>
    </row>
    <row r="8753" spans="6:6" x14ac:dyDescent="0.35">
      <c r="F8753"/>
    </row>
    <row r="8754" spans="6:6" x14ac:dyDescent="0.35">
      <c r="F8754"/>
    </row>
    <row r="8755" spans="6:6" x14ac:dyDescent="0.35">
      <c r="F8755"/>
    </row>
    <row r="8756" spans="6:6" x14ac:dyDescent="0.35">
      <c r="F8756"/>
    </row>
    <row r="8757" spans="6:6" x14ac:dyDescent="0.35">
      <c r="F8757"/>
    </row>
    <row r="8758" spans="6:6" x14ac:dyDescent="0.35">
      <c r="F8758"/>
    </row>
    <row r="8759" spans="6:6" x14ac:dyDescent="0.35">
      <c r="F8759"/>
    </row>
    <row r="8760" spans="6:6" x14ac:dyDescent="0.35">
      <c r="F8760"/>
    </row>
    <row r="8761" spans="6:6" x14ac:dyDescent="0.35">
      <c r="F8761"/>
    </row>
    <row r="8762" spans="6:6" x14ac:dyDescent="0.35">
      <c r="F8762"/>
    </row>
    <row r="8763" spans="6:6" x14ac:dyDescent="0.35">
      <c r="F8763"/>
    </row>
    <row r="8764" spans="6:6" x14ac:dyDescent="0.35">
      <c r="F8764"/>
    </row>
    <row r="8765" spans="6:6" x14ac:dyDescent="0.35">
      <c r="F8765"/>
    </row>
    <row r="8766" spans="6:6" x14ac:dyDescent="0.35">
      <c r="F8766"/>
    </row>
    <row r="8767" spans="6:6" x14ac:dyDescent="0.35">
      <c r="F8767"/>
    </row>
    <row r="8768" spans="6:6" x14ac:dyDescent="0.35">
      <c r="F8768"/>
    </row>
    <row r="8769" spans="6:6" x14ac:dyDescent="0.35">
      <c r="F8769"/>
    </row>
    <row r="8770" spans="6:6" x14ac:dyDescent="0.35">
      <c r="F8770"/>
    </row>
    <row r="8771" spans="6:6" x14ac:dyDescent="0.35">
      <c r="F8771"/>
    </row>
    <row r="8772" spans="6:6" x14ac:dyDescent="0.35">
      <c r="F8772"/>
    </row>
    <row r="8773" spans="6:6" x14ac:dyDescent="0.35">
      <c r="F8773"/>
    </row>
    <row r="8774" spans="6:6" x14ac:dyDescent="0.35">
      <c r="F8774"/>
    </row>
    <row r="8775" spans="6:6" x14ac:dyDescent="0.35">
      <c r="F8775"/>
    </row>
    <row r="8776" spans="6:6" x14ac:dyDescent="0.35">
      <c r="F8776"/>
    </row>
    <row r="8777" spans="6:6" x14ac:dyDescent="0.35">
      <c r="F8777"/>
    </row>
    <row r="8778" spans="6:6" x14ac:dyDescent="0.35">
      <c r="F8778"/>
    </row>
    <row r="8779" spans="6:6" x14ac:dyDescent="0.35">
      <c r="F8779"/>
    </row>
    <row r="8780" spans="6:6" x14ac:dyDescent="0.35">
      <c r="F8780"/>
    </row>
    <row r="8781" spans="6:6" x14ac:dyDescent="0.35">
      <c r="F8781"/>
    </row>
    <row r="8782" spans="6:6" x14ac:dyDescent="0.35">
      <c r="F8782"/>
    </row>
    <row r="8783" spans="6:6" x14ac:dyDescent="0.35">
      <c r="F8783"/>
    </row>
    <row r="8784" spans="6:6" x14ac:dyDescent="0.35">
      <c r="F8784"/>
    </row>
    <row r="8785" spans="6:6" x14ac:dyDescent="0.35">
      <c r="F8785"/>
    </row>
    <row r="8786" spans="6:6" x14ac:dyDescent="0.35">
      <c r="F8786"/>
    </row>
    <row r="8787" spans="6:6" x14ac:dyDescent="0.35">
      <c r="F8787"/>
    </row>
    <row r="8788" spans="6:6" x14ac:dyDescent="0.35">
      <c r="F8788"/>
    </row>
    <row r="8789" spans="6:6" x14ac:dyDescent="0.35">
      <c r="F8789"/>
    </row>
    <row r="8790" spans="6:6" x14ac:dyDescent="0.35">
      <c r="F8790"/>
    </row>
    <row r="8791" spans="6:6" x14ac:dyDescent="0.35">
      <c r="F8791"/>
    </row>
    <row r="8792" spans="6:6" x14ac:dyDescent="0.35">
      <c r="F8792"/>
    </row>
    <row r="8793" spans="6:6" x14ac:dyDescent="0.35">
      <c r="F8793"/>
    </row>
    <row r="8794" spans="6:6" x14ac:dyDescent="0.35">
      <c r="F8794"/>
    </row>
    <row r="8795" spans="6:6" x14ac:dyDescent="0.35">
      <c r="F8795"/>
    </row>
    <row r="8796" spans="6:6" x14ac:dyDescent="0.35">
      <c r="F8796"/>
    </row>
    <row r="8797" spans="6:6" x14ac:dyDescent="0.35">
      <c r="F8797"/>
    </row>
    <row r="8798" spans="6:6" x14ac:dyDescent="0.35">
      <c r="F8798"/>
    </row>
    <row r="8799" spans="6:6" x14ac:dyDescent="0.35">
      <c r="F8799"/>
    </row>
    <row r="8800" spans="6:6" x14ac:dyDescent="0.35">
      <c r="F8800"/>
    </row>
    <row r="8801" spans="6:6" x14ac:dyDescent="0.35">
      <c r="F8801"/>
    </row>
    <row r="8802" spans="6:6" x14ac:dyDescent="0.35">
      <c r="F8802"/>
    </row>
    <row r="8803" spans="6:6" x14ac:dyDescent="0.35">
      <c r="F8803"/>
    </row>
    <row r="8804" spans="6:6" x14ac:dyDescent="0.35">
      <c r="F8804"/>
    </row>
    <row r="8805" spans="6:6" x14ac:dyDescent="0.35">
      <c r="F8805"/>
    </row>
    <row r="8806" spans="6:6" x14ac:dyDescent="0.35">
      <c r="F8806"/>
    </row>
    <row r="8807" spans="6:6" x14ac:dyDescent="0.35">
      <c r="F8807"/>
    </row>
    <row r="8808" spans="6:6" x14ac:dyDescent="0.35">
      <c r="F8808"/>
    </row>
    <row r="8809" spans="6:6" x14ac:dyDescent="0.35">
      <c r="F8809"/>
    </row>
    <row r="8810" spans="6:6" x14ac:dyDescent="0.35">
      <c r="F8810"/>
    </row>
    <row r="8811" spans="6:6" x14ac:dyDescent="0.35">
      <c r="F8811"/>
    </row>
    <row r="8812" spans="6:6" x14ac:dyDescent="0.35">
      <c r="F8812"/>
    </row>
    <row r="8813" spans="6:6" x14ac:dyDescent="0.35">
      <c r="F8813"/>
    </row>
    <row r="8814" spans="6:6" x14ac:dyDescent="0.35">
      <c r="F8814"/>
    </row>
    <row r="8815" spans="6:6" x14ac:dyDescent="0.35">
      <c r="F8815"/>
    </row>
    <row r="8816" spans="6:6" x14ac:dyDescent="0.35">
      <c r="F8816"/>
    </row>
    <row r="8817" spans="6:6" x14ac:dyDescent="0.35">
      <c r="F8817"/>
    </row>
    <row r="8818" spans="6:6" x14ac:dyDescent="0.35">
      <c r="F8818"/>
    </row>
    <row r="8819" spans="6:6" x14ac:dyDescent="0.35">
      <c r="F8819"/>
    </row>
    <row r="8820" spans="6:6" x14ac:dyDescent="0.35">
      <c r="F8820"/>
    </row>
    <row r="8821" spans="6:6" x14ac:dyDescent="0.35">
      <c r="F8821"/>
    </row>
    <row r="8822" spans="6:6" x14ac:dyDescent="0.35">
      <c r="F8822"/>
    </row>
    <row r="8823" spans="6:6" x14ac:dyDescent="0.35">
      <c r="F8823"/>
    </row>
    <row r="8824" spans="6:6" x14ac:dyDescent="0.35">
      <c r="F8824"/>
    </row>
    <row r="8825" spans="6:6" x14ac:dyDescent="0.35">
      <c r="F8825"/>
    </row>
    <row r="8826" spans="6:6" x14ac:dyDescent="0.35">
      <c r="F8826"/>
    </row>
    <row r="8827" spans="6:6" x14ac:dyDescent="0.35">
      <c r="F8827"/>
    </row>
    <row r="8828" spans="6:6" x14ac:dyDescent="0.35">
      <c r="F8828"/>
    </row>
    <row r="8829" spans="6:6" x14ac:dyDescent="0.35">
      <c r="F8829"/>
    </row>
    <row r="8830" spans="6:6" x14ac:dyDescent="0.35">
      <c r="F8830"/>
    </row>
    <row r="8831" spans="6:6" x14ac:dyDescent="0.35">
      <c r="F8831"/>
    </row>
    <row r="8832" spans="6:6" x14ac:dyDescent="0.35">
      <c r="F8832"/>
    </row>
    <row r="8833" spans="6:6" x14ac:dyDescent="0.35">
      <c r="F8833"/>
    </row>
    <row r="8834" spans="6:6" x14ac:dyDescent="0.35">
      <c r="F8834"/>
    </row>
    <row r="8835" spans="6:6" x14ac:dyDescent="0.35">
      <c r="F8835"/>
    </row>
    <row r="8836" spans="6:6" x14ac:dyDescent="0.35">
      <c r="F8836"/>
    </row>
    <row r="8837" spans="6:6" x14ac:dyDescent="0.35">
      <c r="F8837"/>
    </row>
    <row r="8838" spans="6:6" x14ac:dyDescent="0.35">
      <c r="F8838"/>
    </row>
    <row r="8839" spans="6:6" x14ac:dyDescent="0.35">
      <c r="F8839"/>
    </row>
    <row r="8840" spans="6:6" x14ac:dyDescent="0.35">
      <c r="F8840"/>
    </row>
    <row r="8841" spans="6:6" x14ac:dyDescent="0.35">
      <c r="F8841"/>
    </row>
    <row r="8842" spans="6:6" x14ac:dyDescent="0.35">
      <c r="F8842"/>
    </row>
    <row r="8843" spans="6:6" x14ac:dyDescent="0.35">
      <c r="F8843"/>
    </row>
    <row r="8844" spans="6:6" x14ac:dyDescent="0.35">
      <c r="F8844"/>
    </row>
    <row r="8845" spans="6:6" x14ac:dyDescent="0.35">
      <c r="F8845"/>
    </row>
    <row r="8846" spans="6:6" x14ac:dyDescent="0.35">
      <c r="F8846"/>
    </row>
    <row r="8847" spans="6:6" x14ac:dyDescent="0.35">
      <c r="F8847"/>
    </row>
    <row r="8848" spans="6:6" x14ac:dyDescent="0.35">
      <c r="F8848"/>
    </row>
    <row r="8849" spans="6:6" x14ac:dyDescent="0.35">
      <c r="F8849"/>
    </row>
    <row r="8850" spans="6:6" x14ac:dyDescent="0.35">
      <c r="F8850"/>
    </row>
    <row r="8851" spans="6:6" x14ac:dyDescent="0.35">
      <c r="F8851"/>
    </row>
    <row r="8852" spans="6:6" x14ac:dyDescent="0.35">
      <c r="F8852"/>
    </row>
    <row r="8853" spans="6:6" x14ac:dyDescent="0.35">
      <c r="F8853"/>
    </row>
    <row r="8854" spans="6:6" x14ac:dyDescent="0.35">
      <c r="F8854"/>
    </row>
    <row r="8855" spans="6:6" x14ac:dyDescent="0.35">
      <c r="F8855"/>
    </row>
    <row r="8856" spans="6:6" x14ac:dyDescent="0.35">
      <c r="F8856"/>
    </row>
    <row r="8857" spans="6:6" x14ac:dyDescent="0.35">
      <c r="F8857"/>
    </row>
    <row r="8858" spans="6:6" x14ac:dyDescent="0.35">
      <c r="F8858"/>
    </row>
    <row r="8859" spans="6:6" x14ac:dyDescent="0.35">
      <c r="F8859"/>
    </row>
    <row r="8860" spans="6:6" x14ac:dyDescent="0.35">
      <c r="F8860"/>
    </row>
    <row r="8861" spans="6:6" x14ac:dyDescent="0.35">
      <c r="F8861"/>
    </row>
    <row r="8862" spans="6:6" x14ac:dyDescent="0.35">
      <c r="F8862"/>
    </row>
    <row r="8863" spans="6:6" x14ac:dyDescent="0.35">
      <c r="F8863"/>
    </row>
    <row r="8864" spans="6:6" x14ac:dyDescent="0.35">
      <c r="F8864"/>
    </row>
    <row r="8865" spans="6:6" x14ac:dyDescent="0.35">
      <c r="F8865"/>
    </row>
    <row r="8866" spans="6:6" x14ac:dyDescent="0.35">
      <c r="F8866"/>
    </row>
    <row r="8867" spans="6:6" x14ac:dyDescent="0.35">
      <c r="F8867"/>
    </row>
    <row r="8868" spans="6:6" x14ac:dyDescent="0.35">
      <c r="F8868"/>
    </row>
    <row r="8869" spans="6:6" x14ac:dyDescent="0.35">
      <c r="F8869"/>
    </row>
    <row r="8870" spans="6:6" x14ac:dyDescent="0.35">
      <c r="F8870"/>
    </row>
    <row r="8871" spans="6:6" x14ac:dyDescent="0.35">
      <c r="F8871"/>
    </row>
    <row r="8872" spans="6:6" x14ac:dyDescent="0.35">
      <c r="F8872"/>
    </row>
    <row r="8873" spans="6:6" x14ac:dyDescent="0.35">
      <c r="F8873"/>
    </row>
    <row r="8874" spans="6:6" x14ac:dyDescent="0.35">
      <c r="F8874"/>
    </row>
    <row r="8875" spans="6:6" x14ac:dyDescent="0.35">
      <c r="F8875"/>
    </row>
    <row r="8876" spans="6:6" x14ac:dyDescent="0.35">
      <c r="F8876"/>
    </row>
    <row r="8877" spans="6:6" x14ac:dyDescent="0.35">
      <c r="F8877"/>
    </row>
    <row r="8878" spans="6:6" x14ac:dyDescent="0.35">
      <c r="F8878"/>
    </row>
    <row r="8879" spans="6:6" x14ac:dyDescent="0.35">
      <c r="F8879"/>
    </row>
    <row r="8880" spans="6:6" x14ac:dyDescent="0.35">
      <c r="F8880"/>
    </row>
    <row r="8881" spans="6:6" x14ac:dyDescent="0.35">
      <c r="F8881"/>
    </row>
    <row r="8882" spans="6:6" x14ac:dyDescent="0.35">
      <c r="F8882"/>
    </row>
    <row r="8883" spans="6:6" x14ac:dyDescent="0.35">
      <c r="F8883"/>
    </row>
    <row r="8884" spans="6:6" x14ac:dyDescent="0.35">
      <c r="F8884"/>
    </row>
    <row r="8885" spans="6:6" x14ac:dyDescent="0.35">
      <c r="F8885"/>
    </row>
    <row r="8886" spans="6:6" x14ac:dyDescent="0.35">
      <c r="F8886"/>
    </row>
    <row r="8887" spans="6:6" x14ac:dyDescent="0.35">
      <c r="F8887"/>
    </row>
    <row r="8888" spans="6:6" x14ac:dyDescent="0.35">
      <c r="F8888"/>
    </row>
    <row r="8889" spans="6:6" x14ac:dyDescent="0.35">
      <c r="F8889"/>
    </row>
    <row r="8890" spans="6:6" x14ac:dyDescent="0.35">
      <c r="F8890"/>
    </row>
    <row r="8891" spans="6:6" x14ac:dyDescent="0.35">
      <c r="F8891"/>
    </row>
    <row r="8892" spans="6:6" x14ac:dyDescent="0.35">
      <c r="F8892"/>
    </row>
    <row r="8893" spans="6:6" x14ac:dyDescent="0.35">
      <c r="F8893"/>
    </row>
    <row r="8894" spans="6:6" x14ac:dyDescent="0.35">
      <c r="F8894"/>
    </row>
    <row r="8895" spans="6:6" x14ac:dyDescent="0.35">
      <c r="F8895"/>
    </row>
    <row r="8896" spans="6:6" x14ac:dyDescent="0.35">
      <c r="F8896"/>
    </row>
    <row r="8897" spans="6:6" x14ac:dyDescent="0.35">
      <c r="F8897"/>
    </row>
    <row r="8898" spans="6:6" x14ac:dyDescent="0.35">
      <c r="F8898"/>
    </row>
    <row r="8899" spans="6:6" x14ac:dyDescent="0.35">
      <c r="F8899"/>
    </row>
    <row r="8900" spans="6:6" x14ac:dyDescent="0.35">
      <c r="F8900"/>
    </row>
    <row r="8901" spans="6:6" x14ac:dyDescent="0.35">
      <c r="F8901"/>
    </row>
    <row r="8902" spans="6:6" x14ac:dyDescent="0.35">
      <c r="F8902"/>
    </row>
    <row r="8903" spans="6:6" x14ac:dyDescent="0.35">
      <c r="F8903"/>
    </row>
    <row r="8904" spans="6:6" x14ac:dyDescent="0.35">
      <c r="F8904"/>
    </row>
    <row r="8905" spans="6:6" x14ac:dyDescent="0.35">
      <c r="F8905"/>
    </row>
    <row r="8906" spans="6:6" x14ac:dyDescent="0.35">
      <c r="F8906"/>
    </row>
    <row r="8907" spans="6:6" x14ac:dyDescent="0.35">
      <c r="F8907"/>
    </row>
    <row r="8908" spans="6:6" x14ac:dyDescent="0.35">
      <c r="F8908"/>
    </row>
    <row r="8909" spans="6:6" x14ac:dyDescent="0.35">
      <c r="F8909"/>
    </row>
    <row r="8910" spans="6:6" x14ac:dyDescent="0.35">
      <c r="F8910"/>
    </row>
    <row r="8911" spans="6:6" x14ac:dyDescent="0.35">
      <c r="F8911"/>
    </row>
    <row r="8912" spans="6:6" x14ac:dyDescent="0.35">
      <c r="F8912"/>
    </row>
    <row r="8913" spans="6:6" x14ac:dyDescent="0.35">
      <c r="F8913"/>
    </row>
    <row r="8914" spans="6:6" x14ac:dyDescent="0.35">
      <c r="F8914"/>
    </row>
    <row r="8915" spans="6:6" x14ac:dyDescent="0.35">
      <c r="F8915"/>
    </row>
    <row r="8916" spans="6:6" x14ac:dyDescent="0.35">
      <c r="F8916"/>
    </row>
    <row r="8917" spans="6:6" x14ac:dyDescent="0.35">
      <c r="F8917"/>
    </row>
    <row r="8918" spans="6:6" x14ac:dyDescent="0.35">
      <c r="F8918"/>
    </row>
    <row r="8919" spans="6:6" x14ac:dyDescent="0.35">
      <c r="F8919"/>
    </row>
    <row r="8920" spans="6:6" x14ac:dyDescent="0.35">
      <c r="F8920"/>
    </row>
    <row r="8921" spans="6:6" x14ac:dyDescent="0.35">
      <c r="F8921"/>
    </row>
    <row r="8922" spans="6:6" x14ac:dyDescent="0.35">
      <c r="F8922"/>
    </row>
    <row r="8923" spans="6:6" x14ac:dyDescent="0.35">
      <c r="F8923"/>
    </row>
    <row r="8924" spans="6:6" x14ac:dyDescent="0.35">
      <c r="F8924"/>
    </row>
    <row r="8925" spans="6:6" x14ac:dyDescent="0.35">
      <c r="F8925"/>
    </row>
    <row r="8926" spans="6:6" x14ac:dyDescent="0.35">
      <c r="F8926"/>
    </row>
    <row r="8927" spans="6:6" x14ac:dyDescent="0.35">
      <c r="F8927"/>
    </row>
    <row r="8928" spans="6:6" x14ac:dyDescent="0.35">
      <c r="F8928"/>
    </row>
    <row r="8929" spans="6:6" x14ac:dyDescent="0.35">
      <c r="F8929"/>
    </row>
    <row r="8930" spans="6:6" x14ac:dyDescent="0.35">
      <c r="F8930"/>
    </row>
    <row r="8931" spans="6:6" x14ac:dyDescent="0.35">
      <c r="F8931"/>
    </row>
    <row r="8932" spans="6:6" x14ac:dyDescent="0.35">
      <c r="F8932"/>
    </row>
    <row r="8933" spans="6:6" x14ac:dyDescent="0.35">
      <c r="F8933"/>
    </row>
    <row r="8934" spans="6:6" x14ac:dyDescent="0.35">
      <c r="F8934"/>
    </row>
    <row r="8935" spans="6:6" x14ac:dyDescent="0.35">
      <c r="F8935"/>
    </row>
    <row r="8936" spans="6:6" x14ac:dyDescent="0.35">
      <c r="F8936"/>
    </row>
    <row r="8937" spans="6:6" x14ac:dyDescent="0.35">
      <c r="F8937"/>
    </row>
    <row r="8938" spans="6:6" x14ac:dyDescent="0.35">
      <c r="F8938"/>
    </row>
    <row r="8939" spans="6:6" x14ac:dyDescent="0.35">
      <c r="F8939"/>
    </row>
    <row r="8940" spans="6:6" x14ac:dyDescent="0.35">
      <c r="F8940"/>
    </row>
    <row r="8941" spans="6:6" x14ac:dyDescent="0.35">
      <c r="F8941"/>
    </row>
    <row r="8942" spans="6:6" x14ac:dyDescent="0.35">
      <c r="F8942"/>
    </row>
    <row r="8943" spans="6:6" x14ac:dyDescent="0.35">
      <c r="F8943"/>
    </row>
    <row r="8944" spans="6:6" x14ac:dyDescent="0.35">
      <c r="F8944"/>
    </row>
    <row r="8945" spans="6:6" x14ac:dyDescent="0.35">
      <c r="F8945"/>
    </row>
    <row r="8946" spans="6:6" x14ac:dyDescent="0.35">
      <c r="F8946"/>
    </row>
    <row r="8947" spans="6:6" x14ac:dyDescent="0.35">
      <c r="F8947"/>
    </row>
    <row r="8948" spans="6:6" x14ac:dyDescent="0.35">
      <c r="F8948"/>
    </row>
    <row r="8949" spans="6:6" x14ac:dyDescent="0.35">
      <c r="F8949"/>
    </row>
    <row r="8950" spans="6:6" x14ac:dyDescent="0.35">
      <c r="F8950"/>
    </row>
    <row r="8951" spans="6:6" x14ac:dyDescent="0.35">
      <c r="F8951"/>
    </row>
    <row r="8952" spans="6:6" x14ac:dyDescent="0.35">
      <c r="F8952"/>
    </row>
    <row r="8953" spans="6:6" x14ac:dyDescent="0.35">
      <c r="F8953"/>
    </row>
    <row r="8954" spans="6:6" x14ac:dyDescent="0.35">
      <c r="F8954"/>
    </row>
    <row r="8955" spans="6:6" x14ac:dyDescent="0.35">
      <c r="F8955"/>
    </row>
    <row r="8956" spans="6:6" x14ac:dyDescent="0.35">
      <c r="F8956"/>
    </row>
    <row r="8957" spans="6:6" x14ac:dyDescent="0.35">
      <c r="F8957"/>
    </row>
    <row r="8958" spans="6:6" x14ac:dyDescent="0.35">
      <c r="F8958"/>
    </row>
    <row r="8959" spans="6:6" x14ac:dyDescent="0.35">
      <c r="F8959"/>
    </row>
    <row r="8960" spans="6:6" x14ac:dyDescent="0.35">
      <c r="F8960"/>
    </row>
    <row r="8961" spans="6:6" x14ac:dyDescent="0.35">
      <c r="F8961"/>
    </row>
    <row r="8962" spans="6:6" x14ac:dyDescent="0.35">
      <c r="F8962"/>
    </row>
    <row r="8963" spans="6:6" x14ac:dyDescent="0.35">
      <c r="F8963"/>
    </row>
    <row r="8964" spans="6:6" x14ac:dyDescent="0.35">
      <c r="F8964"/>
    </row>
    <row r="8965" spans="6:6" x14ac:dyDescent="0.35">
      <c r="F8965"/>
    </row>
    <row r="8966" spans="6:6" x14ac:dyDescent="0.35">
      <c r="F8966"/>
    </row>
    <row r="8967" spans="6:6" x14ac:dyDescent="0.35">
      <c r="F8967"/>
    </row>
    <row r="8968" spans="6:6" x14ac:dyDescent="0.35">
      <c r="F8968"/>
    </row>
    <row r="8969" spans="6:6" x14ac:dyDescent="0.35">
      <c r="F8969"/>
    </row>
    <row r="8970" spans="6:6" x14ac:dyDescent="0.35">
      <c r="F8970"/>
    </row>
    <row r="8971" spans="6:6" x14ac:dyDescent="0.35">
      <c r="F8971"/>
    </row>
    <row r="8972" spans="6:6" x14ac:dyDescent="0.35">
      <c r="F8972"/>
    </row>
    <row r="8973" spans="6:6" x14ac:dyDescent="0.35">
      <c r="F8973"/>
    </row>
    <row r="8974" spans="6:6" x14ac:dyDescent="0.35">
      <c r="F8974"/>
    </row>
    <row r="8975" spans="6:6" x14ac:dyDescent="0.35">
      <c r="F8975"/>
    </row>
    <row r="8976" spans="6:6" x14ac:dyDescent="0.35">
      <c r="F8976"/>
    </row>
    <row r="8977" spans="6:6" x14ac:dyDescent="0.35">
      <c r="F8977"/>
    </row>
    <row r="8978" spans="6:6" x14ac:dyDescent="0.35">
      <c r="F8978"/>
    </row>
    <row r="8979" spans="6:6" x14ac:dyDescent="0.35">
      <c r="F8979"/>
    </row>
    <row r="8980" spans="6:6" x14ac:dyDescent="0.35">
      <c r="F8980"/>
    </row>
    <row r="8981" spans="6:6" x14ac:dyDescent="0.35">
      <c r="F8981"/>
    </row>
    <row r="8982" spans="6:6" x14ac:dyDescent="0.35">
      <c r="F8982"/>
    </row>
    <row r="8983" spans="6:6" x14ac:dyDescent="0.35">
      <c r="F8983"/>
    </row>
    <row r="8984" spans="6:6" x14ac:dyDescent="0.35">
      <c r="F8984"/>
    </row>
    <row r="8985" spans="6:6" x14ac:dyDescent="0.35">
      <c r="F8985"/>
    </row>
    <row r="8986" spans="6:6" x14ac:dyDescent="0.35">
      <c r="F8986"/>
    </row>
    <row r="8987" spans="6:6" x14ac:dyDescent="0.35">
      <c r="F8987"/>
    </row>
    <row r="8988" spans="6:6" x14ac:dyDescent="0.35">
      <c r="F8988"/>
    </row>
    <row r="8989" spans="6:6" x14ac:dyDescent="0.35">
      <c r="F8989"/>
    </row>
    <row r="8990" spans="6:6" x14ac:dyDescent="0.35">
      <c r="F8990"/>
    </row>
    <row r="8991" spans="6:6" x14ac:dyDescent="0.35">
      <c r="F8991"/>
    </row>
    <row r="8992" spans="6:6" x14ac:dyDescent="0.35">
      <c r="F8992"/>
    </row>
    <row r="8993" spans="6:6" x14ac:dyDescent="0.35">
      <c r="F8993"/>
    </row>
    <row r="8994" spans="6:6" x14ac:dyDescent="0.35">
      <c r="F8994"/>
    </row>
    <row r="8995" spans="6:6" x14ac:dyDescent="0.35">
      <c r="F8995"/>
    </row>
    <row r="8996" spans="6:6" x14ac:dyDescent="0.35">
      <c r="F8996"/>
    </row>
    <row r="8997" spans="6:6" x14ac:dyDescent="0.35">
      <c r="F8997"/>
    </row>
    <row r="8998" spans="6:6" x14ac:dyDescent="0.35">
      <c r="F8998"/>
    </row>
    <row r="8999" spans="6:6" x14ac:dyDescent="0.35">
      <c r="F8999"/>
    </row>
    <row r="9000" spans="6:6" x14ac:dyDescent="0.35">
      <c r="F9000"/>
    </row>
    <row r="9001" spans="6:6" x14ac:dyDescent="0.35">
      <c r="F9001"/>
    </row>
    <row r="9002" spans="6:6" x14ac:dyDescent="0.35">
      <c r="F9002"/>
    </row>
    <row r="9003" spans="6:6" x14ac:dyDescent="0.35">
      <c r="F9003"/>
    </row>
    <row r="9004" spans="6:6" x14ac:dyDescent="0.35">
      <c r="F9004"/>
    </row>
    <row r="9005" spans="6:6" x14ac:dyDescent="0.35">
      <c r="F9005"/>
    </row>
    <row r="9006" spans="6:6" x14ac:dyDescent="0.35">
      <c r="F9006"/>
    </row>
    <row r="9007" spans="6:6" x14ac:dyDescent="0.35">
      <c r="F9007"/>
    </row>
    <row r="9008" spans="6:6" x14ac:dyDescent="0.35">
      <c r="F9008"/>
    </row>
    <row r="9009" spans="6:6" x14ac:dyDescent="0.35">
      <c r="F9009"/>
    </row>
    <row r="9010" spans="6:6" x14ac:dyDescent="0.35">
      <c r="F9010"/>
    </row>
    <row r="9011" spans="6:6" x14ac:dyDescent="0.35">
      <c r="F9011"/>
    </row>
    <row r="9012" spans="6:6" x14ac:dyDescent="0.35">
      <c r="F9012"/>
    </row>
    <row r="9013" spans="6:6" x14ac:dyDescent="0.35">
      <c r="F9013"/>
    </row>
    <row r="9014" spans="6:6" x14ac:dyDescent="0.35">
      <c r="F9014"/>
    </row>
    <row r="9015" spans="6:6" x14ac:dyDescent="0.35">
      <c r="F9015"/>
    </row>
    <row r="9016" spans="6:6" x14ac:dyDescent="0.35">
      <c r="F9016"/>
    </row>
    <row r="9017" spans="6:6" x14ac:dyDescent="0.35">
      <c r="F9017"/>
    </row>
    <row r="9018" spans="6:6" x14ac:dyDescent="0.35">
      <c r="F9018"/>
    </row>
    <row r="9019" spans="6:6" x14ac:dyDescent="0.35">
      <c r="F9019"/>
    </row>
    <row r="9020" spans="6:6" x14ac:dyDescent="0.35">
      <c r="F9020"/>
    </row>
    <row r="9021" spans="6:6" x14ac:dyDescent="0.35">
      <c r="F9021"/>
    </row>
    <row r="9022" spans="6:6" x14ac:dyDescent="0.35">
      <c r="F9022"/>
    </row>
    <row r="9023" spans="6:6" x14ac:dyDescent="0.35">
      <c r="F9023"/>
    </row>
    <row r="9024" spans="6:6" x14ac:dyDescent="0.35">
      <c r="F9024"/>
    </row>
    <row r="9025" spans="6:6" x14ac:dyDescent="0.35">
      <c r="F9025"/>
    </row>
    <row r="9026" spans="6:6" x14ac:dyDescent="0.35">
      <c r="F9026"/>
    </row>
    <row r="9027" spans="6:6" x14ac:dyDescent="0.35">
      <c r="F9027"/>
    </row>
    <row r="9028" spans="6:6" x14ac:dyDescent="0.35">
      <c r="F9028"/>
    </row>
    <row r="9029" spans="6:6" x14ac:dyDescent="0.35">
      <c r="F9029"/>
    </row>
    <row r="9030" spans="6:6" x14ac:dyDescent="0.35">
      <c r="F9030"/>
    </row>
    <row r="9031" spans="6:6" x14ac:dyDescent="0.35">
      <c r="F9031"/>
    </row>
    <row r="9032" spans="6:6" x14ac:dyDescent="0.35">
      <c r="F9032"/>
    </row>
    <row r="9033" spans="6:6" x14ac:dyDescent="0.35">
      <c r="F9033"/>
    </row>
    <row r="9034" spans="6:6" x14ac:dyDescent="0.35">
      <c r="F9034"/>
    </row>
    <row r="9035" spans="6:6" x14ac:dyDescent="0.35">
      <c r="F9035"/>
    </row>
    <row r="9036" spans="6:6" x14ac:dyDescent="0.35">
      <c r="F9036"/>
    </row>
    <row r="9037" spans="6:6" x14ac:dyDescent="0.35">
      <c r="F9037"/>
    </row>
    <row r="9038" spans="6:6" x14ac:dyDescent="0.35">
      <c r="F9038"/>
    </row>
    <row r="9039" spans="6:6" x14ac:dyDescent="0.35">
      <c r="F9039"/>
    </row>
    <row r="9040" spans="6:6" x14ac:dyDescent="0.35">
      <c r="F9040"/>
    </row>
    <row r="9041" spans="6:6" x14ac:dyDescent="0.35">
      <c r="F9041"/>
    </row>
    <row r="9042" spans="6:6" x14ac:dyDescent="0.35">
      <c r="F9042"/>
    </row>
    <row r="9043" spans="6:6" x14ac:dyDescent="0.35">
      <c r="F9043"/>
    </row>
    <row r="9044" spans="6:6" x14ac:dyDescent="0.35">
      <c r="F9044"/>
    </row>
    <row r="9045" spans="6:6" x14ac:dyDescent="0.35">
      <c r="F9045"/>
    </row>
    <row r="9046" spans="6:6" x14ac:dyDescent="0.35">
      <c r="F9046"/>
    </row>
    <row r="9047" spans="6:6" x14ac:dyDescent="0.35">
      <c r="F9047"/>
    </row>
    <row r="9048" spans="6:6" x14ac:dyDescent="0.35">
      <c r="F9048"/>
    </row>
    <row r="9049" spans="6:6" x14ac:dyDescent="0.35">
      <c r="F9049"/>
    </row>
    <row r="9050" spans="6:6" x14ac:dyDescent="0.35">
      <c r="F9050"/>
    </row>
    <row r="9051" spans="6:6" x14ac:dyDescent="0.35">
      <c r="F9051"/>
    </row>
    <row r="9052" spans="6:6" x14ac:dyDescent="0.35">
      <c r="F9052"/>
    </row>
    <row r="9053" spans="6:6" x14ac:dyDescent="0.35">
      <c r="F9053"/>
    </row>
    <row r="9054" spans="6:6" x14ac:dyDescent="0.35">
      <c r="F9054"/>
    </row>
    <row r="9055" spans="6:6" x14ac:dyDescent="0.35">
      <c r="F9055"/>
    </row>
    <row r="9056" spans="6:6" x14ac:dyDescent="0.35">
      <c r="F9056"/>
    </row>
    <row r="9057" spans="6:6" x14ac:dyDescent="0.35">
      <c r="F9057"/>
    </row>
    <row r="9058" spans="6:6" x14ac:dyDescent="0.35">
      <c r="F9058"/>
    </row>
    <row r="9059" spans="6:6" x14ac:dyDescent="0.35">
      <c r="F9059"/>
    </row>
    <row r="9060" spans="6:6" x14ac:dyDescent="0.35">
      <c r="F9060"/>
    </row>
    <row r="9061" spans="6:6" x14ac:dyDescent="0.35">
      <c r="F9061"/>
    </row>
    <row r="9062" spans="6:6" x14ac:dyDescent="0.35">
      <c r="F9062"/>
    </row>
    <row r="9063" spans="6:6" x14ac:dyDescent="0.35">
      <c r="F9063"/>
    </row>
    <row r="9064" spans="6:6" x14ac:dyDescent="0.35">
      <c r="F9064"/>
    </row>
    <row r="9065" spans="6:6" x14ac:dyDescent="0.35">
      <c r="F9065"/>
    </row>
    <row r="9066" spans="6:6" x14ac:dyDescent="0.35">
      <c r="F9066"/>
    </row>
    <row r="9067" spans="6:6" x14ac:dyDescent="0.35">
      <c r="F9067"/>
    </row>
    <row r="9068" spans="6:6" x14ac:dyDescent="0.35">
      <c r="F9068"/>
    </row>
    <row r="9069" spans="6:6" x14ac:dyDescent="0.35">
      <c r="F9069"/>
    </row>
    <row r="9070" spans="6:6" x14ac:dyDescent="0.35">
      <c r="F9070"/>
    </row>
    <row r="9071" spans="6:6" x14ac:dyDescent="0.35">
      <c r="F9071"/>
    </row>
    <row r="9072" spans="6:6" x14ac:dyDescent="0.35">
      <c r="F9072"/>
    </row>
    <row r="9073" spans="6:6" x14ac:dyDescent="0.35">
      <c r="F9073"/>
    </row>
    <row r="9074" spans="6:6" x14ac:dyDescent="0.35">
      <c r="F9074"/>
    </row>
    <row r="9075" spans="6:6" x14ac:dyDescent="0.35">
      <c r="F9075"/>
    </row>
    <row r="9076" spans="6:6" x14ac:dyDescent="0.35">
      <c r="F9076"/>
    </row>
    <row r="9077" spans="6:6" x14ac:dyDescent="0.35">
      <c r="F9077"/>
    </row>
    <row r="9078" spans="6:6" x14ac:dyDescent="0.35">
      <c r="F9078"/>
    </row>
    <row r="9079" spans="6:6" x14ac:dyDescent="0.35">
      <c r="F9079"/>
    </row>
    <row r="9080" spans="6:6" x14ac:dyDescent="0.35">
      <c r="F9080"/>
    </row>
    <row r="9081" spans="6:6" x14ac:dyDescent="0.35">
      <c r="F9081"/>
    </row>
    <row r="9082" spans="6:6" x14ac:dyDescent="0.35">
      <c r="F9082"/>
    </row>
    <row r="9083" spans="6:6" x14ac:dyDescent="0.35">
      <c r="F9083"/>
    </row>
    <row r="9084" spans="6:6" x14ac:dyDescent="0.35">
      <c r="F9084"/>
    </row>
    <row r="9085" spans="6:6" x14ac:dyDescent="0.35">
      <c r="F9085"/>
    </row>
    <row r="9086" spans="6:6" x14ac:dyDescent="0.35">
      <c r="F9086"/>
    </row>
    <row r="9087" spans="6:6" x14ac:dyDescent="0.35">
      <c r="F9087"/>
    </row>
    <row r="9088" spans="6:6" x14ac:dyDescent="0.35">
      <c r="F9088"/>
    </row>
    <row r="9089" spans="6:6" x14ac:dyDescent="0.35">
      <c r="F9089"/>
    </row>
    <row r="9090" spans="6:6" x14ac:dyDescent="0.35">
      <c r="F9090"/>
    </row>
    <row r="9091" spans="6:6" x14ac:dyDescent="0.35">
      <c r="F9091"/>
    </row>
    <row r="9092" spans="6:6" x14ac:dyDescent="0.35">
      <c r="F9092"/>
    </row>
    <row r="9093" spans="6:6" x14ac:dyDescent="0.35">
      <c r="F9093"/>
    </row>
    <row r="9094" spans="6:6" x14ac:dyDescent="0.35">
      <c r="F9094"/>
    </row>
    <row r="9095" spans="6:6" x14ac:dyDescent="0.35">
      <c r="F9095"/>
    </row>
    <row r="9096" spans="6:6" x14ac:dyDescent="0.35">
      <c r="F9096"/>
    </row>
    <row r="9097" spans="6:6" x14ac:dyDescent="0.35">
      <c r="F9097"/>
    </row>
    <row r="9098" spans="6:6" x14ac:dyDescent="0.35">
      <c r="F9098"/>
    </row>
    <row r="9099" spans="6:6" x14ac:dyDescent="0.35">
      <c r="F9099"/>
    </row>
    <row r="9100" spans="6:6" x14ac:dyDescent="0.35">
      <c r="F9100"/>
    </row>
    <row r="9101" spans="6:6" x14ac:dyDescent="0.35">
      <c r="F9101"/>
    </row>
    <row r="9102" spans="6:6" x14ac:dyDescent="0.35">
      <c r="F9102"/>
    </row>
    <row r="9103" spans="6:6" x14ac:dyDescent="0.35">
      <c r="F9103"/>
    </row>
    <row r="9104" spans="6:6" x14ac:dyDescent="0.35">
      <c r="F9104"/>
    </row>
    <row r="9105" spans="6:6" x14ac:dyDescent="0.35">
      <c r="F9105"/>
    </row>
    <row r="9106" spans="6:6" x14ac:dyDescent="0.35">
      <c r="F9106"/>
    </row>
    <row r="9107" spans="6:6" x14ac:dyDescent="0.35">
      <c r="F9107"/>
    </row>
    <row r="9108" spans="6:6" x14ac:dyDescent="0.35">
      <c r="F9108"/>
    </row>
    <row r="9109" spans="6:6" x14ac:dyDescent="0.35">
      <c r="F9109"/>
    </row>
    <row r="9110" spans="6:6" x14ac:dyDescent="0.35">
      <c r="F9110"/>
    </row>
    <row r="9111" spans="6:6" x14ac:dyDescent="0.35">
      <c r="F9111"/>
    </row>
    <row r="9112" spans="6:6" x14ac:dyDescent="0.35">
      <c r="F9112"/>
    </row>
    <row r="9113" spans="6:6" x14ac:dyDescent="0.35">
      <c r="F9113"/>
    </row>
    <row r="9114" spans="6:6" x14ac:dyDescent="0.35">
      <c r="F9114"/>
    </row>
    <row r="9115" spans="6:6" x14ac:dyDescent="0.35">
      <c r="F9115"/>
    </row>
    <row r="9116" spans="6:6" x14ac:dyDescent="0.35">
      <c r="F9116"/>
    </row>
    <row r="9117" spans="6:6" x14ac:dyDescent="0.35">
      <c r="F9117"/>
    </row>
    <row r="9118" spans="6:6" x14ac:dyDescent="0.35">
      <c r="F9118"/>
    </row>
    <row r="9119" spans="6:6" x14ac:dyDescent="0.35">
      <c r="F9119"/>
    </row>
    <row r="9120" spans="6:6" x14ac:dyDescent="0.35">
      <c r="F9120"/>
    </row>
    <row r="9121" spans="6:6" x14ac:dyDescent="0.35">
      <c r="F9121"/>
    </row>
    <row r="9122" spans="6:6" x14ac:dyDescent="0.35">
      <c r="F9122"/>
    </row>
    <row r="9123" spans="6:6" x14ac:dyDescent="0.35">
      <c r="F9123"/>
    </row>
    <row r="9124" spans="6:6" x14ac:dyDescent="0.35">
      <c r="F9124"/>
    </row>
    <row r="9125" spans="6:6" x14ac:dyDescent="0.35">
      <c r="F9125"/>
    </row>
    <row r="9126" spans="6:6" x14ac:dyDescent="0.35">
      <c r="F9126"/>
    </row>
    <row r="9127" spans="6:6" x14ac:dyDescent="0.35">
      <c r="F9127"/>
    </row>
    <row r="9128" spans="6:6" x14ac:dyDescent="0.35">
      <c r="F9128"/>
    </row>
    <row r="9129" spans="6:6" x14ac:dyDescent="0.35">
      <c r="F9129"/>
    </row>
    <row r="9130" spans="6:6" x14ac:dyDescent="0.35">
      <c r="F9130"/>
    </row>
    <row r="9131" spans="6:6" x14ac:dyDescent="0.35">
      <c r="F9131"/>
    </row>
    <row r="9132" spans="6:6" x14ac:dyDescent="0.35">
      <c r="F9132"/>
    </row>
    <row r="9133" spans="6:6" x14ac:dyDescent="0.35">
      <c r="F9133"/>
    </row>
    <row r="9134" spans="6:6" x14ac:dyDescent="0.35">
      <c r="F9134"/>
    </row>
    <row r="9135" spans="6:6" x14ac:dyDescent="0.35">
      <c r="F9135"/>
    </row>
    <row r="9136" spans="6:6" x14ac:dyDescent="0.35">
      <c r="F9136"/>
    </row>
    <row r="9137" spans="6:6" x14ac:dyDescent="0.35">
      <c r="F9137"/>
    </row>
    <row r="9138" spans="6:6" x14ac:dyDescent="0.35">
      <c r="F9138"/>
    </row>
    <row r="9139" spans="6:6" x14ac:dyDescent="0.35">
      <c r="F9139"/>
    </row>
    <row r="9140" spans="6:6" x14ac:dyDescent="0.35">
      <c r="F9140"/>
    </row>
    <row r="9141" spans="6:6" x14ac:dyDescent="0.35">
      <c r="F9141"/>
    </row>
    <row r="9142" spans="6:6" x14ac:dyDescent="0.35">
      <c r="F9142"/>
    </row>
    <row r="9143" spans="6:6" x14ac:dyDescent="0.35">
      <c r="F9143"/>
    </row>
    <row r="9144" spans="6:6" x14ac:dyDescent="0.35">
      <c r="F9144"/>
    </row>
    <row r="9145" spans="6:6" x14ac:dyDescent="0.35">
      <c r="F9145"/>
    </row>
    <row r="9146" spans="6:6" x14ac:dyDescent="0.35">
      <c r="F9146"/>
    </row>
    <row r="9147" spans="6:6" x14ac:dyDescent="0.35">
      <c r="F9147"/>
    </row>
    <row r="9148" spans="6:6" x14ac:dyDescent="0.35">
      <c r="F9148"/>
    </row>
    <row r="9149" spans="6:6" x14ac:dyDescent="0.35">
      <c r="F9149"/>
    </row>
    <row r="9150" spans="6:6" x14ac:dyDescent="0.35">
      <c r="F9150"/>
    </row>
    <row r="9151" spans="6:6" x14ac:dyDescent="0.35">
      <c r="F9151"/>
    </row>
    <row r="9152" spans="6:6" x14ac:dyDescent="0.35">
      <c r="F9152"/>
    </row>
    <row r="9153" spans="6:6" x14ac:dyDescent="0.35">
      <c r="F9153"/>
    </row>
    <row r="9154" spans="6:6" x14ac:dyDescent="0.35">
      <c r="F9154"/>
    </row>
    <row r="9155" spans="6:6" x14ac:dyDescent="0.35">
      <c r="F9155"/>
    </row>
    <row r="9156" spans="6:6" x14ac:dyDescent="0.35">
      <c r="F9156"/>
    </row>
    <row r="9157" spans="6:6" x14ac:dyDescent="0.35">
      <c r="F9157"/>
    </row>
    <row r="9158" spans="6:6" x14ac:dyDescent="0.35">
      <c r="F9158"/>
    </row>
    <row r="9159" spans="6:6" x14ac:dyDescent="0.35">
      <c r="F9159"/>
    </row>
    <row r="9160" spans="6:6" x14ac:dyDescent="0.35">
      <c r="F9160"/>
    </row>
    <row r="9161" spans="6:6" x14ac:dyDescent="0.35">
      <c r="F9161"/>
    </row>
    <row r="9162" spans="6:6" x14ac:dyDescent="0.35">
      <c r="F9162"/>
    </row>
    <row r="9163" spans="6:6" x14ac:dyDescent="0.35">
      <c r="F9163"/>
    </row>
    <row r="9164" spans="6:6" x14ac:dyDescent="0.35">
      <c r="F9164"/>
    </row>
    <row r="9165" spans="6:6" x14ac:dyDescent="0.35">
      <c r="F9165"/>
    </row>
    <row r="9166" spans="6:6" x14ac:dyDescent="0.35">
      <c r="F9166"/>
    </row>
    <row r="9167" spans="6:6" x14ac:dyDescent="0.35">
      <c r="F9167"/>
    </row>
    <row r="9168" spans="6:6" x14ac:dyDescent="0.35">
      <c r="F9168"/>
    </row>
    <row r="9169" spans="6:6" x14ac:dyDescent="0.35">
      <c r="F9169"/>
    </row>
    <row r="9170" spans="6:6" x14ac:dyDescent="0.35">
      <c r="F9170"/>
    </row>
    <row r="9171" spans="6:6" x14ac:dyDescent="0.35">
      <c r="F9171"/>
    </row>
    <row r="9172" spans="6:6" x14ac:dyDescent="0.35">
      <c r="F9172"/>
    </row>
    <row r="9173" spans="6:6" x14ac:dyDescent="0.35">
      <c r="F9173"/>
    </row>
    <row r="9174" spans="6:6" x14ac:dyDescent="0.35">
      <c r="F9174"/>
    </row>
    <row r="9175" spans="6:6" x14ac:dyDescent="0.35">
      <c r="F9175"/>
    </row>
    <row r="9176" spans="6:6" x14ac:dyDescent="0.35">
      <c r="F9176"/>
    </row>
    <row r="9177" spans="6:6" x14ac:dyDescent="0.35">
      <c r="F9177"/>
    </row>
    <row r="9178" spans="6:6" x14ac:dyDescent="0.35">
      <c r="F9178"/>
    </row>
    <row r="9179" spans="6:6" x14ac:dyDescent="0.35">
      <c r="F9179"/>
    </row>
    <row r="9180" spans="6:6" x14ac:dyDescent="0.35">
      <c r="F9180"/>
    </row>
    <row r="9181" spans="6:6" x14ac:dyDescent="0.35">
      <c r="F9181"/>
    </row>
    <row r="9182" spans="6:6" x14ac:dyDescent="0.35">
      <c r="F9182"/>
    </row>
    <row r="9183" spans="6:6" x14ac:dyDescent="0.35">
      <c r="F9183"/>
    </row>
    <row r="9184" spans="6:6" x14ac:dyDescent="0.35">
      <c r="F9184"/>
    </row>
    <row r="9185" spans="6:6" x14ac:dyDescent="0.35">
      <c r="F9185"/>
    </row>
    <row r="9186" spans="6:6" x14ac:dyDescent="0.35">
      <c r="F9186"/>
    </row>
    <row r="9187" spans="6:6" x14ac:dyDescent="0.35">
      <c r="F9187"/>
    </row>
    <row r="9188" spans="6:6" x14ac:dyDescent="0.35">
      <c r="F9188"/>
    </row>
    <row r="9189" spans="6:6" x14ac:dyDescent="0.35">
      <c r="F9189"/>
    </row>
    <row r="9190" spans="6:6" x14ac:dyDescent="0.35">
      <c r="F9190"/>
    </row>
    <row r="9191" spans="6:6" x14ac:dyDescent="0.35">
      <c r="F9191"/>
    </row>
    <row r="9192" spans="6:6" x14ac:dyDescent="0.35">
      <c r="F9192"/>
    </row>
    <row r="9193" spans="6:6" x14ac:dyDescent="0.35">
      <c r="F9193"/>
    </row>
    <row r="9194" spans="6:6" x14ac:dyDescent="0.35">
      <c r="F9194"/>
    </row>
    <row r="9195" spans="6:6" x14ac:dyDescent="0.35">
      <c r="F9195"/>
    </row>
    <row r="9196" spans="6:6" x14ac:dyDescent="0.35">
      <c r="F9196"/>
    </row>
    <row r="9197" spans="6:6" x14ac:dyDescent="0.35">
      <c r="F9197"/>
    </row>
    <row r="9198" spans="6:6" x14ac:dyDescent="0.35">
      <c r="F9198"/>
    </row>
    <row r="9199" spans="6:6" x14ac:dyDescent="0.35">
      <c r="F9199"/>
    </row>
    <row r="9200" spans="6:6" x14ac:dyDescent="0.35">
      <c r="F9200"/>
    </row>
    <row r="9201" spans="6:6" x14ac:dyDescent="0.35">
      <c r="F9201"/>
    </row>
    <row r="9202" spans="6:6" x14ac:dyDescent="0.35">
      <c r="F9202"/>
    </row>
    <row r="9203" spans="6:6" x14ac:dyDescent="0.35">
      <c r="F9203"/>
    </row>
    <row r="9204" spans="6:6" x14ac:dyDescent="0.35">
      <c r="F9204"/>
    </row>
    <row r="9205" spans="6:6" x14ac:dyDescent="0.35">
      <c r="F9205"/>
    </row>
    <row r="9206" spans="6:6" x14ac:dyDescent="0.35">
      <c r="F9206"/>
    </row>
    <row r="9207" spans="6:6" x14ac:dyDescent="0.35">
      <c r="F9207"/>
    </row>
    <row r="9208" spans="6:6" x14ac:dyDescent="0.35">
      <c r="F9208"/>
    </row>
    <row r="9209" spans="6:6" x14ac:dyDescent="0.35">
      <c r="F9209"/>
    </row>
    <row r="9210" spans="6:6" x14ac:dyDescent="0.35">
      <c r="F9210"/>
    </row>
    <row r="9211" spans="6:6" x14ac:dyDescent="0.35">
      <c r="F9211"/>
    </row>
    <row r="9212" spans="6:6" x14ac:dyDescent="0.35">
      <c r="F9212"/>
    </row>
    <row r="9213" spans="6:6" x14ac:dyDescent="0.35">
      <c r="F9213"/>
    </row>
    <row r="9214" spans="6:6" x14ac:dyDescent="0.35">
      <c r="F9214"/>
    </row>
    <row r="9215" spans="6:6" x14ac:dyDescent="0.35">
      <c r="F9215"/>
    </row>
    <row r="9216" spans="6:6" x14ac:dyDescent="0.35">
      <c r="F9216"/>
    </row>
    <row r="9217" spans="6:6" x14ac:dyDescent="0.35">
      <c r="F9217"/>
    </row>
    <row r="9218" spans="6:6" x14ac:dyDescent="0.35">
      <c r="F9218"/>
    </row>
    <row r="9219" spans="6:6" x14ac:dyDescent="0.35">
      <c r="F9219"/>
    </row>
    <row r="9220" spans="6:6" x14ac:dyDescent="0.35">
      <c r="F9220"/>
    </row>
    <row r="9221" spans="6:6" x14ac:dyDescent="0.35">
      <c r="F9221"/>
    </row>
    <row r="9222" spans="6:6" x14ac:dyDescent="0.35">
      <c r="F9222"/>
    </row>
    <row r="9223" spans="6:6" x14ac:dyDescent="0.35">
      <c r="F9223"/>
    </row>
    <row r="9224" spans="6:6" x14ac:dyDescent="0.35">
      <c r="F9224"/>
    </row>
    <row r="9225" spans="6:6" x14ac:dyDescent="0.35">
      <c r="F9225"/>
    </row>
    <row r="9226" spans="6:6" x14ac:dyDescent="0.35">
      <c r="F9226"/>
    </row>
    <row r="9227" spans="6:6" x14ac:dyDescent="0.35">
      <c r="F9227"/>
    </row>
    <row r="9228" spans="6:6" x14ac:dyDescent="0.35">
      <c r="F9228"/>
    </row>
    <row r="9229" spans="6:6" x14ac:dyDescent="0.35">
      <c r="F9229"/>
    </row>
    <row r="9230" spans="6:6" x14ac:dyDescent="0.35">
      <c r="F9230"/>
    </row>
    <row r="9231" spans="6:6" x14ac:dyDescent="0.35">
      <c r="F9231"/>
    </row>
    <row r="9232" spans="6:6" x14ac:dyDescent="0.35">
      <c r="F9232"/>
    </row>
    <row r="9233" spans="6:6" x14ac:dyDescent="0.35">
      <c r="F9233"/>
    </row>
    <row r="9234" spans="6:6" x14ac:dyDescent="0.35">
      <c r="F9234"/>
    </row>
    <row r="9235" spans="6:6" x14ac:dyDescent="0.35">
      <c r="F9235"/>
    </row>
    <row r="9236" spans="6:6" x14ac:dyDescent="0.35">
      <c r="F9236"/>
    </row>
    <row r="9237" spans="6:6" x14ac:dyDescent="0.35">
      <c r="F9237"/>
    </row>
    <row r="9238" spans="6:6" x14ac:dyDescent="0.35">
      <c r="F9238"/>
    </row>
    <row r="9239" spans="6:6" x14ac:dyDescent="0.35">
      <c r="F9239"/>
    </row>
    <row r="9240" spans="6:6" x14ac:dyDescent="0.35">
      <c r="F9240"/>
    </row>
    <row r="9241" spans="6:6" x14ac:dyDescent="0.35">
      <c r="F9241"/>
    </row>
    <row r="9242" spans="6:6" x14ac:dyDescent="0.35">
      <c r="F9242"/>
    </row>
    <row r="9243" spans="6:6" x14ac:dyDescent="0.35">
      <c r="F9243"/>
    </row>
    <row r="9244" spans="6:6" x14ac:dyDescent="0.35">
      <c r="F9244"/>
    </row>
    <row r="9245" spans="6:6" x14ac:dyDescent="0.35">
      <c r="F9245"/>
    </row>
    <row r="9246" spans="6:6" x14ac:dyDescent="0.35">
      <c r="F9246"/>
    </row>
    <row r="9247" spans="6:6" x14ac:dyDescent="0.35">
      <c r="F9247"/>
    </row>
    <row r="9248" spans="6:6" x14ac:dyDescent="0.35">
      <c r="F9248"/>
    </row>
    <row r="9249" spans="6:6" x14ac:dyDescent="0.35">
      <c r="F9249"/>
    </row>
    <row r="9250" spans="6:6" x14ac:dyDescent="0.35">
      <c r="F9250"/>
    </row>
    <row r="9251" spans="6:6" x14ac:dyDescent="0.35">
      <c r="F9251"/>
    </row>
    <row r="9252" spans="6:6" x14ac:dyDescent="0.35">
      <c r="F9252"/>
    </row>
    <row r="9253" spans="6:6" x14ac:dyDescent="0.35">
      <c r="F9253"/>
    </row>
    <row r="9254" spans="6:6" x14ac:dyDescent="0.35">
      <c r="F9254"/>
    </row>
    <row r="9255" spans="6:6" x14ac:dyDescent="0.35">
      <c r="F9255"/>
    </row>
    <row r="9256" spans="6:6" x14ac:dyDescent="0.35">
      <c r="F9256"/>
    </row>
    <row r="9257" spans="6:6" x14ac:dyDescent="0.35">
      <c r="F9257"/>
    </row>
    <row r="9258" spans="6:6" x14ac:dyDescent="0.35">
      <c r="F9258"/>
    </row>
    <row r="9259" spans="6:6" x14ac:dyDescent="0.35">
      <c r="F9259"/>
    </row>
    <row r="9260" spans="6:6" x14ac:dyDescent="0.35">
      <c r="F9260"/>
    </row>
    <row r="9261" spans="6:6" x14ac:dyDescent="0.35">
      <c r="F9261"/>
    </row>
    <row r="9262" spans="6:6" x14ac:dyDescent="0.35">
      <c r="F9262"/>
    </row>
    <row r="9263" spans="6:6" x14ac:dyDescent="0.35">
      <c r="F9263"/>
    </row>
    <row r="9264" spans="6:6" x14ac:dyDescent="0.35">
      <c r="F9264"/>
    </row>
    <row r="9265" spans="6:6" x14ac:dyDescent="0.35">
      <c r="F9265"/>
    </row>
    <row r="9266" spans="6:6" x14ac:dyDescent="0.35">
      <c r="F9266"/>
    </row>
    <row r="9267" spans="6:6" x14ac:dyDescent="0.35">
      <c r="F9267"/>
    </row>
    <row r="9268" spans="6:6" x14ac:dyDescent="0.35">
      <c r="F9268"/>
    </row>
    <row r="9269" spans="6:6" x14ac:dyDescent="0.35">
      <c r="F9269"/>
    </row>
    <row r="9270" spans="6:6" x14ac:dyDescent="0.35">
      <c r="F9270"/>
    </row>
    <row r="9271" spans="6:6" x14ac:dyDescent="0.35">
      <c r="F9271"/>
    </row>
    <row r="9272" spans="6:6" x14ac:dyDescent="0.35">
      <c r="F9272"/>
    </row>
    <row r="9273" spans="6:6" x14ac:dyDescent="0.35">
      <c r="F9273"/>
    </row>
    <row r="9274" spans="6:6" x14ac:dyDescent="0.35">
      <c r="F9274"/>
    </row>
    <row r="9275" spans="6:6" x14ac:dyDescent="0.35">
      <c r="F9275"/>
    </row>
    <row r="9276" spans="6:6" x14ac:dyDescent="0.35">
      <c r="F9276"/>
    </row>
    <row r="9277" spans="6:6" x14ac:dyDescent="0.35">
      <c r="F9277"/>
    </row>
    <row r="9278" spans="6:6" x14ac:dyDescent="0.35">
      <c r="F9278"/>
    </row>
    <row r="9279" spans="6:6" x14ac:dyDescent="0.35">
      <c r="F9279"/>
    </row>
    <row r="9280" spans="6:6" x14ac:dyDescent="0.35">
      <c r="F9280"/>
    </row>
    <row r="9281" spans="6:6" x14ac:dyDescent="0.35">
      <c r="F9281"/>
    </row>
    <row r="9282" spans="6:6" x14ac:dyDescent="0.35">
      <c r="F9282"/>
    </row>
    <row r="9283" spans="6:6" x14ac:dyDescent="0.35">
      <c r="F9283"/>
    </row>
    <row r="9284" spans="6:6" x14ac:dyDescent="0.35">
      <c r="F9284"/>
    </row>
    <row r="9285" spans="6:6" x14ac:dyDescent="0.35">
      <c r="F9285"/>
    </row>
    <row r="9286" spans="6:6" x14ac:dyDescent="0.35">
      <c r="F9286"/>
    </row>
    <row r="9287" spans="6:6" x14ac:dyDescent="0.35">
      <c r="F9287"/>
    </row>
    <row r="9288" spans="6:6" x14ac:dyDescent="0.35">
      <c r="F9288"/>
    </row>
    <row r="9289" spans="6:6" x14ac:dyDescent="0.35">
      <c r="F9289"/>
    </row>
    <row r="9290" spans="6:6" x14ac:dyDescent="0.35">
      <c r="F9290"/>
    </row>
    <row r="9291" spans="6:6" x14ac:dyDescent="0.35">
      <c r="F9291"/>
    </row>
    <row r="9292" spans="6:6" x14ac:dyDescent="0.35">
      <c r="F9292"/>
    </row>
    <row r="9293" spans="6:6" x14ac:dyDescent="0.35">
      <c r="F9293"/>
    </row>
    <row r="9294" spans="6:6" x14ac:dyDescent="0.35">
      <c r="F9294"/>
    </row>
    <row r="9295" spans="6:6" x14ac:dyDescent="0.35">
      <c r="F9295"/>
    </row>
    <row r="9296" spans="6:6" x14ac:dyDescent="0.35">
      <c r="F9296"/>
    </row>
    <row r="9297" spans="6:6" x14ac:dyDescent="0.35">
      <c r="F9297"/>
    </row>
    <row r="9298" spans="6:6" x14ac:dyDescent="0.35">
      <c r="F9298"/>
    </row>
    <row r="9299" spans="6:6" x14ac:dyDescent="0.35">
      <c r="F9299"/>
    </row>
    <row r="9300" spans="6:6" x14ac:dyDescent="0.35">
      <c r="F9300"/>
    </row>
    <row r="9301" spans="6:6" x14ac:dyDescent="0.35">
      <c r="F9301"/>
    </row>
    <row r="9302" spans="6:6" x14ac:dyDescent="0.35">
      <c r="F9302"/>
    </row>
    <row r="9303" spans="6:6" x14ac:dyDescent="0.35">
      <c r="F9303"/>
    </row>
    <row r="9304" spans="6:6" x14ac:dyDescent="0.35">
      <c r="F9304"/>
    </row>
    <row r="9305" spans="6:6" x14ac:dyDescent="0.35">
      <c r="F9305"/>
    </row>
    <row r="9306" spans="6:6" x14ac:dyDescent="0.35">
      <c r="F9306"/>
    </row>
    <row r="9307" spans="6:6" x14ac:dyDescent="0.35">
      <c r="F9307"/>
    </row>
    <row r="9308" spans="6:6" x14ac:dyDescent="0.35">
      <c r="F9308"/>
    </row>
    <row r="9309" spans="6:6" x14ac:dyDescent="0.35">
      <c r="F9309"/>
    </row>
    <row r="9310" spans="6:6" x14ac:dyDescent="0.35">
      <c r="F9310"/>
    </row>
    <row r="9311" spans="6:6" x14ac:dyDescent="0.35">
      <c r="F9311"/>
    </row>
    <row r="9312" spans="6:6" x14ac:dyDescent="0.35">
      <c r="F9312"/>
    </row>
    <row r="9313" spans="6:6" x14ac:dyDescent="0.35">
      <c r="F9313"/>
    </row>
    <row r="9314" spans="6:6" x14ac:dyDescent="0.35">
      <c r="F9314"/>
    </row>
    <row r="9315" spans="6:6" x14ac:dyDescent="0.35">
      <c r="F9315"/>
    </row>
    <row r="9316" spans="6:6" x14ac:dyDescent="0.35">
      <c r="F9316"/>
    </row>
    <row r="9317" spans="6:6" x14ac:dyDescent="0.35">
      <c r="F9317"/>
    </row>
    <row r="9318" spans="6:6" x14ac:dyDescent="0.35">
      <c r="F9318"/>
    </row>
    <row r="9319" spans="6:6" x14ac:dyDescent="0.35">
      <c r="F9319"/>
    </row>
    <row r="9320" spans="6:6" x14ac:dyDescent="0.35">
      <c r="F9320"/>
    </row>
    <row r="9321" spans="6:6" x14ac:dyDescent="0.35">
      <c r="F9321"/>
    </row>
    <row r="9322" spans="6:6" x14ac:dyDescent="0.35">
      <c r="F9322"/>
    </row>
    <row r="9323" spans="6:6" x14ac:dyDescent="0.35">
      <c r="F9323"/>
    </row>
    <row r="9324" spans="6:6" x14ac:dyDescent="0.35">
      <c r="F9324"/>
    </row>
    <row r="9325" spans="6:6" x14ac:dyDescent="0.35">
      <c r="F9325"/>
    </row>
    <row r="9326" spans="6:6" x14ac:dyDescent="0.35">
      <c r="F9326"/>
    </row>
    <row r="9327" spans="6:6" x14ac:dyDescent="0.35">
      <c r="F9327"/>
    </row>
    <row r="9328" spans="6:6" x14ac:dyDescent="0.35">
      <c r="F9328"/>
    </row>
    <row r="9329" spans="6:6" x14ac:dyDescent="0.35">
      <c r="F9329"/>
    </row>
    <row r="9330" spans="6:6" x14ac:dyDescent="0.35">
      <c r="F9330"/>
    </row>
    <row r="9331" spans="6:6" x14ac:dyDescent="0.35">
      <c r="F9331"/>
    </row>
    <row r="9332" spans="6:6" x14ac:dyDescent="0.35">
      <c r="F9332"/>
    </row>
    <row r="9333" spans="6:6" x14ac:dyDescent="0.35">
      <c r="F9333"/>
    </row>
    <row r="9334" spans="6:6" x14ac:dyDescent="0.35">
      <c r="F9334"/>
    </row>
    <row r="9335" spans="6:6" x14ac:dyDescent="0.35">
      <c r="F9335"/>
    </row>
    <row r="9336" spans="6:6" x14ac:dyDescent="0.35">
      <c r="F9336"/>
    </row>
    <row r="9337" spans="6:6" x14ac:dyDescent="0.35">
      <c r="F9337"/>
    </row>
    <row r="9338" spans="6:6" x14ac:dyDescent="0.35">
      <c r="F9338"/>
    </row>
    <row r="9339" spans="6:6" x14ac:dyDescent="0.35">
      <c r="F9339"/>
    </row>
    <row r="9340" spans="6:6" x14ac:dyDescent="0.35">
      <c r="F9340"/>
    </row>
    <row r="9341" spans="6:6" x14ac:dyDescent="0.35">
      <c r="F9341"/>
    </row>
    <row r="9342" spans="6:6" x14ac:dyDescent="0.35">
      <c r="F9342"/>
    </row>
    <row r="9343" spans="6:6" x14ac:dyDescent="0.35">
      <c r="F9343"/>
    </row>
    <row r="9344" spans="6:6" x14ac:dyDescent="0.35">
      <c r="F9344"/>
    </row>
    <row r="9345" spans="6:6" x14ac:dyDescent="0.35">
      <c r="F9345"/>
    </row>
    <row r="9346" spans="6:6" x14ac:dyDescent="0.35">
      <c r="F9346"/>
    </row>
    <row r="9347" spans="6:6" x14ac:dyDescent="0.35">
      <c r="F9347"/>
    </row>
    <row r="9348" spans="6:6" x14ac:dyDescent="0.35">
      <c r="F9348"/>
    </row>
    <row r="9349" spans="6:6" x14ac:dyDescent="0.35">
      <c r="F9349"/>
    </row>
    <row r="9350" spans="6:6" x14ac:dyDescent="0.35">
      <c r="F9350"/>
    </row>
    <row r="9351" spans="6:6" x14ac:dyDescent="0.35">
      <c r="F9351"/>
    </row>
    <row r="9352" spans="6:6" x14ac:dyDescent="0.35">
      <c r="F9352"/>
    </row>
    <row r="9353" spans="6:6" x14ac:dyDescent="0.35">
      <c r="F9353"/>
    </row>
    <row r="9354" spans="6:6" x14ac:dyDescent="0.35">
      <c r="F9354"/>
    </row>
    <row r="9355" spans="6:6" x14ac:dyDescent="0.35">
      <c r="F9355"/>
    </row>
    <row r="9356" spans="6:6" x14ac:dyDescent="0.35">
      <c r="F9356"/>
    </row>
    <row r="9357" spans="6:6" x14ac:dyDescent="0.35">
      <c r="F9357"/>
    </row>
    <row r="9358" spans="6:6" x14ac:dyDescent="0.35">
      <c r="F9358"/>
    </row>
    <row r="9359" spans="6:6" x14ac:dyDescent="0.35">
      <c r="F9359"/>
    </row>
    <row r="9360" spans="6:6" x14ac:dyDescent="0.35">
      <c r="F9360"/>
    </row>
    <row r="9361" spans="6:6" x14ac:dyDescent="0.35">
      <c r="F9361"/>
    </row>
    <row r="9362" spans="6:6" x14ac:dyDescent="0.35">
      <c r="F9362"/>
    </row>
    <row r="9363" spans="6:6" x14ac:dyDescent="0.35">
      <c r="F9363"/>
    </row>
    <row r="9364" spans="6:6" x14ac:dyDescent="0.35">
      <c r="F9364"/>
    </row>
    <row r="9365" spans="6:6" x14ac:dyDescent="0.35">
      <c r="F9365"/>
    </row>
    <row r="9366" spans="6:6" x14ac:dyDescent="0.35">
      <c r="F9366"/>
    </row>
    <row r="9367" spans="6:6" x14ac:dyDescent="0.35">
      <c r="F9367"/>
    </row>
    <row r="9368" spans="6:6" x14ac:dyDescent="0.35">
      <c r="F9368"/>
    </row>
    <row r="9369" spans="6:6" x14ac:dyDescent="0.35">
      <c r="F9369"/>
    </row>
    <row r="9370" spans="6:6" x14ac:dyDescent="0.35">
      <c r="F9370"/>
    </row>
    <row r="9371" spans="6:6" x14ac:dyDescent="0.35">
      <c r="F9371"/>
    </row>
    <row r="9372" spans="6:6" x14ac:dyDescent="0.35">
      <c r="F9372"/>
    </row>
    <row r="9373" spans="6:6" x14ac:dyDescent="0.35">
      <c r="F9373"/>
    </row>
    <row r="9374" spans="6:6" x14ac:dyDescent="0.35">
      <c r="F9374"/>
    </row>
    <row r="9375" spans="6:6" x14ac:dyDescent="0.35">
      <c r="F9375"/>
    </row>
    <row r="9376" spans="6:6" x14ac:dyDescent="0.35">
      <c r="F9376"/>
    </row>
    <row r="9377" spans="6:6" x14ac:dyDescent="0.35">
      <c r="F9377"/>
    </row>
    <row r="9378" spans="6:6" x14ac:dyDescent="0.35">
      <c r="F9378"/>
    </row>
    <row r="9379" spans="6:6" x14ac:dyDescent="0.35">
      <c r="F9379"/>
    </row>
    <row r="9380" spans="6:6" x14ac:dyDescent="0.35">
      <c r="F9380"/>
    </row>
    <row r="9381" spans="6:6" x14ac:dyDescent="0.35">
      <c r="F9381"/>
    </row>
    <row r="9382" spans="6:6" x14ac:dyDescent="0.35">
      <c r="F9382"/>
    </row>
    <row r="9383" spans="6:6" x14ac:dyDescent="0.35">
      <c r="F9383"/>
    </row>
    <row r="9384" spans="6:6" x14ac:dyDescent="0.35">
      <c r="F9384"/>
    </row>
    <row r="9385" spans="6:6" x14ac:dyDescent="0.35">
      <c r="F9385"/>
    </row>
    <row r="9386" spans="6:6" x14ac:dyDescent="0.35">
      <c r="F9386"/>
    </row>
    <row r="9387" spans="6:6" x14ac:dyDescent="0.35">
      <c r="F9387"/>
    </row>
    <row r="9388" spans="6:6" x14ac:dyDescent="0.35">
      <c r="F9388"/>
    </row>
    <row r="9389" spans="6:6" x14ac:dyDescent="0.35">
      <c r="F9389"/>
    </row>
    <row r="9390" spans="6:6" x14ac:dyDescent="0.35">
      <c r="F9390"/>
    </row>
    <row r="9391" spans="6:6" x14ac:dyDescent="0.35">
      <c r="F9391"/>
    </row>
    <row r="9392" spans="6:6" x14ac:dyDescent="0.35">
      <c r="F9392"/>
    </row>
    <row r="9393" spans="6:6" x14ac:dyDescent="0.35">
      <c r="F9393"/>
    </row>
    <row r="9394" spans="6:6" x14ac:dyDescent="0.35">
      <c r="F9394"/>
    </row>
    <row r="9395" spans="6:6" x14ac:dyDescent="0.35">
      <c r="F9395"/>
    </row>
    <row r="9396" spans="6:6" x14ac:dyDescent="0.35">
      <c r="F9396"/>
    </row>
    <row r="9397" spans="6:6" x14ac:dyDescent="0.35">
      <c r="F9397"/>
    </row>
    <row r="9398" spans="6:6" x14ac:dyDescent="0.35">
      <c r="F9398"/>
    </row>
    <row r="9399" spans="6:6" x14ac:dyDescent="0.35">
      <c r="F9399"/>
    </row>
    <row r="9400" spans="6:6" x14ac:dyDescent="0.35">
      <c r="F9400"/>
    </row>
    <row r="9401" spans="6:6" x14ac:dyDescent="0.35">
      <c r="F9401"/>
    </row>
    <row r="9402" spans="6:6" x14ac:dyDescent="0.35">
      <c r="F9402"/>
    </row>
    <row r="9403" spans="6:6" x14ac:dyDescent="0.35">
      <c r="F9403"/>
    </row>
    <row r="9404" spans="6:6" x14ac:dyDescent="0.35">
      <c r="F9404"/>
    </row>
    <row r="9405" spans="6:6" x14ac:dyDescent="0.35">
      <c r="F9405"/>
    </row>
    <row r="9406" spans="6:6" x14ac:dyDescent="0.35">
      <c r="F9406"/>
    </row>
    <row r="9407" spans="6:6" x14ac:dyDescent="0.35">
      <c r="F9407"/>
    </row>
    <row r="9408" spans="6:6" x14ac:dyDescent="0.35">
      <c r="F9408"/>
    </row>
    <row r="9409" spans="6:6" x14ac:dyDescent="0.35">
      <c r="F9409"/>
    </row>
    <row r="9410" spans="6:6" x14ac:dyDescent="0.35">
      <c r="F9410"/>
    </row>
    <row r="9411" spans="6:6" x14ac:dyDescent="0.35">
      <c r="F9411"/>
    </row>
    <row r="9412" spans="6:6" x14ac:dyDescent="0.35">
      <c r="F9412"/>
    </row>
    <row r="9413" spans="6:6" x14ac:dyDescent="0.35">
      <c r="F9413"/>
    </row>
    <row r="9414" spans="6:6" x14ac:dyDescent="0.35">
      <c r="F9414"/>
    </row>
    <row r="9415" spans="6:6" x14ac:dyDescent="0.35">
      <c r="F9415"/>
    </row>
    <row r="9416" spans="6:6" x14ac:dyDescent="0.35">
      <c r="F9416"/>
    </row>
    <row r="9417" spans="6:6" x14ac:dyDescent="0.35">
      <c r="F9417"/>
    </row>
    <row r="9418" spans="6:6" x14ac:dyDescent="0.35">
      <c r="F9418"/>
    </row>
    <row r="9419" spans="6:6" x14ac:dyDescent="0.35">
      <c r="F9419"/>
    </row>
    <row r="9420" spans="6:6" x14ac:dyDescent="0.35">
      <c r="F9420"/>
    </row>
    <row r="9421" spans="6:6" x14ac:dyDescent="0.35">
      <c r="F9421"/>
    </row>
    <row r="9422" spans="6:6" x14ac:dyDescent="0.35">
      <c r="F9422"/>
    </row>
    <row r="9423" spans="6:6" x14ac:dyDescent="0.35">
      <c r="F9423"/>
    </row>
    <row r="9424" spans="6:6" x14ac:dyDescent="0.35">
      <c r="F9424"/>
    </row>
    <row r="9425" spans="6:6" x14ac:dyDescent="0.35">
      <c r="F9425"/>
    </row>
    <row r="9426" spans="6:6" x14ac:dyDescent="0.35">
      <c r="F9426"/>
    </row>
    <row r="9427" spans="6:6" x14ac:dyDescent="0.35">
      <c r="F9427"/>
    </row>
    <row r="9428" spans="6:6" x14ac:dyDescent="0.35">
      <c r="F9428"/>
    </row>
    <row r="9429" spans="6:6" x14ac:dyDescent="0.35">
      <c r="F9429"/>
    </row>
    <row r="9430" spans="6:6" x14ac:dyDescent="0.35">
      <c r="F9430"/>
    </row>
    <row r="9431" spans="6:6" x14ac:dyDescent="0.35">
      <c r="F9431"/>
    </row>
    <row r="9432" spans="6:6" x14ac:dyDescent="0.35">
      <c r="F9432"/>
    </row>
    <row r="9433" spans="6:6" x14ac:dyDescent="0.35">
      <c r="F9433"/>
    </row>
    <row r="9434" spans="6:6" x14ac:dyDescent="0.35">
      <c r="F9434"/>
    </row>
    <row r="9435" spans="6:6" x14ac:dyDescent="0.35">
      <c r="F9435"/>
    </row>
    <row r="9436" spans="6:6" x14ac:dyDescent="0.35">
      <c r="F9436"/>
    </row>
    <row r="9437" spans="6:6" x14ac:dyDescent="0.35">
      <c r="F9437"/>
    </row>
    <row r="9438" spans="6:6" x14ac:dyDescent="0.35">
      <c r="F9438"/>
    </row>
    <row r="9439" spans="6:6" x14ac:dyDescent="0.35">
      <c r="F9439"/>
    </row>
    <row r="9440" spans="6:6" x14ac:dyDescent="0.35">
      <c r="F9440"/>
    </row>
    <row r="9441" spans="6:6" x14ac:dyDescent="0.35">
      <c r="F9441"/>
    </row>
    <row r="9442" spans="6:6" x14ac:dyDescent="0.35">
      <c r="F9442"/>
    </row>
    <row r="9443" spans="6:6" x14ac:dyDescent="0.35">
      <c r="F9443"/>
    </row>
    <row r="9444" spans="6:6" x14ac:dyDescent="0.35">
      <c r="F9444"/>
    </row>
    <row r="9445" spans="6:6" x14ac:dyDescent="0.35">
      <c r="F9445"/>
    </row>
    <row r="9446" spans="6:6" x14ac:dyDescent="0.35">
      <c r="F9446"/>
    </row>
    <row r="9447" spans="6:6" x14ac:dyDescent="0.35">
      <c r="F9447"/>
    </row>
    <row r="9448" spans="6:6" x14ac:dyDescent="0.35">
      <c r="F9448"/>
    </row>
    <row r="9449" spans="6:6" x14ac:dyDescent="0.35">
      <c r="F9449"/>
    </row>
    <row r="9450" spans="6:6" x14ac:dyDescent="0.35">
      <c r="F9450"/>
    </row>
    <row r="9451" spans="6:6" x14ac:dyDescent="0.35">
      <c r="F9451"/>
    </row>
    <row r="9452" spans="6:6" x14ac:dyDescent="0.35">
      <c r="F9452"/>
    </row>
    <row r="9453" spans="6:6" x14ac:dyDescent="0.35">
      <c r="F9453"/>
    </row>
    <row r="9454" spans="6:6" x14ac:dyDescent="0.35">
      <c r="F9454"/>
    </row>
    <row r="9455" spans="6:6" x14ac:dyDescent="0.35">
      <c r="F9455"/>
    </row>
    <row r="9456" spans="6:6" x14ac:dyDescent="0.35">
      <c r="F9456"/>
    </row>
    <row r="9457" spans="6:6" x14ac:dyDescent="0.35">
      <c r="F9457"/>
    </row>
    <row r="9458" spans="6:6" x14ac:dyDescent="0.35">
      <c r="F9458"/>
    </row>
    <row r="9459" spans="6:6" x14ac:dyDescent="0.35">
      <c r="F9459"/>
    </row>
    <row r="9460" spans="6:6" x14ac:dyDescent="0.35">
      <c r="F9460"/>
    </row>
    <row r="9461" spans="6:6" x14ac:dyDescent="0.35">
      <c r="F9461"/>
    </row>
    <row r="9462" spans="6:6" x14ac:dyDescent="0.35">
      <c r="F9462"/>
    </row>
    <row r="9463" spans="6:6" x14ac:dyDescent="0.35">
      <c r="F9463"/>
    </row>
    <row r="9464" spans="6:6" x14ac:dyDescent="0.35">
      <c r="F9464"/>
    </row>
    <row r="9465" spans="6:6" x14ac:dyDescent="0.35">
      <c r="F9465"/>
    </row>
    <row r="9466" spans="6:6" x14ac:dyDescent="0.35">
      <c r="F9466"/>
    </row>
    <row r="9467" spans="6:6" x14ac:dyDescent="0.35">
      <c r="F9467"/>
    </row>
    <row r="9468" spans="6:6" x14ac:dyDescent="0.35">
      <c r="F9468"/>
    </row>
    <row r="9469" spans="6:6" x14ac:dyDescent="0.35">
      <c r="F9469"/>
    </row>
    <row r="9470" spans="6:6" x14ac:dyDescent="0.35">
      <c r="F9470"/>
    </row>
    <row r="9471" spans="6:6" x14ac:dyDescent="0.35">
      <c r="F9471"/>
    </row>
    <row r="9472" spans="6:6" x14ac:dyDescent="0.35">
      <c r="F9472"/>
    </row>
    <row r="9473" spans="6:6" x14ac:dyDescent="0.35">
      <c r="F9473"/>
    </row>
    <row r="9474" spans="6:6" x14ac:dyDescent="0.35">
      <c r="F9474"/>
    </row>
    <row r="9475" spans="6:6" x14ac:dyDescent="0.35">
      <c r="F9475"/>
    </row>
    <row r="9476" spans="6:6" x14ac:dyDescent="0.35">
      <c r="F9476"/>
    </row>
    <row r="9477" spans="6:6" x14ac:dyDescent="0.35">
      <c r="F9477"/>
    </row>
    <row r="9478" spans="6:6" x14ac:dyDescent="0.35">
      <c r="F9478"/>
    </row>
    <row r="9479" spans="6:6" x14ac:dyDescent="0.35">
      <c r="F9479"/>
    </row>
    <row r="9480" spans="6:6" x14ac:dyDescent="0.35">
      <c r="F9480"/>
    </row>
    <row r="9481" spans="6:6" x14ac:dyDescent="0.35">
      <c r="F9481"/>
    </row>
    <row r="9482" spans="6:6" x14ac:dyDescent="0.35">
      <c r="F9482"/>
    </row>
    <row r="9483" spans="6:6" x14ac:dyDescent="0.35">
      <c r="F9483"/>
    </row>
    <row r="9484" spans="6:6" x14ac:dyDescent="0.35">
      <c r="F9484"/>
    </row>
    <row r="9485" spans="6:6" x14ac:dyDescent="0.35">
      <c r="F9485"/>
    </row>
    <row r="9486" spans="6:6" x14ac:dyDescent="0.35">
      <c r="F9486"/>
    </row>
    <row r="9487" spans="6:6" x14ac:dyDescent="0.35">
      <c r="F9487"/>
    </row>
    <row r="9488" spans="6:6" x14ac:dyDescent="0.35">
      <c r="F9488"/>
    </row>
    <row r="9489" spans="6:6" x14ac:dyDescent="0.35">
      <c r="F9489"/>
    </row>
    <row r="9490" spans="6:6" x14ac:dyDescent="0.35">
      <c r="F9490"/>
    </row>
    <row r="9491" spans="6:6" x14ac:dyDescent="0.35">
      <c r="F9491"/>
    </row>
    <row r="9492" spans="6:6" x14ac:dyDescent="0.35">
      <c r="F9492"/>
    </row>
    <row r="9493" spans="6:6" x14ac:dyDescent="0.35">
      <c r="F9493"/>
    </row>
    <row r="9494" spans="6:6" x14ac:dyDescent="0.35">
      <c r="F9494"/>
    </row>
    <row r="9495" spans="6:6" x14ac:dyDescent="0.35">
      <c r="F9495"/>
    </row>
    <row r="9496" spans="6:6" x14ac:dyDescent="0.35">
      <c r="F9496"/>
    </row>
    <row r="9497" spans="6:6" x14ac:dyDescent="0.35">
      <c r="F9497"/>
    </row>
    <row r="9498" spans="6:6" x14ac:dyDescent="0.35">
      <c r="F9498"/>
    </row>
    <row r="9499" spans="6:6" x14ac:dyDescent="0.35">
      <c r="F9499"/>
    </row>
    <row r="9500" spans="6:6" x14ac:dyDescent="0.35">
      <c r="F9500"/>
    </row>
    <row r="9501" spans="6:6" x14ac:dyDescent="0.35">
      <c r="F9501"/>
    </row>
    <row r="9502" spans="6:6" x14ac:dyDescent="0.35">
      <c r="F9502"/>
    </row>
    <row r="9503" spans="6:6" x14ac:dyDescent="0.35">
      <c r="F9503"/>
    </row>
    <row r="9504" spans="6:6" x14ac:dyDescent="0.35">
      <c r="F9504"/>
    </row>
    <row r="9505" spans="6:6" x14ac:dyDescent="0.35">
      <c r="F9505"/>
    </row>
    <row r="9506" spans="6:6" x14ac:dyDescent="0.35">
      <c r="F9506"/>
    </row>
    <row r="9507" spans="6:6" x14ac:dyDescent="0.35">
      <c r="F9507"/>
    </row>
    <row r="9508" spans="6:6" x14ac:dyDescent="0.35">
      <c r="F9508"/>
    </row>
    <row r="9509" spans="6:6" x14ac:dyDescent="0.35">
      <c r="F9509"/>
    </row>
    <row r="9510" spans="6:6" x14ac:dyDescent="0.35">
      <c r="F9510"/>
    </row>
    <row r="9511" spans="6:6" x14ac:dyDescent="0.35">
      <c r="F9511"/>
    </row>
    <row r="9512" spans="6:6" x14ac:dyDescent="0.35">
      <c r="F9512"/>
    </row>
    <row r="9513" spans="6:6" x14ac:dyDescent="0.35">
      <c r="F9513"/>
    </row>
    <row r="9514" spans="6:6" x14ac:dyDescent="0.35">
      <c r="F9514"/>
    </row>
    <row r="9515" spans="6:6" x14ac:dyDescent="0.35">
      <c r="F9515"/>
    </row>
    <row r="9516" spans="6:6" x14ac:dyDescent="0.35">
      <c r="F9516"/>
    </row>
    <row r="9517" spans="6:6" x14ac:dyDescent="0.35">
      <c r="F9517"/>
    </row>
    <row r="9518" spans="6:6" x14ac:dyDescent="0.35">
      <c r="F9518"/>
    </row>
    <row r="9519" spans="6:6" x14ac:dyDescent="0.35">
      <c r="F9519"/>
    </row>
    <row r="9520" spans="6:6" x14ac:dyDescent="0.35">
      <c r="F9520"/>
    </row>
    <row r="9521" spans="6:6" x14ac:dyDescent="0.35">
      <c r="F9521"/>
    </row>
    <row r="9522" spans="6:6" x14ac:dyDescent="0.35">
      <c r="F9522"/>
    </row>
    <row r="9523" spans="6:6" x14ac:dyDescent="0.35">
      <c r="F9523"/>
    </row>
    <row r="9524" spans="6:6" x14ac:dyDescent="0.35">
      <c r="F9524"/>
    </row>
    <row r="9525" spans="6:6" x14ac:dyDescent="0.35">
      <c r="F9525"/>
    </row>
    <row r="9526" spans="6:6" x14ac:dyDescent="0.35">
      <c r="F9526"/>
    </row>
    <row r="9527" spans="6:6" x14ac:dyDescent="0.35">
      <c r="F9527"/>
    </row>
    <row r="9528" spans="6:6" x14ac:dyDescent="0.35">
      <c r="F9528"/>
    </row>
    <row r="9529" spans="6:6" x14ac:dyDescent="0.35">
      <c r="F9529"/>
    </row>
    <row r="9530" spans="6:6" x14ac:dyDescent="0.35">
      <c r="F9530"/>
    </row>
    <row r="9531" spans="6:6" x14ac:dyDescent="0.35">
      <c r="F9531"/>
    </row>
    <row r="9532" spans="6:6" x14ac:dyDescent="0.35">
      <c r="F9532"/>
    </row>
    <row r="9533" spans="6:6" x14ac:dyDescent="0.35">
      <c r="F9533"/>
    </row>
    <row r="9534" spans="6:6" x14ac:dyDescent="0.35">
      <c r="F9534"/>
    </row>
    <row r="9535" spans="6:6" x14ac:dyDescent="0.35">
      <c r="F9535"/>
    </row>
    <row r="9536" spans="6:6" x14ac:dyDescent="0.35">
      <c r="F9536"/>
    </row>
    <row r="9537" spans="6:6" x14ac:dyDescent="0.35">
      <c r="F9537"/>
    </row>
    <row r="9538" spans="6:6" x14ac:dyDescent="0.35">
      <c r="F9538"/>
    </row>
    <row r="9539" spans="6:6" x14ac:dyDescent="0.35">
      <c r="F9539"/>
    </row>
    <row r="9540" spans="6:6" x14ac:dyDescent="0.35">
      <c r="F9540"/>
    </row>
    <row r="9541" spans="6:6" x14ac:dyDescent="0.35">
      <c r="F9541"/>
    </row>
    <row r="9542" spans="6:6" x14ac:dyDescent="0.35">
      <c r="F9542"/>
    </row>
    <row r="9543" spans="6:6" x14ac:dyDescent="0.35">
      <c r="F9543"/>
    </row>
    <row r="9544" spans="6:6" x14ac:dyDescent="0.35">
      <c r="F9544"/>
    </row>
    <row r="9545" spans="6:6" x14ac:dyDescent="0.35">
      <c r="F9545"/>
    </row>
    <row r="9546" spans="6:6" x14ac:dyDescent="0.35">
      <c r="F9546"/>
    </row>
    <row r="9547" spans="6:6" x14ac:dyDescent="0.35">
      <c r="F9547"/>
    </row>
    <row r="9548" spans="6:6" x14ac:dyDescent="0.35">
      <c r="F9548"/>
    </row>
    <row r="9549" spans="6:6" x14ac:dyDescent="0.35">
      <c r="F9549"/>
    </row>
    <row r="9550" spans="6:6" x14ac:dyDescent="0.35">
      <c r="F9550"/>
    </row>
    <row r="9551" spans="6:6" x14ac:dyDescent="0.35">
      <c r="F9551"/>
    </row>
    <row r="9552" spans="6:6" x14ac:dyDescent="0.35">
      <c r="F9552"/>
    </row>
    <row r="9553" spans="6:6" x14ac:dyDescent="0.35">
      <c r="F9553"/>
    </row>
    <row r="9554" spans="6:6" x14ac:dyDescent="0.35">
      <c r="F9554"/>
    </row>
    <row r="9555" spans="6:6" x14ac:dyDescent="0.35">
      <c r="F9555"/>
    </row>
    <row r="9556" spans="6:6" x14ac:dyDescent="0.35">
      <c r="F9556"/>
    </row>
    <row r="9557" spans="6:6" x14ac:dyDescent="0.35">
      <c r="F9557"/>
    </row>
    <row r="9558" spans="6:6" x14ac:dyDescent="0.35">
      <c r="F9558"/>
    </row>
    <row r="9559" spans="6:6" x14ac:dyDescent="0.35">
      <c r="F9559"/>
    </row>
    <row r="9560" spans="6:6" x14ac:dyDescent="0.35">
      <c r="F9560"/>
    </row>
    <row r="9561" spans="6:6" x14ac:dyDescent="0.35">
      <c r="F9561"/>
    </row>
    <row r="9562" spans="6:6" x14ac:dyDescent="0.35">
      <c r="F9562"/>
    </row>
    <row r="9563" spans="6:6" x14ac:dyDescent="0.35">
      <c r="F9563"/>
    </row>
    <row r="9564" spans="6:6" x14ac:dyDescent="0.35">
      <c r="F9564"/>
    </row>
    <row r="9565" spans="6:6" x14ac:dyDescent="0.35">
      <c r="F9565"/>
    </row>
    <row r="9566" spans="6:6" x14ac:dyDescent="0.35">
      <c r="F9566"/>
    </row>
    <row r="9567" spans="6:6" x14ac:dyDescent="0.35">
      <c r="F9567"/>
    </row>
    <row r="9568" spans="6:6" x14ac:dyDescent="0.35">
      <c r="F9568"/>
    </row>
    <row r="9569" spans="6:6" x14ac:dyDescent="0.35">
      <c r="F9569"/>
    </row>
    <row r="9570" spans="6:6" x14ac:dyDescent="0.35">
      <c r="F9570"/>
    </row>
    <row r="9571" spans="6:6" x14ac:dyDescent="0.35">
      <c r="F9571"/>
    </row>
    <row r="9572" spans="6:6" x14ac:dyDescent="0.35">
      <c r="F9572"/>
    </row>
    <row r="9573" spans="6:6" x14ac:dyDescent="0.35">
      <c r="F9573"/>
    </row>
    <row r="9574" spans="6:6" x14ac:dyDescent="0.35">
      <c r="F9574"/>
    </row>
    <row r="9575" spans="6:6" x14ac:dyDescent="0.35">
      <c r="F9575"/>
    </row>
    <row r="9576" spans="6:6" x14ac:dyDescent="0.35">
      <c r="F9576"/>
    </row>
    <row r="9577" spans="6:6" x14ac:dyDescent="0.35">
      <c r="F9577"/>
    </row>
    <row r="9578" spans="6:6" x14ac:dyDescent="0.35">
      <c r="F9578"/>
    </row>
    <row r="9579" spans="6:6" x14ac:dyDescent="0.35">
      <c r="F9579"/>
    </row>
    <row r="9580" spans="6:6" x14ac:dyDescent="0.35">
      <c r="F9580"/>
    </row>
    <row r="9581" spans="6:6" x14ac:dyDescent="0.35">
      <c r="F9581"/>
    </row>
    <row r="9582" spans="6:6" x14ac:dyDescent="0.35">
      <c r="F9582"/>
    </row>
    <row r="9583" spans="6:6" x14ac:dyDescent="0.35">
      <c r="F9583"/>
    </row>
    <row r="9584" spans="6:6" x14ac:dyDescent="0.35">
      <c r="F9584"/>
    </row>
    <row r="9585" spans="6:6" x14ac:dyDescent="0.35">
      <c r="F9585"/>
    </row>
    <row r="9586" spans="6:6" x14ac:dyDescent="0.35">
      <c r="F9586"/>
    </row>
    <row r="9587" spans="6:6" x14ac:dyDescent="0.35">
      <c r="F9587"/>
    </row>
    <row r="9588" spans="6:6" x14ac:dyDescent="0.35">
      <c r="F9588"/>
    </row>
    <row r="9589" spans="6:6" x14ac:dyDescent="0.35">
      <c r="F9589"/>
    </row>
    <row r="9590" spans="6:6" x14ac:dyDescent="0.35">
      <c r="F9590"/>
    </row>
    <row r="9591" spans="6:6" x14ac:dyDescent="0.35">
      <c r="F9591"/>
    </row>
    <row r="9592" spans="6:6" x14ac:dyDescent="0.35">
      <c r="F9592"/>
    </row>
    <row r="9593" spans="6:6" x14ac:dyDescent="0.35">
      <c r="F9593"/>
    </row>
    <row r="9594" spans="6:6" x14ac:dyDescent="0.35">
      <c r="F9594"/>
    </row>
    <row r="9595" spans="6:6" x14ac:dyDescent="0.35">
      <c r="F9595"/>
    </row>
    <row r="9596" spans="6:6" x14ac:dyDescent="0.35">
      <c r="F9596"/>
    </row>
    <row r="9597" spans="6:6" x14ac:dyDescent="0.35">
      <c r="F9597"/>
    </row>
    <row r="9598" spans="6:6" x14ac:dyDescent="0.35">
      <c r="F9598"/>
    </row>
    <row r="9599" spans="6:6" x14ac:dyDescent="0.35">
      <c r="F9599"/>
    </row>
    <row r="9600" spans="6:6" x14ac:dyDescent="0.35">
      <c r="F9600"/>
    </row>
    <row r="9601" spans="6:6" x14ac:dyDescent="0.35">
      <c r="F9601"/>
    </row>
    <row r="9602" spans="6:6" x14ac:dyDescent="0.35">
      <c r="F9602"/>
    </row>
    <row r="9603" spans="6:6" x14ac:dyDescent="0.35">
      <c r="F9603"/>
    </row>
    <row r="9604" spans="6:6" x14ac:dyDescent="0.35">
      <c r="F9604"/>
    </row>
    <row r="9605" spans="6:6" x14ac:dyDescent="0.35">
      <c r="F9605"/>
    </row>
    <row r="9606" spans="6:6" x14ac:dyDescent="0.35">
      <c r="F9606"/>
    </row>
    <row r="9607" spans="6:6" x14ac:dyDescent="0.35">
      <c r="F9607"/>
    </row>
    <row r="9608" spans="6:6" x14ac:dyDescent="0.35">
      <c r="F9608"/>
    </row>
    <row r="9609" spans="6:6" x14ac:dyDescent="0.35">
      <c r="F9609"/>
    </row>
    <row r="9610" spans="6:6" x14ac:dyDescent="0.35">
      <c r="F9610"/>
    </row>
    <row r="9611" spans="6:6" x14ac:dyDescent="0.35">
      <c r="F9611"/>
    </row>
    <row r="9612" spans="6:6" x14ac:dyDescent="0.35">
      <c r="F9612"/>
    </row>
    <row r="9613" spans="6:6" x14ac:dyDescent="0.35">
      <c r="F9613"/>
    </row>
    <row r="9614" spans="6:6" x14ac:dyDescent="0.35">
      <c r="F9614"/>
    </row>
    <row r="9615" spans="6:6" x14ac:dyDescent="0.35">
      <c r="F9615"/>
    </row>
    <row r="9616" spans="6:6" x14ac:dyDescent="0.35">
      <c r="F9616"/>
    </row>
    <row r="9617" spans="6:6" x14ac:dyDescent="0.35">
      <c r="F9617"/>
    </row>
    <row r="9618" spans="6:6" x14ac:dyDescent="0.35">
      <c r="F9618"/>
    </row>
    <row r="9619" spans="6:6" x14ac:dyDescent="0.35">
      <c r="F9619"/>
    </row>
    <row r="9620" spans="6:6" x14ac:dyDescent="0.35">
      <c r="F9620"/>
    </row>
    <row r="9621" spans="6:6" x14ac:dyDescent="0.35">
      <c r="F9621"/>
    </row>
    <row r="9622" spans="6:6" x14ac:dyDescent="0.35">
      <c r="F9622"/>
    </row>
    <row r="9623" spans="6:6" x14ac:dyDescent="0.35">
      <c r="F9623"/>
    </row>
    <row r="9624" spans="6:6" x14ac:dyDescent="0.35">
      <c r="F9624"/>
    </row>
    <row r="9625" spans="6:6" x14ac:dyDescent="0.35">
      <c r="F9625"/>
    </row>
    <row r="9626" spans="6:6" x14ac:dyDescent="0.35">
      <c r="F9626"/>
    </row>
    <row r="9627" spans="6:6" x14ac:dyDescent="0.35">
      <c r="F9627"/>
    </row>
    <row r="9628" spans="6:6" x14ac:dyDescent="0.35">
      <c r="F9628"/>
    </row>
    <row r="9629" spans="6:6" x14ac:dyDescent="0.35">
      <c r="F9629"/>
    </row>
    <row r="9630" spans="6:6" x14ac:dyDescent="0.35">
      <c r="F9630"/>
    </row>
    <row r="9631" spans="6:6" x14ac:dyDescent="0.35">
      <c r="F9631"/>
    </row>
    <row r="9632" spans="6:6" x14ac:dyDescent="0.35">
      <c r="F9632"/>
    </row>
    <row r="9633" spans="6:6" x14ac:dyDescent="0.35">
      <c r="F9633"/>
    </row>
    <row r="9634" spans="6:6" x14ac:dyDescent="0.35">
      <c r="F9634"/>
    </row>
    <row r="9635" spans="6:6" x14ac:dyDescent="0.35">
      <c r="F9635"/>
    </row>
    <row r="9636" spans="6:6" x14ac:dyDescent="0.35">
      <c r="F9636"/>
    </row>
    <row r="9637" spans="6:6" x14ac:dyDescent="0.35">
      <c r="F9637"/>
    </row>
    <row r="9638" spans="6:6" x14ac:dyDescent="0.35">
      <c r="F9638"/>
    </row>
    <row r="9639" spans="6:6" x14ac:dyDescent="0.35">
      <c r="F9639"/>
    </row>
    <row r="9640" spans="6:6" x14ac:dyDescent="0.35">
      <c r="F9640"/>
    </row>
    <row r="9641" spans="6:6" x14ac:dyDescent="0.35">
      <c r="F9641"/>
    </row>
    <row r="9642" spans="6:6" x14ac:dyDescent="0.35">
      <c r="F9642"/>
    </row>
    <row r="9643" spans="6:6" x14ac:dyDescent="0.35">
      <c r="F9643"/>
    </row>
    <row r="9644" spans="6:6" x14ac:dyDescent="0.35">
      <c r="F9644"/>
    </row>
    <row r="9645" spans="6:6" x14ac:dyDescent="0.35">
      <c r="F9645"/>
    </row>
    <row r="9646" spans="6:6" x14ac:dyDescent="0.35">
      <c r="F9646"/>
    </row>
    <row r="9647" spans="6:6" x14ac:dyDescent="0.35">
      <c r="F9647"/>
    </row>
    <row r="9648" spans="6:6" x14ac:dyDescent="0.35">
      <c r="F9648"/>
    </row>
    <row r="9649" spans="6:6" x14ac:dyDescent="0.35">
      <c r="F9649"/>
    </row>
    <row r="9650" spans="6:6" x14ac:dyDescent="0.35">
      <c r="F9650"/>
    </row>
    <row r="9651" spans="6:6" x14ac:dyDescent="0.35">
      <c r="F9651"/>
    </row>
    <row r="9652" spans="6:6" x14ac:dyDescent="0.35">
      <c r="F9652"/>
    </row>
    <row r="9653" spans="6:6" x14ac:dyDescent="0.35">
      <c r="F9653"/>
    </row>
    <row r="9654" spans="6:6" x14ac:dyDescent="0.35">
      <c r="F9654"/>
    </row>
    <row r="9655" spans="6:6" x14ac:dyDescent="0.35">
      <c r="F9655"/>
    </row>
    <row r="9656" spans="6:6" x14ac:dyDescent="0.35">
      <c r="F9656"/>
    </row>
    <row r="9657" spans="6:6" x14ac:dyDescent="0.35">
      <c r="F9657"/>
    </row>
    <row r="9658" spans="6:6" x14ac:dyDescent="0.35">
      <c r="F9658"/>
    </row>
    <row r="9659" spans="6:6" x14ac:dyDescent="0.35">
      <c r="F9659"/>
    </row>
    <row r="9660" spans="6:6" x14ac:dyDescent="0.35">
      <c r="F9660"/>
    </row>
    <row r="9661" spans="6:6" x14ac:dyDescent="0.35">
      <c r="F9661"/>
    </row>
    <row r="9662" spans="6:6" x14ac:dyDescent="0.35">
      <c r="F9662"/>
    </row>
    <row r="9663" spans="6:6" x14ac:dyDescent="0.35">
      <c r="F9663"/>
    </row>
    <row r="9664" spans="6:6" x14ac:dyDescent="0.35">
      <c r="F9664"/>
    </row>
    <row r="9665" spans="6:6" x14ac:dyDescent="0.35">
      <c r="F9665"/>
    </row>
    <row r="9666" spans="6:6" x14ac:dyDescent="0.35">
      <c r="F9666"/>
    </row>
    <row r="9667" spans="6:6" x14ac:dyDescent="0.35">
      <c r="F9667"/>
    </row>
    <row r="9668" spans="6:6" x14ac:dyDescent="0.35">
      <c r="F9668"/>
    </row>
    <row r="9669" spans="6:6" x14ac:dyDescent="0.35">
      <c r="F9669"/>
    </row>
    <row r="9670" spans="6:6" x14ac:dyDescent="0.35">
      <c r="F9670"/>
    </row>
    <row r="9671" spans="6:6" x14ac:dyDescent="0.35">
      <c r="F9671"/>
    </row>
    <row r="9672" spans="6:6" x14ac:dyDescent="0.35">
      <c r="F9672"/>
    </row>
    <row r="9673" spans="6:6" x14ac:dyDescent="0.35">
      <c r="F9673"/>
    </row>
    <row r="9674" spans="6:6" x14ac:dyDescent="0.35">
      <c r="F9674"/>
    </row>
    <row r="9675" spans="6:6" x14ac:dyDescent="0.35">
      <c r="F9675"/>
    </row>
    <row r="9676" spans="6:6" x14ac:dyDescent="0.35">
      <c r="F9676"/>
    </row>
    <row r="9677" spans="6:6" x14ac:dyDescent="0.35">
      <c r="F9677"/>
    </row>
    <row r="9678" spans="6:6" x14ac:dyDescent="0.35">
      <c r="F9678"/>
    </row>
    <row r="9679" spans="6:6" x14ac:dyDescent="0.35">
      <c r="F9679"/>
    </row>
    <row r="9680" spans="6:6" x14ac:dyDescent="0.35">
      <c r="F9680"/>
    </row>
    <row r="9681" spans="6:6" x14ac:dyDescent="0.35">
      <c r="F9681"/>
    </row>
    <row r="9682" spans="6:6" x14ac:dyDescent="0.35">
      <c r="F9682"/>
    </row>
    <row r="9683" spans="6:6" x14ac:dyDescent="0.35">
      <c r="F9683"/>
    </row>
    <row r="9684" spans="6:6" x14ac:dyDescent="0.35">
      <c r="F9684"/>
    </row>
    <row r="9685" spans="6:6" x14ac:dyDescent="0.35">
      <c r="F9685"/>
    </row>
    <row r="9686" spans="6:6" x14ac:dyDescent="0.35">
      <c r="F9686"/>
    </row>
    <row r="9687" spans="6:6" x14ac:dyDescent="0.35">
      <c r="F9687"/>
    </row>
    <row r="9688" spans="6:6" x14ac:dyDescent="0.35">
      <c r="F9688"/>
    </row>
    <row r="9689" spans="6:6" x14ac:dyDescent="0.35">
      <c r="F9689"/>
    </row>
    <row r="9690" spans="6:6" x14ac:dyDescent="0.35">
      <c r="F9690"/>
    </row>
    <row r="9691" spans="6:6" x14ac:dyDescent="0.35">
      <c r="F9691"/>
    </row>
    <row r="9692" spans="6:6" x14ac:dyDescent="0.35">
      <c r="F9692"/>
    </row>
    <row r="9693" spans="6:6" x14ac:dyDescent="0.35">
      <c r="F9693"/>
    </row>
    <row r="9694" spans="6:6" x14ac:dyDescent="0.35">
      <c r="F9694"/>
    </row>
    <row r="9695" spans="6:6" x14ac:dyDescent="0.35">
      <c r="F9695"/>
    </row>
    <row r="9696" spans="6:6" x14ac:dyDescent="0.35">
      <c r="F9696"/>
    </row>
    <row r="9697" spans="6:6" x14ac:dyDescent="0.35">
      <c r="F9697"/>
    </row>
    <row r="9698" spans="6:6" x14ac:dyDescent="0.35">
      <c r="F9698"/>
    </row>
    <row r="9699" spans="6:6" x14ac:dyDescent="0.35">
      <c r="F9699"/>
    </row>
    <row r="9700" spans="6:6" x14ac:dyDescent="0.35">
      <c r="F9700"/>
    </row>
    <row r="9701" spans="6:6" x14ac:dyDescent="0.35">
      <c r="F9701"/>
    </row>
    <row r="9702" spans="6:6" x14ac:dyDescent="0.35">
      <c r="F9702"/>
    </row>
    <row r="9703" spans="6:6" x14ac:dyDescent="0.35">
      <c r="F9703"/>
    </row>
    <row r="9704" spans="6:6" x14ac:dyDescent="0.35">
      <c r="F9704"/>
    </row>
    <row r="9705" spans="6:6" x14ac:dyDescent="0.35">
      <c r="F9705"/>
    </row>
    <row r="9706" spans="6:6" x14ac:dyDescent="0.35">
      <c r="F9706"/>
    </row>
    <row r="9707" spans="6:6" x14ac:dyDescent="0.35">
      <c r="F9707"/>
    </row>
    <row r="9708" spans="6:6" x14ac:dyDescent="0.35">
      <c r="F9708"/>
    </row>
    <row r="9709" spans="6:6" x14ac:dyDescent="0.35">
      <c r="F9709"/>
    </row>
    <row r="9710" spans="6:6" x14ac:dyDescent="0.35">
      <c r="F9710"/>
    </row>
    <row r="9711" spans="6:6" x14ac:dyDescent="0.35">
      <c r="F9711"/>
    </row>
    <row r="9712" spans="6:6" x14ac:dyDescent="0.35">
      <c r="F9712"/>
    </row>
    <row r="9713" spans="6:6" x14ac:dyDescent="0.35">
      <c r="F9713"/>
    </row>
    <row r="9714" spans="6:6" x14ac:dyDescent="0.35">
      <c r="F9714"/>
    </row>
    <row r="9715" spans="6:6" x14ac:dyDescent="0.35">
      <c r="F9715"/>
    </row>
    <row r="9716" spans="6:6" x14ac:dyDescent="0.35">
      <c r="F9716"/>
    </row>
    <row r="9717" spans="6:6" x14ac:dyDescent="0.35">
      <c r="F9717"/>
    </row>
    <row r="9718" spans="6:6" x14ac:dyDescent="0.35">
      <c r="F9718"/>
    </row>
    <row r="9719" spans="6:6" x14ac:dyDescent="0.35">
      <c r="F9719"/>
    </row>
    <row r="9720" spans="6:6" x14ac:dyDescent="0.35">
      <c r="F9720"/>
    </row>
    <row r="9721" spans="6:6" x14ac:dyDescent="0.35">
      <c r="F9721"/>
    </row>
    <row r="9722" spans="6:6" x14ac:dyDescent="0.35">
      <c r="F9722"/>
    </row>
    <row r="9723" spans="6:6" x14ac:dyDescent="0.35">
      <c r="F9723"/>
    </row>
    <row r="9724" spans="6:6" x14ac:dyDescent="0.35">
      <c r="F9724"/>
    </row>
    <row r="9725" spans="6:6" x14ac:dyDescent="0.35">
      <c r="F9725"/>
    </row>
    <row r="9726" spans="6:6" x14ac:dyDescent="0.35">
      <c r="F9726"/>
    </row>
    <row r="9727" spans="6:6" x14ac:dyDescent="0.35">
      <c r="F9727"/>
    </row>
    <row r="9728" spans="6:6" x14ac:dyDescent="0.35">
      <c r="F9728"/>
    </row>
    <row r="9729" spans="6:6" x14ac:dyDescent="0.35">
      <c r="F9729"/>
    </row>
    <row r="9730" spans="6:6" x14ac:dyDescent="0.35">
      <c r="F9730"/>
    </row>
    <row r="9731" spans="6:6" x14ac:dyDescent="0.35">
      <c r="F9731"/>
    </row>
    <row r="9732" spans="6:6" x14ac:dyDescent="0.35">
      <c r="F9732"/>
    </row>
    <row r="9733" spans="6:6" x14ac:dyDescent="0.35">
      <c r="F9733"/>
    </row>
    <row r="9734" spans="6:6" x14ac:dyDescent="0.35">
      <c r="F9734"/>
    </row>
    <row r="9735" spans="6:6" x14ac:dyDescent="0.35">
      <c r="F9735"/>
    </row>
    <row r="9736" spans="6:6" x14ac:dyDescent="0.35">
      <c r="F9736"/>
    </row>
    <row r="9737" spans="6:6" x14ac:dyDescent="0.35">
      <c r="F9737"/>
    </row>
    <row r="9738" spans="6:6" x14ac:dyDescent="0.35">
      <c r="F9738"/>
    </row>
    <row r="9739" spans="6:6" x14ac:dyDescent="0.35">
      <c r="F9739"/>
    </row>
    <row r="9740" spans="6:6" x14ac:dyDescent="0.35">
      <c r="F9740"/>
    </row>
    <row r="9741" spans="6:6" x14ac:dyDescent="0.35">
      <c r="F9741"/>
    </row>
    <row r="9742" spans="6:6" x14ac:dyDescent="0.35">
      <c r="F9742"/>
    </row>
    <row r="9743" spans="6:6" x14ac:dyDescent="0.35">
      <c r="F9743"/>
    </row>
    <row r="9744" spans="6:6" x14ac:dyDescent="0.35">
      <c r="F9744"/>
    </row>
    <row r="9745" spans="6:6" x14ac:dyDescent="0.35">
      <c r="F9745"/>
    </row>
    <row r="9746" spans="6:6" x14ac:dyDescent="0.35">
      <c r="F9746"/>
    </row>
    <row r="9747" spans="6:6" x14ac:dyDescent="0.35">
      <c r="F9747"/>
    </row>
    <row r="9748" spans="6:6" x14ac:dyDescent="0.35">
      <c r="F9748"/>
    </row>
    <row r="9749" spans="6:6" x14ac:dyDescent="0.35">
      <c r="F9749"/>
    </row>
    <row r="9750" spans="6:6" x14ac:dyDescent="0.35">
      <c r="F9750"/>
    </row>
    <row r="9751" spans="6:6" x14ac:dyDescent="0.35">
      <c r="F9751"/>
    </row>
    <row r="9752" spans="6:6" x14ac:dyDescent="0.35">
      <c r="F9752"/>
    </row>
    <row r="9753" spans="6:6" x14ac:dyDescent="0.35">
      <c r="F9753"/>
    </row>
    <row r="9754" spans="6:6" x14ac:dyDescent="0.35">
      <c r="F9754"/>
    </row>
    <row r="9755" spans="6:6" x14ac:dyDescent="0.35">
      <c r="F9755"/>
    </row>
    <row r="9756" spans="6:6" x14ac:dyDescent="0.35">
      <c r="F9756"/>
    </row>
    <row r="9757" spans="6:6" x14ac:dyDescent="0.35">
      <c r="F9757"/>
    </row>
    <row r="9758" spans="6:6" x14ac:dyDescent="0.35">
      <c r="F9758"/>
    </row>
    <row r="9759" spans="6:6" x14ac:dyDescent="0.35">
      <c r="F9759"/>
    </row>
    <row r="9760" spans="6:6" x14ac:dyDescent="0.35">
      <c r="F9760"/>
    </row>
    <row r="9761" spans="6:6" x14ac:dyDescent="0.35">
      <c r="F9761"/>
    </row>
    <row r="9762" spans="6:6" x14ac:dyDescent="0.35">
      <c r="F9762"/>
    </row>
    <row r="9763" spans="6:6" x14ac:dyDescent="0.35">
      <c r="F9763"/>
    </row>
    <row r="9764" spans="6:6" x14ac:dyDescent="0.35">
      <c r="F9764"/>
    </row>
    <row r="9765" spans="6:6" x14ac:dyDescent="0.35">
      <c r="F9765"/>
    </row>
    <row r="9766" spans="6:6" x14ac:dyDescent="0.35">
      <c r="F9766"/>
    </row>
    <row r="9767" spans="6:6" x14ac:dyDescent="0.35">
      <c r="F9767"/>
    </row>
    <row r="9768" spans="6:6" x14ac:dyDescent="0.35">
      <c r="F9768"/>
    </row>
    <row r="9769" spans="6:6" x14ac:dyDescent="0.35">
      <c r="F9769"/>
    </row>
    <row r="9770" spans="6:6" x14ac:dyDescent="0.35">
      <c r="F9770"/>
    </row>
    <row r="9771" spans="6:6" x14ac:dyDescent="0.35">
      <c r="F9771"/>
    </row>
    <row r="9772" spans="6:6" x14ac:dyDescent="0.35">
      <c r="F9772"/>
    </row>
    <row r="9773" spans="6:6" x14ac:dyDescent="0.35">
      <c r="F9773"/>
    </row>
    <row r="9774" spans="6:6" x14ac:dyDescent="0.35">
      <c r="F9774"/>
    </row>
    <row r="9775" spans="6:6" x14ac:dyDescent="0.35">
      <c r="F9775"/>
    </row>
    <row r="9776" spans="6:6" x14ac:dyDescent="0.35">
      <c r="F9776"/>
    </row>
    <row r="9777" spans="6:6" x14ac:dyDescent="0.35">
      <c r="F9777"/>
    </row>
    <row r="9778" spans="6:6" x14ac:dyDescent="0.35">
      <c r="F9778"/>
    </row>
    <row r="9779" spans="6:6" x14ac:dyDescent="0.35">
      <c r="F9779"/>
    </row>
    <row r="9780" spans="6:6" x14ac:dyDescent="0.35">
      <c r="F9780"/>
    </row>
    <row r="9781" spans="6:6" x14ac:dyDescent="0.35">
      <c r="F9781"/>
    </row>
    <row r="9782" spans="6:6" x14ac:dyDescent="0.35">
      <c r="F9782"/>
    </row>
    <row r="9783" spans="6:6" x14ac:dyDescent="0.35">
      <c r="F9783"/>
    </row>
    <row r="9784" spans="6:6" x14ac:dyDescent="0.35">
      <c r="F9784"/>
    </row>
    <row r="9785" spans="6:6" x14ac:dyDescent="0.35">
      <c r="F9785"/>
    </row>
    <row r="9786" spans="6:6" x14ac:dyDescent="0.35">
      <c r="F9786"/>
    </row>
    <row r="9787" spans="6:6" x14ac:dyDescent="0.35">
      <c r="F9787"/>
    </row>
    <row r="9788" spans="6:6" x14ac:dyDescent="0.35">
      <c r="F9788"/>
    </row>
    <row r="9789" spans="6:6" x14ac:dyDescent="0.35">
      <c r="F9789"/>
    </row>
    <row r="9790" spans="6:6" x14ac:dyDescent="0.35">
      <c r="F9790"/>
    </row>
    <row r="9791" spans="6:6" x14ac:dyDescent="0.35">
      <c r="F9791"/>
    </row>
    <row r="9792" spans="6:6" x14ac:dyDescent="0.35">
      <c r="F9792"/>
    </row>
    <row r="9793" spans="6:6" x14ac:dyDescent="0.35">
      <c r="F9793"/>
    </row>
    <row r="9794" spans="6:6" x14ac:dyDescent="0.35">
      <c r="F9794"/>
    </row>
    <row r="9795" spans="6:6" x14ac:dyDescent="0.35">
      <c r="F9795"/>
    </row>
    <row r="9796" spans="6:6" x14ac:dyDescent="0.35">
      <c r="F9796"/>
    </row>
    <row r="9797" spans="6:6" x14ac:dyDescent="0.35">
      <c r="F9797"/>
    </row>
    <row r="9798" spans="6:6" x14ac:dyDescent="0.35">
      <c r="F9798"/>
    </row>
    <row r="9799" spans="6:6" x14ac:dyDescent="0.35">
      <c r="F9799"/>
    </row>
    <row r="9800" spans="6:6" x14ac:dyDescent="0.35">
      <c r="F9800"/>
    </row>
    <row r="9801" spans="6:6" x14ac:dyDescent="0.35">
      <c r="F9801"/>
    </row>
    <row r="9802" spans="6:6" x14ac:dyDescent="0.35">
      <c r="F9802"/>
    </row>
    <row r="9803" spans="6:6" x14ac:dyDescent="0.35">
      <c r="F9803"/>
    </row>
    <row r="9804" spans="6:6" x14ac:dyDescent="0.35">
      <c r="F9804"/>
    </row>
    <row r="9805" spans="6:6" x14ac:dyDescent="0.35">
      <c r="F9805"/>
    </row>
    <row r="9806" spans="6:6" x14ac:dyDescent="0.35">
      <c r="F9806"/>
    </row>
    <row r="9807" spans="6:6" x14ac:dyDescent="0.35">
      <c r="F9807"/>
    </row>
    <row r="9808" spans="6:6" x14ac:dyDescent="0.35">
      <c r="F9808"/>
    </row>
    <row r="9809" spans="6:6" x14ac:dyDescent="0.35">
      <c r="F9809"/>
    </row>
    <row r="9810" spans="6:6" x14ac:dyDescent="0.35">
      <c r="F9810"/>
    </row>
    <row r="9811" spans="6:6" x14ac:dyDescent="0.35">
      <c r="F9811"/>
    </row>
    <row r="9812" spans="6:6" x14ac:dyDescent="0.35">
      <c r="F9812"/>
    </row>
    <row r="9813" spans="6:6" x14ac:dyDescent="0.35">
      <c r="F9813"/>
    </row>
    <row r="9814" spans="6:6" x14ac:dyDescent="0.35">
      <c r="F9814"/>
    </row>
    <row r="9815" spans="6:6" x14ac:dyDescent="0.35">
      <c r="F9815"/>
    </row>
    <row r="9816" spans="6:6" x14ac:dyDescent="0.35">
      <c r="F9816"/>
    </row>
    <row r="9817" spans="6:6" x14ac:dyDescent="0.35">
      <c r="F9817"/>
    </row>
    <row r="9818" spans="6:6" x14ac:dyDescent="0.35">
      <c r="F9818"/>
    </row>
    <row r="9819" spans="6:6" x14ac:dyDescent="0.35">
      <c r="F9819"/>
    </row>
    <row r="9820" spans="6:6" x14ac:dyDescent="0.35">
      <c r="F9820"/>
    </row>
    <row r="9821" spans="6:6" x14ac:dyDescent="0.35">
      <c r="F9821"/>
    </row>
    <row r="9822" spans="6:6" x14ac:dyDescent="0.35">
      <c r="F9822"/>
    </row>
    <row r="9823" spans="6:6" x14ac:dyDescent="0.35">
      <c r="F9823"/>
    </row>
    <row r="9824" spans="6:6" x14ac:dyDescent="0.35">
      <c r="F9824"/>
    </row>
    <row r="9825" spans="6:6" x14ac:dyDescent="0.35">
      <c r="F9825"/>
    </row>
    <row r="9826" spans="6:6" x14ac:dyDescent="0.35">
      <c r="F9826"/>
    </row>
    <row r="9827" spans="6:6" x14ac:dyDescent="0.35">
      <c r="F9827"/>
    </row>
    <row r="9828" spans="6:6" x14ac:dyDescent="0.35">
      <c r="F9828"/>
    </row>
    <row r="9829" spans="6:6" x14ac:dyDescent="0.35">
      <c r="F9829"/>
    </row>
    <row r="9830" spans="6:6" x14ac:dyDescent="0.35">
      <c r="F9830"/>
    </row>
    <row r="9831" spans="6:6" x14ac:dyDescent="0.35">
      <c r="F9831"/>
    </row>
    <row r="9832" spans="6:6" x14ac:dyDescent="0.35">
      <c r="F9832"/>
    </row>
    <row r="9833" spans="6:6" x14ac:dyDescent="0.35">
      <c r="F9833"/>
    </row>
    <row r="9834" spans="6:6" x14ac:dyDescent="0.35">
      <c r="F9834"/>
    </row>
    <row r="9835" spans="6:6" x14ac:dyDescent="0.35">
      <c r="F9835"/>
    </row>
    <row r="9836" spans="6:6" x14ac:dyDescent="0.35">
      <c r="F9836"/>
    </row>
    <row r="9837" spans="6:6" x14ac:dyDescent="0.35">
      <c r="F9837"/>
    </row>
    <row r="9838" spans="6:6" x14ac:dyDescent="0.35">
      <c r="F9838"/>
    </row>
    <row r="9839" spans="6:6" x14ac:dyDescent="0.35">
      <c r="F9839"/>
    </row>
    <row r="9840" spans="6:6" x14ac:dyDescent="0.35">
      <c r="F9840"/>
    </row>
    <row r="9841" spans="6:6" x14ac:dyDescent="0.35">
      <c r="F9841"/>
    </row>
    <row r="9842" spans="6:6" x14ac:dyDescent="0.35">
      <c r="F9842"/>
    </row>
    <row r="9843" spans="6:6" x14ac:dyDescent="0.35">
      <c r="F9843"/>
    </row>
    <row r="9844" spans="6:6" x14ac:dyDescent="0.35">
      <c r="F9844"/>
    </row>
    <row r="9845" spans="6:6" x14ac:dyDescent="0.35">
      <c r="F9845"/>
    </row>
    <row r="9846" spans="6:6" x14ac:dyDescent="0.35">
      <c r="F9846"/>
    </row>
    <row r="9847" spans="6:6" x14ac:dyDescent="0.35">
      <c r="F9847"/>
    </row>
    <row r="9848" spans="6:6" x14ac:dyDescent="0.35">
      <c r="F9848"/>
    </row>
    <row r="9849" spans="6:6" x14ac:dyDescent="0.35">
      <c r="F9849"/>
    </row>
    <row r="9850" spans="6:6" x14ac:dyDescent="0.35">
      <c r="F9850"/>
    </row>
    <row r="9851" spans="6:6" x14ac:dyDescent="0.35">
      <c r="F9851"/>
    </row>
    <row r="9852" spans="6:6" x14ac:dyDescent="0.35">
      <c r="F9852"/>
    </row>
    <row r="9853" spans="6:6" x14ac:dyDescent="0.35">
      <c r="F9853"/>
    </row>
    <row r="9854" spans="6:6" x14ac:dyDescent="0.35">
      <c r="F9854"/>
    </row>
    <row r="9855" spans="6:6" x14ac:dyDescent="0.35">
      <c r="F9855"/>
    </row>
    <row r="9856" spans="6:6" x14ac:dyDescent="0.35">
      <c r="F9856"/>
    </row>
    <row r="9857" spans="6:6" x14ac:dyDescent="0.35">
      <c r="F9857"/>
    </row>
    <row r="9858" spans="6:6" x14ac:dyDescent="0.35">
      <c r="F9858"/>
    </row>
    <row r="9859" spans="6:6" x14ac:dyDescent="0.35">
      <c r="F9859"/>
    </row>
    <row r="9860" spans="6:6" x14ac:dyDescent="0.35">
      <c r="F9860"/>
    </row>
    <row r="9861" spans="6:6" x14ac:dyDescent="0.35">
      <c r="F9861"/>
    </row>
    <row r="9862" spans="6:6" x14ac:dyDescent="0.35">
      <c r="F9862"/>
    </row>
    <row r="9863" spans="6:6" x14ac:dyDescent="0.35">
      <c r="F9863"/>
    </row>
    <row r="9864" spans="6:6" x14ac:dyDescent="0.35">
      <c r="F9864"/>
    </row>
    <row r="9865" spans="6:6" x14ac:dyDescent="0.35">
      <c r="F9865"/>
    </row>
    <row r="9866" spans="6:6" x14ac:dyDescent="0.35">
      <c r="F9866"/>
    </row>
    <row r="9867" spans="6:6" x14ac:dyDescent="0.35">
      <c r="F9867"/>
    </row>
    <row r="9868" spans="6:6" x14ac:dyDescent="0.35">
      <c r="F9868"/>
    </row>
    <row r="9869" spans="6:6" x14ac:dyDescent="0.35">
      <c r="F9869"/>
    </row>
    <row r="9870" spans="6:6" x14ac:dyDescent="0.35">
      <c r="F9870"/>
    </row>
    <row r="9871" spans="6:6" x14ac:dyDescent="0.35">
      <c r="F9871"/>
    </row>
    <row r="9872" spans="6:6" x14ac:dyDescent="0.35">
      <c r="F9872"/>
    </row>
    <row r="9873" spans="6:6" x14ac:dyDescent="0.35">
      <c r="F9873"/>
    </row>
    <row r="9874" spans="6:6" x14ac:dyDescent="0.35">
      <c r="F9874"/>
    </row>
    <row r="9875" spans="6:6" x14ac:dyDescent="0.35">
      <c r="F9875"/>
    </row>
    <row r="9876" spans="6:6" x14ac:dyDescent="0.35">
      <c r="F9876"/>
    </row>
    <row r="9877" spans="6:6" x14ac:dyDescent="0.35">
      <c r="F9877"/>
    </row>
    <row r="9878" spans="6:6" x14ac:dyDescent="0.35">
      <c r="F9878"/>
    </row>
    <row r="9879" spans="6:6" x14ac:dyDescent="0.35">
      <c r="F9879"/>
    </row>
    <row r="9880" spans="6:6" x14ac:dyDescent="0.35">
      <c r="F9880"/>
    </row>
    <row r="9881" spans="6:6" x14ac:dyDescent="0.35">
      <c r="F9881"/>
    </row>
    <row r="9882" spans="6:6" x14ac:dyDescent="0.35">
      <c r="F9882"/>
    </row>
    <row r="9883" spans="6:6" x14ac:dyDescent="0.35">
      <c r="F9883"/>
    </row>
    <row r="9884" spans="6:6" x14ac:dyDescent="0.35">
      <c r="F9884"/>
    </row>
    <row r="9885" spans="6:6" x14ac:dyDescent="0.35">
      <c r="F9885"/>
    </row>
    <row r="9886" spans="6:6" x14ac:dyDescent="0.35">
      <c r="F9886"/>
    </row>
    <row r="9887" spans="6:6" x14ac:dyDescent="0.35">
      <c r="F9887"/>
    </row>
    <row r="9888" spans="6:6" x14ac:dyDescent="0.35">
      <c r="F9888"/>
    </row>
    <row r="9889" spans="6:6" x14ac:dyDescent="0.35">
      <c r="F9889"/>
    </row>
    <row r="9890" spans="6:6" x14ac:dyDescent="0.35">
      <c r="F9890"/>
    </row>
    <row r="9891" spans="6:6" x14ac:dyDescent="0.35">
      <c r="F9891"/>
    </row>
    <row r="9892" spans="6:6" x14ac:dyDescent="0.35">
      <c r="F9892"/>
    </row>
    <row r="9893" spans="6:6" x14ac:dyDescent="0.35">
      <c r="F9893"/>
    </row>
    <row r="9894" spans="6:6" x14ac:dyDescent="0.35">
      <c r="F9894"/>
    </row>
    <row r="9895" spans="6:6" x14ac:dyDescent="0.35">
      <c r="F9895"/>
    </row>
    <row r="9896" spans="6:6" x14ac:dyDescent="0.35">
      <c r="F9896"/>
    </row>
    <row r="9897" spans="6:6" x14ac:dyDescent="0.35">
      <c r="F9897"/>
    </row>
    <row r="9898" spans="6:6" x14ac:dyDescent="0.35">
      <c r="F9898"/>
    </row>
    <row r="9899" spans="6:6" x14ac:dyDescent="0.35">
      <c r="F9899"/>
    </row>
    <row r="9900" spans="6:6" x14ac:dyDescent="0.35">
      <c r="F9900"/>
    </row>
    <row r="9901" spans="6:6" x14ac:dyDescent="0.35">
      <c r="F9901"/>
    </row>
    <row r="9902" spans="6:6" x14ac:dyDescent="0.35">
      <c r="F9902"/>
    </row>
    <row r="9903" spans="6:6" x14ac:dyDescent="0.35">
      <c r="F9903"/>
    </row>
    <row r="9904" spans="6:6" x14ac:dyDescent="0.35">
      <c r="F9904"/>
    </row>
    <row r="9905" spans="6:6" x14ac:dyDescent="0.35">
      <c r="F9905"/>
    </row>
    <row r="9906" spans="6:6" x14ac:dyDescent="0.35">
      <c r="F9906"/>
    </row>
    <row r="9907" spans="6:6" x14ac:dyDescent="0.35">
      <c r="F9907"/>
    </row>
    <row r="9908" spans="6:6" x14ac:dyDescent="0.35">
      <c r="F9908"/>
    </row>
    <row r="9909" spans="6:6" x14ac:dyDescent="0.35">
      <c r="F9909"/>
    </row>
    <row r="9910" spans="6:6" x14ac:dyDescent="0.35">
      <c r="F9910"/>
    </row>
    <row r="9911" spans="6:6" x14ac:dyDescent="0.35">
      <c r="F9911"/>
    </row>
    <row r="9912" spans="6:6" x14ac:dyDescent="0.35">
      <c r="F9912"/>
    </row>
    <row r="9913" spans="6:6" x14ac:dyDescent="0.35">
      <c r="F9913"/>
    </row>
    <row r="9914" spans="6:6" x14ac:dyDescent="0.35">
      <c r="F9914"/>
    </row>
    <row r="9915" spans="6:6" x14ac:dyDescent="0.35">
      <c r="F9915"/>
    </row>
    <row r="9916" spans="6:6" x14ac:dyDescent="0.35">
      <c r="F9916"/>
    </row>
    <row r="9917" spans="6:6" x14ac:dyDescent="0.35">
      <c r="F9917"/>
    </row>
    <row r="9918" spans="6:6" x14ac:dyDescent="0.35">
      <c r="F9918"/>
    </row>
    <row r="9919" spans="6:6" x14ac:dyDescent="0.35">
      <c r="F9919"/>
    </row>
    <row r="9920" spans="6:6" x14ac:dyDescent="0.35">
      <c r="F9920"/>
    </row>
    <row r="9921" spans="6:6" x14ac:dyDescent="0.35">
      <c r="F9921"/>
    </row>
    <row r="9922" spans="6:6" x14ac:dyDescent="0.35">
      <c r="F9922"/>
    </row>
    <row r="9923" spans="6:6" x14ac:dyDescent="0.35">
      <c r="F9923"/>
    </row>
    <row r="9924" spans="6:6" x14ac:dyDescent="0.35">
      <c r="F9924"/>
    </row>
    <row r="9925" spans="6:6" x14ac:dyDescent="0.35">
      <c r="F9925"/>
    </row>
    <row r="9926" spans="6:6" x14ac:dyDescent="0.35">
      <c r="F9926"/>
    </row>
    <row r="9927" spans="6:6" x14ac:dyDescent="0.35">
      <c r="F9927"/>
    </row>
    <row r="9928" spans="6:6" x14ac:dyDescent="0.35">
      <c r="F9928"/>
    </row>
    <row r="9929" spans="6:6" x14ac:dyDescent="0.35">
      <c r="F9929"/>
    </row>
    <row r="9930" spans="6:6" x14ac:dyDescent="0.35">
      <c r="F9930"/>
    </row>
    <row r="9931" spans="6:6" x14ac:dyDescent="0.35">
      <c r="F9931"/>
    </row>
    <row r="9932" spans="6:6" x14ac:dyDescent="0.35">
      <c r="F9932"/>
    </row>
    <row r="9933" spans="6:6" x14ac:dyDescent="0.35">
      <c r="F9933"/>
    </row>
    <row r="9934" spans="6:6" x14ac:dyDescent="0.35">
      <c r="F9934"/>
    </row>
    <row r="9935" spans="6:6" x14ac:dyDescent="0.35">
      <c r="F9935"/>
    </row>
    <row r="9936" spans="6:6" x14ac:dyDescent="0.35">
      <c r="F9936"/>
    </row>
    <row r="9937" spans="6:6" x14ac:dyDescent="0.35">
      <c r="F9937"/>
    </row>
    <row r="9938" spans="6:6" x14ac:dyDescent="0.35">
      <c r="F9938"/>
    </row>
    <row r="9939" spans="6:6" x14ac:dyDescent="0.35">
      <c r="F9939"/>
    </row>
    <row r="9940" spans="6:6" x14ac:dyDescent="0.35">
      <c r="F9940"/>
    </row>
    <row r="9941" spans="6:6" x14ac:dyDescent="0.35">
      <c r="F9941"/>
    </row>
    <row r="9942" spans="6:6" x14ac:dyDescent="0.35">
      <c r="F9942"/>
    </row>
    <row r="9943" spans="6:6" x14ac:dyDescent="0.35">
      <c r="F9943"/>
    </row>
    <row r="9944" spans="6:6" x14ac:dyDescent="0.35">
      <c r="F9944"/>
    </row>
    <row r="9945" spans="6:6" x14ac:dyDescent="0.35">
      <c r="F9945"/>
    </row>
    <row r="9946" spans="6:6" x14ac:dyDescent="0.35">
      <c r="F9946"/>
    </row>
    <row r="9947" spans="6:6" x14ac:dyDescent="0.35">
      <c r="F9947"/>
    </row>
    <row r="9948" spans="6:6" x14ac:dyDescent="0.35">
      <c r="F9948"/>
    </row>
    <row r="9949" spans="6:6" x14ac:dyDescent="0.35">
      <c r="F9949"/>
    </row>
    <row r="9950" spans="6:6" x14ac:dyDescent="0.35">
      <c r="F9950"/>
    </row>
    <row r="9951" spans="6:6" x14ac:dyDescent="0.35">
      <c r="F9951"/>
    </row>
    <row r="9952" spans="6:6" x14ac:dyDescent="0.35">
      <c r="F9952"/>
    </row>
    <row r="9953" spans="6:6" x14ac:dyDescent="0.35">
      <c r="F9953"/>
    </row>
    <row r="9954" spans="6:6" x14ac:dyDescent="0.35">
      <c r="F9954"/>
    </row>
    <row r="9955" spans="6:6" x14ac:dyDescent="0.35">
      <c r="F9955"/>
    </row>
    <row r="9956" spans="6:6" x14ac:dyDescent="0.35">
      <c r="F9956"/>
    </row>
    <row r="9957" spans="6:6" x14ac:dyDescent="0.35">
      <c r="F9957"/>
    </row>
    <row r="9958" spans="6:6" x14ac:dyDescent="0.35">
      <c r="F9958"/>
    </row>
    <row r="9959" spans="6:6" x14ac:dyDescent="0.35">
      <c r="F9959"/>
    </row>
    <row r="9960" spans="6:6" x14ac:dyDescent="0.35">
      <c r="F9960"/>
    </row>
    <row r="9961" spans="6:6" x14ac:dyDescent="0.35">
      <c r="F9961"/>
    </row>
    <row r="9962" spans="6:6" x14ac:dyDescent="0.35">
      <c r="F9962"/>
    </row>
    <row r="9963" spans="6:6" x14ac:dyDescent="0.35">
      <c r="F9963"/>
    </row>
    <row r="9964" spans="6:6" x14ac:dyDescent="0.35">
      <c r="F9964"/>
    </row>
    <row r="9965" spans="6:6" x14ac:dyDescent="0.35">
      <c r="F9965"/>
    </row>
    <row r="9966" spans="6:6" x14ac:dyDescent="0.35">
      <c r="F9966"/>
    </row>
    <row r="9967" spans="6:6" x14ac:dyDescent="0.35">
      <c r="F9967"/>
    </row>
    <row r="9968" spans="6:6" x14ac:dyDescent="0.35">
      <c r="F9968"/>
    </row>
    <row r="9969" spans="6:6" x14ac:dyDescent="0.35">
      <c r="F9969"/>
    </row>
    <row r="9970" spans="6:6" x14ac:dyDescent="0.35">
      <c r="F9970"/>
    </row>
    <row r="9971" spans="6:6" x14ac:dyDescent="0.35">
      <c r="F9971"/>
    </row>
    <row r="9972" spans="6:6" x14ac:dyDescent="0.35">
      <c r="F9972"/>
    </row>
    <row r="9973" spans="6:6" x14ac:dyDescent="0.35">
      <c r="F9973"/>
    </row>
    <row r="9974" spans="6:6" x14ac:dyDescent="0.35">
      <c r="F9974"/>
    </row>
    <row r="9975" spans="6:6" x14ac:dyDescent="0.35">
      <c r="F9975"/>
    </row>
    <row r="9976" spans="6:6" x14ac:dyDescent="0.35">
      <c r="F9976"/>
    </row>
    <row r="9977" spans="6:6" x14ac:dyDescent="0.35">
      <c r="F9977"/>
    </row>
    <row r="9978" spans="6:6" x14ac:dyDescent="0.35">
      <c r="F9978"/>
    </row>
    <row r="9979" spans="6:6" x14ac:dyDescent="0.35">
      <c r="F9979"/>
    </row>
    <row r="9980" spans="6:6" x14ac:dyDescent="0.35">
      <c r="F9980"/>
    </row>
    <row r="9981" spans="6:6" x14ac:dyDescent="0.35">
      <c r="F9981"/>
    </row>
    <row r="9982" spans="6:6" x14ac:dyDescent="0.35">
      <c r="F9982"/>
    </row>
    <row r="9983" spans="6:6" x14ac:dyDescent="0.35">
      <c r="F9983"/>
    </row>
    <row r="9984" spans="6:6" x14ac:dyDescent="0.35">
      <c r="F9984"/>
    </row>
    <row r="9985" spans="6:6" x14ac:dyDescent="0.35">
      <c r="F9985"/>
    </row>
    <row r="9986" spans="6:6" x14ac:dyDescent="0.35">
      <c r="F9986"/>
    </row>
    <row r="9987" spans="6:6" x14ac:dyDescent="0.35">
      <c r="F9987"/>
    </row>
    <row r="9988" spans="6:6" x14ac:dyDescent="0.35">
      <c r="F9988"/>
    </row>
    <row r="9989" spans="6:6" x14ac:dyDescent="0.35">
      <c r="F9989"/>
    </row>
    <row r="9990" spans="6:6" x14ac:dyDescent="0.35">
      <c r="F9990"/>
    </row>
    <row r="9991" spans="6:6" x14ac:dyDescent="0.35">
      <c r="F9991"/>
    </row>
    <row r="9992" spans="6:6" x14ac:dyDescent="0.35">
      <c r="F9992"/>
    </row>
    <row r="9993" spans="6:6" x14ac:dyDescent="0.35">
      <c r="F9993"/>
    </row>
    <row r="9994" spans="6:6" x14ac:dyDescent="0.35">
      <c r="F9994"/>
    </row>
    <row r="9995" spans="6:6" x14ac:dyDescent="0.35">
      <c r="F9995"/>
    </row>
    <row r="9996" spans="6:6" x14ac:dyDescent="0.35">
      <c r="F9996"/>
    </row>
    <row r="9997" spans="6:6" x14ac:dyDescent="0.35">
      <c r="F9997"/>
    </row>
    <row r="9998" spans="6:6" x14ac:dyDescent="0.35">
      <c r="F9998"/>
    </row>
    <row r="9999" spans="6:6" x14ac:dyDescent="0.35">
      <c r="F9999"/>
    </row>
    <row r="10000" spans="6:6" x14ac:dyDescent="0.35">
      <c r="F10000"/>
    </row>
    <row r="10001" spans="6:6" x14ac:dyDescent="0.35">
      <c r="F10001"/>
    </row>
    <row r="10002" spans="6:6" x14ac:dyDescent="0.35">
      <c r="F10002"/>
    </row>
    <row r="10003" spans="6:6" x14ac:dyDescent="0.35">
      <c r="F10003"/>
    </row>
    <row r="10004" spans="6:6" x14ac:dyDescent="0.35">
      <c r="F10004"/>
    </row>
    <row r="10005" spans="6:6" x14ac:dyDescent="0.35">
      <c r="F10005"/>
    </row>
    <row r="10006" spans="6:6" x14ac:dyDescent="0.35">
      <c r="F10006"/>
    </row>
    <row r="10007" spans="6:6" x14ac:dyDescent="0.35">
      <c r="F10007"/>
    </row>
    <row r="10008" spans="6:6" x14ac:dyDescent="0.35">
      <c r="F10008"/>
    </row>
    <row r="10009" spans="6:6" x14ac:dyDescent="0.35">
      <c r="F10009"/>
    </row>
    <row r="10010" spans="6:6" x14ac:dyDescent="0.35">
      <c r="F10010"/>
    </row>
    <row r="10011" spans="6:6" x14ac:dyDescent="0.35">
      <c r="F10011"/>
    </row>
    <row r="10012" spans="6:6" x14ac:dyDescent="0.35">
      <c r="F10012"/>
    </row>
    <row r="10013" spans="6:6" x14ac:dyDescent="0.35">
      <c r="F10013"/>
    </row>
    <row r="10014" spans="6:6" x14ac:dyDescent="0.35">
      <c r="F10014"/>
    </row>
    <row r="10015" spans="6:6" x14ac:dyDescent="0.35">
      <c r="F10015"/>
    </row>
    <row r="10016" spans="6:6" x14ac:dyDescent="0.35">
      <c r="F10016"/>
    </row>
    <row r="10017" spans="6:6" x14ac:dyDescent="0.35">
      <c r="F10017"/>
    </row>
    <row r="10018" spans="6:6" x14ac:dyDescent="0.35">
      <c r="F10018"/>
    </row>
    <row r="10019" spans="6:6" x14ac:dyDescent="0.35">
      <c r="F10019"/>
    </row>
    <row r="10020" spans="6:6" x14ac:dyDescent="0.35">
      <c r="F10020"/>
    </row>
    <row r="10021" spans="6:6" x14ac:dyDescent="0.35">
      <c r="F10021"/>
    </row>
    <row r="10022" spans="6:6" x14ac:dyDescent="0.35">
      <c r="F10022"/>
    </row>
    <row r="10023" spans="6:6" x14ac:dyDescent="0.35">
      <c r="F10023"/>
    </row>
    <row r="10024" spans="6:6" x14ac:dyDescent="0.35">
      <c r="F10024"/>
    </row>
    <row r="10025" spans="6:6" x14ac:dyDescent="0.35">
      <c r="F10025"/>
    </row>
    <row r="10026" spans="6:6" x14ac:dyDescent="0.35">
      <c r="F10026"/>
    </row>
    <row r="10027" spans="6:6" x14ac:dyDescent="0.35">
      <c r="F10027"/>
    </row>
    <row r="10028" spans="6:6" x14ac:dyDescent="0.35">
      <c r="F10028"/>
    </row>
    <row r="10029" spans="6:6" x14ac:dyDescent="0.35">
      <c r="F10029"/>
    </row>
    <row r="10030" spans="6:6" x14ac:dyDescent="0.35">
      <c r="F10030"/>
    </row>
    <row r="10031" spans="6:6" x14ac:dyDescent="0.35">
      <c r="F10031"/>
    </row>
    <row r="10032" spans="6:6" x14ac:dyDescent="0.35">
      <c r="F10032"/>
    </row>
    <row r="10033" spans="6:6" x14ac:dyDescent="0.35">
      <c r="F10033"/>
    </row>
    <row r="10034" spans="6:6" x14ac:dyDescent="0.35">
      <c r="F10034"/>
    </row>
    <row r="10035" spans="6:6" x14ac:dyDescent="0.35">
      <c r="F10035"/>
    </row>
    <row r="10036" spans="6:6" x14ac:dyDescent="0.35">
      <c r="F10036"/>
    </row>
    <row r="10037" spans="6:6" x14ac:dyDescent="0.35">
      <c r="F10037"/>
    </row>
    <row r="10038" spans="6:6" x14ac:dyDescent="0.35">
      <c r="F10038"/>
    </row>
    <row r="10039" spans="6:6" x14ac:dyDescent="0.35">
      <c r="F10039"/>
    </row>
    <row r="10040" spans="6:6" x14ac:dyDescent="0.35">
      <c r="F10040"/>
    </row>
    <row r="10041" spans="6:6" x14ac:dyDescent="0.35">
      <c r="F10041"/>
    </row>
    <row r="10042" spans="6:6" x14ac:dyDescent="0.35">
      <c r="F10042"/>
    </row>
    <row r="10043" spans="6:6" x14ac:dyDescent="0.35">
      <c r="F10043"/>
    </row>
    <row r="10044" spans="6:6" x14ac:dyDescent="0.35">
      <c r="F10044"/>
    </row>
    <row r="10045" spans="6:6" x14ac:dyDescent="0.35">
      <c r="F10045"/>
    </row>
    <row r="10046" spans="6:6" x14ac:dyDescent="0.35">
      <c r="F10046"/>
    </row>
    <row r="10047" spans="6:6" x14ac:dyDescent="0.35">
      <c r="F10047"/>
    </row>
    <row r="10048" spans="6:6" x14ac:dyDescent="0.35">
      <c r="F10048"/>
    </row>
    <row r="10049" spans="6:6" x14ac:dyDescent="0.35">
      <c r="F10049"/>
    </row>
    <row r="10050" spans="6:6" x14ac:dyDescent="0.35">
      <c r="F10050"/>
    </row>
    <row r="10051" spans="6:6" x14ac:dyDescent="0.35">
      <c r="F10051"/>
    </row>
    <row r="10052" spans="6:6" x14ac:dyDescent="0.35">
      <c r="F10052"/>
    </row>
    <row r="10053" spans="6:6" x14ac:dyDescent="0.35">
      <c r="F10053"/>
    </row>
    <row r="10054" spans="6:6" x14ac:dyDescent="0.35">
      <c r="F10054"/>
    </row>
    <row r="10055" spans="6:6" x14ac:dyDescent="0.35">
      <c r="F10055"/>
    </row>
    <row r="10056" spans="6:6" x14ac:dyDescent="0.35">
      <c r="F10056"/>
    </row>
    <row r="10057" spans="6:6" x14ac:dyDescent="0.35">
      <c r="F10057"/>
    </row>
    <row r="10058" spans="6:6" x14ac:dyDescent="0.35">
      <c r="F10058"/>
    </row>
    <row r="10059" spans="6:6" x14ac:dyDescent="0.35">
      <c r="F10059"/>
    </row>
    <row r="10060" spans="6:6" x14ac:dyDescent="0.35">
      <c r="F10060"/>
    </row>
    <row r="10061" spans="6:6" x14ac:dyDescent="0.35">
      <c r="F10061"/>
    </row>
    <row r="10062" spans="6:6" x14ac:dyDescent="0.35">
      <c r="F10062"/>
    </row>
    <row r="10063" spans="6:6" x14ac:dyDescent="0.35">
      <c r="F10063"/>
    </row>
    <row r="10064" spans="6:6" x14ac:dyDescent="0.35">
      <c r="F10064"/>
    </row>
    <row r="10065" spans="6:6" x14ac:dyDescent="0.35">
      <c r="F10065"/>
    </row>
    <row r="10066" spans="6:6" x14ac:dyDescent="0.35">
      <c r="F10066"/>
    </row>
    <row r="10067" spans="6:6" x14ac:dyDescent="0.35">
      <c r="F10067"/>
    </row>
    <row r="10068" spans="6:6" x14ac:dyDescent="0.35">
      <c r="F10068"/>
    </row>
    <row r="10069" spans="6:6" x14ac:dyDescent="0.35">
      <c r="F10069"/>
    </row>
    <row r="10070" spans="6:6" x14ac:dyDescent="0.35">
      <c r="F10070"/>
    </row>
    <row r="10071" spans="6:6" x14ac:dyDescent="0.35">
      <c r="F10071"/>
    </row>
    <row r="10072" spans="6:6" x14ac:dyDescent="0.35">
      <c r="F10072"/>
    </row>
    <row r="10073" spans="6:6" x14ac:dyDescent="0.35">
      <c r="F10073"/>
    </row>
    <row r="10074" spans="6:6" x14ac:dyDescent="0.35">
      <c r="F10074"/>
    </row>
    <row r="10075" spans="6:6" x14ac:dyDescent="0.35">
      <c r="F10075"/>
    </row>
    <row r="10076" spans="6:6" x14ac:dyDescent="0.35">
      <c r="F10076"/>
    </row>
    <row r="10077" spans="6:6" x14ac:dyDescent="0.35">
      <c r="F10077"/>
    </row>
    <row r="10078" spans="6:6" x14ac:dyDescent="0.35">
      <c r="F10078"/>
    </row>
    <row r="10079" spans="6:6" x14ac:dyDescent="0.35">
      <c r="F10079"/>
    </row>
    <row r="10080" spans="6:6" x14ac:dyDescent="0.35">
      <c r="F10080"/>
    </row>
    <row r="10081" spans="6:6" x14ac:dyDescent="0.35">
      <c r="F10081"/>
    </row>
    <row r="10082" spans="6:6" x14ac:dyDescent="0.35">
      <c r="F10082"/>
    </row>
    <row r="10083" spans="6:6" x14ac:dyDescent="0.35">
      <c r="F10083"/>
    </row>
    <row r="10084" spans="6:6" x14ac:dyDescent="0.35">
      <c r="F10084"/>
    </row>
    <row r="10085" spans="6:6" x14ac:dyDescent="0.35">
      <c r="F10085"/>
    </row>
    <row r="10086" spans="6:6" x14ac:dyDescent="0.35">
      <c r="F10086"/>
    </row>
    <row r="10087" spans="6:6" x14ac:dyDescent="0.35">
      <c r="F10087"/>
    </row>
    <row r="10088" spans="6:6" x14ac:dyDescent="0.35">
      <c r="F10088"/>
    </row>
    <row r="10089" spans="6:6" x14ac:dyDescent="0.35">
      <c r="F10089"/>
    </row>
    <row r="10090" spans="6:6" x14ac:dyDescent="0.35">
      <c r="F10090"/>
    </row>
    <row r="10091" spans="6:6" x14ac:dyDescent="0.35">
      <c r="F10091"/>
    </row>
    <row r="10092" spans="6:6" x14ac:dyDescent="0.35">
      <c r="F10092"/>
    </row>
    <row r="10093" spans="6:6" x14ac:dyDescent="0.35">
      <c r="F10093"/>
    </row>
    <row r="10094" spans="6:6" x14ac:dyDescent="0.35">
      <c r="F10094"/>
    </row>
    <row r="10095" spans="6:6" x14ac:dyDescent="0.35">
      <c r="F10095"/>
    </row>
    <row r="10096" spans="6:6" x14ac:dyDescent="0.35">
      <c r="F10096"/>
    </row>
    <row r="10097" spans="6:6" x14ac:dyDescent="0.35">
      <c r="F10097"/>
    </row>
    <row r="10098" spans="6:6" x14ac:dyDescent="0.35">
      <c r="F10098"/>
    </row>
    <row r="10099" spans="6:6" x14ac:dyDescent="0.35">
      <c r="F10099"/>
    </row>
    <row r="10100" spans="6:6" x14ac:dyDescent="0.35">
      <c r="F10100"/>
    </row>
    <row r="10101" spans="6:6" x14ac:dyDescent="0.35">
      <c r="F10101"/>
    </row>
    <row r="10102" spans="6:6" x14ac:dyDescent="0.35">
      <c r="F10102"/>
    </row>
    <row r="10103" spans="6:6" x14ac:dyDescent="0.35">
      <c r="F10103"/>
    </row>
    <row r="10104" spans="6:6" x14ac:dyDescent="0.35">
      <c r="F10104"/>
    </row>
    <row r="10105" spans="6:6" x14ac:dyDescent="0.35">
      <c r="F10105"/>
    </row>
    <row r="10106" spans="6:6" x14ac:dyDescent="0.35">
      <c r="F10106"/>
    </row>
    <row r="10107" spans="6:6" x14ac:dyDescent="0.35">
      <c r="F10107"/>
    </row>
    <row r="10108" spans="6:6" x14ac:dyDescent="0.35">
      <c r="F10108"/>
    </row>
    <row r="10109" spans="6:6" x14ac:dyDescent="0.35">
      <c r="F10109"/>
    </row>
    <row r="10110" spans="6:6" x14ac:dyDescent="0.35">
      <c r="F10110"/>
    </row>
    <row r="10111" spans="6:6" x14ac:dyDescent="0.35">
      <c r="F10111"/>
    </row>
    <row r="10112" spans="6:6" x14ac:dyDescent="0.35">
      <c r="F10112"/>
    </row>
    <row r="10113" spans="6:6" x14ac:dyDescent="0.35">
      <c r="F10113"/>
    </row>
    <row r="10114" spans="6:6" x14ac:dyDescent="0.35">
      <c r="F10114"/>
    </row>
    <row r="10115" spans="6:6" x14ac:dyDescent="0.35">
      <c r="F10115"/>
    </row>
    <row r="10116" spans="6:6" x14ac:dyDescent="0.35">
      <c r="F10116"/>
    </row>
    <row r="10117" spans="6:6" x14ac:dyDescent="0.35">
      <c r="F10117"/>
    </row>
    <row r="10118" spans="6:6" x14ac:dyDescent="0.35">
      <c r="F10118"/>
    </row>
    <row r="10119" spans="6:6" x14ac:dyDescent="0.35">
      <c r="F10119"/>
    </row>
    <row r="10120" spans="6:6" x14ac:dyDescent="0.35">
      <c r="F10120"/>
    </row>
    <row r="10121" spans="6:6" x14ac:dyDescent="0.35">
      <c r="F10121"/>
    </row>
    <row r="10122" spans="6:6" x14ac:dyDescent="0.35">
      <c r="F10122"/>
    </row>
    <row r="10123" spans="6:6" x14ac:dyDescent="0.35">
      <c r="F10123"/>
    </row>
    <row r="10124" spans="6:6" x14ac:dyDescent="0.35">
      <c r="F10124"/>
    </row>
    <row r="10125" spans="6:6" x14ac:dyDescent="0.35">
      <c r="F10125"/>
    </row>
    <row r="10126" spans="6:6" x14ac:dyDescent="0.35">
      <c r="F10126"/>
    </row>
    <row r="10127" spans="6:6" x14ac:dyDescent="0.35">
      <c r="F10127"/>
    </row>
    <row r="10128" spans="6:6" x14ac:dyDescent="0.35">
      <c r="F10128"/>
    </row>
    <row r="10129" spans="6:6" x14ac:dyDescent="0.35">
      <c r="F10129"/>
    </row>
    <row r="10130" spans="6:6" x14ac:dyDescent="0.35">
      <c r="F10130"/>
    </row>
    <row r="10131" spans="6:6" x14ac:dyDescent="0.35">
      <c r="F10131"/>
    </row>
    <row r="10132" spans="6:6" x14ac:dyDescent="0.35">
      <c r="F10132"/>
    </row>
    <row r="10133" spans="6:6" x14ac:dyDescent="0.35">
      <c r="F10133"/>
    </row>
    <row r="10134" spans="6:6" x14ac:dyDescent="0.35">
      <c r="F10134"/>
    </row>
    <row r="10135" spans="6:6" x14ac:dyDescent="0.35">
      <c r="F10135"/>
    </row>
    <row r="10136" spans="6:6" x14ac:dyDescent="0.35">
      <c r="F10136"/>
    </row>
    <row r="10137" spans="6:6" x14ac:dyDescent="0.35">
      <c r="F10137"/>
    </row>
    <row r="10138" spans="6:6" x14ac:dyDescent="0.35">
      <c r="F10138"/>
    </row>
    <row r="10139" spans="6:6" x14ac:dyDescent="0.35">
      <c r="F10139"/>
    </row>
    <row r="10140" spans="6:6" x14ac:dyDescent="0.35">
      <c r="F10140"/>
    </row>
    <row r="10141" spans="6:6" x14ac:dyDescent="0.35">
      <c r="F10141"/>
    </row>
    <row r="10142" spans="6:6" x14ac:dyDescent="0.35">
      <c r="F10142"/>
    </row>
    <row r="10143" spans="6:6" x14ac:dyDescent="0.35">
      <c r="F10143"/>
    </row>
    <row r="10144" spans="6:6" x14ac:dyDescent="0.35">
      <c r="F10144"/>
    </row>
    <row r="10145" spans="6:6" x14ac:dyDescent="0.35">
      <c r="F10145"/>
    </row>
    <row r="10146" spans="6:6" x14ac:dyDescent="0.35">
      <c r="F10146"/>
    </row>
    <row r="10147" spans="6:6" x14ac:dyDescent="0.35">
      <c r="F10147"/>
    </row>
    <row r="10148" spans="6:6" x14ac:dyDescent="0.35">
      <c r="F10148"/>
    </row>
    <row r="10149" spans="6:6" x14ac:dyDescent="0.35">
      <c r="F10149"/>
    </row>
    <row r="10150" spans="6:6" x14ac:dyDescent="0.35">
      <c r="F10150"/>
    </row>
    <row r="10151" spans="6:6" x14ac:dyDescent="0.35">
      <c r="F10151"/>
    </row>
    <row r="10152" spans="6:6" x14ac:dyDescent="0.35">
      <c r="F10152"/>
    </row>
    <row r="10153" spans="6:6" x14ac:dyDescent="0.35">
      <c r="F10153"/>
    </row>
    <row r="10154" spans="6:6" x14ac:dyDescent="0.35">
      <c r="F10154"/>
    </row>
    <row r="10155" spans="6:6" x14ac:dyDescent="0.35">
      <c r="F10155"/>
    </row>
    <row r="10156" spans="6:6" x14ac:dyDescent="0.35">
      <c r="F10156"/>
    </row>
    <row r="10157" spans="6:6" x14ac:dyDescent="0.35">
      <c r="F10157"/>
    </row>
    <row r="10158" spans="6:6" x14ac:dyDescent="0.35">
      <c r="F10158"/>
    </row>
    <row r="10159" spans="6:6" x14ac:dyDescent="0.35">
      <c r="F10159"/>
    </row>
    <row r="10160" spans="6:6" x14ac:dyDescent="0.35">
      <c r="F10160"/>
    </row>
    <row r="10161" spans="6:6" x14ac:dyDescent="0.35">
      <c r="F10161"/>
    </row>
    <row r="10162" spans="6:6" x14ac:dyDescent="0.35">
      <c r="F10162"/>
    </row>
    <row r="10163" spans="6:6" x14ac:dyDescent="0.35">
      <c r="F10163"/>
    </row>
    <row r="10164" spans="6:6" x14ac:dyDescent="0.35">
      <c r="F10164"/>
    </row>
    <row r="10165" spans="6:6" x14ac:dyDescent="0.35">
      <c r="F10165"/>
    </row>
    <row r="10166" spans="6:6" x14ac:dyDescent="0.35">
      <c r="F10166"/>
    </row>
    <row r="10167" spans="6:6" x14ac:dyDescent="0.35">
      <c r="F10167"/>
    </row>
    <row r="10168" spans="6:6" x14ac:dyDescent="0.35">
      <c r="F10168"/>
    </row>
    <row r="10169" spans="6:6" x14ac:dyDescent="0.35">
      <c r="F10169"/>
    </row>
    <row r="10170" spans="6:6" x14ac:dyDescent="0.35">
      <c r="F10170"/>
    </row>
    <row r="10171" spans="6:6" x14ac:dyDescent="0.35">
      <c r="F10171"/>
    </row>
    <row r="10172" spans="6:6" x14ac:dyDescent="0.35">
      <c r="F10172"/>
    </row>
    <row r="10173" spans="6:6" x14ac:dyDescent="0.35">
      <c r="F10173"/>
    </row>
    <row r="10174" spans="6:6" x14ac:dyDescent="0.35">
      <c r="F10174"/>
    </row>
    <row r="10175" spans="6:6" x14ac:dyDescent="0.35">
      <c r="F10175"/>
    </row>
    <row r="10176" spans="6:6" x14ac:dyDescent="0.35">
      <c r="F10176"/>
    </row>
    <row r="10177" spans="6:6" x14ac:dyDescent="0.35">
      <c r="F10177"/>
    </row>
    <row r="10178" spans="6:6" x14ac:dyDescent="0.35">
      <c r="F10178"/>
    </row>
    <row r="10179" spans="6:6" x14ac:dyDescent="0.35">
      <c r="F10179"/>
    </row>
    <row r="10180" spans="6:6" x14ac:dyDescent="0.35">
      <c r="F10180"/>
    </row>
    <row r="10181" spans="6:6" x14ac:dyDescent="0.35">
      <c r="F10181"/>
    </row>
    <row r="10182" spans="6:6" x14ac:dyDescent="0.35">
      <c r="F10182"/>
    </row>
    <row r="10183" spans="6:6" x14ac:dyDescent="0.35">
      <c r="F10183"/>
    </row>
    <row r="10184" spans="6:6" x14ac:dyDescent="0.35">
      <c r="F10184"/>
    </row>
    <row r="10185" spans="6:6" x14ac:dyDescent="0.35">
      <c r="F10185"/>
    </row>
    <row r="10186" spans="6:6" x14ac:dyDescent="0.35">
      <c r="F10186"/>
    </row>
    <row r="10187" spans="6:6" x14ac:dyDescent="0.35">
      <c r="F10187"/>
    </row>
    <row r="10188" spans="6:6" x14ac:dyDescent="0.35">
      <c r="F10188"/>
    </row>
    <row r="10189" spans="6:6" x14ac:dyDescent="0.35">
      <c r="F10189"/>
    </row>
    <row r="10190" spans="6:6" x14ac:dyDescent="0.35">
      <c r="F10190"/>
    </row>
    <row r="10191" spans="6:6" x14ac:dyDescent="0.35">
      <c r="F10191"/>
    </row>
    <row r="10192" spans="6:6" x14ac:dyDescent="0.35">
      <c r="F10192"/>
    </row>
    <row r="10193" spans="6:6" x14ac:dyDescent="0.35">
      <c r="F10193"/>
    </row>
    <row r="10194" spans="6:6" x14ac:dyDescent="0.35">
      <c r="F10194"/>
    </row>
    <row r="10195" spans="6:6" x14ac:dyDescent="0.35">
      <c r="F10195"/>
    </row>
    <row r="10196" spans="6:6" x14ac:dyDescent="0.35">
      <c r="F10196"/>
    </row>
    <row r="10197" spans="6:6" x14ac:dyDescent="0.35">
      <c r="F10197"/>
    </row>
    <row r="10198" spans="6:6" x14ac:dyDescent="0.35">
      <c r="F10198"/>
    </row>
    <row r="10199" spans="6:6" x14ac:dyDescent="0.35">
      <c r="F10199"/>
    </row>
    <row r="10200" spans="6:6" x14ac:dyDescent="0.35">
      <c r="F10200"/>
    </row>
    <row r="10201" spans="6:6" x14ac:dyDescent="0.35">
      <c r="F10201"/>
    </row>
    <row r="10202" spans="6:6" x14ac:dyDescent="0.35">
      <c r="F10202"/>
    </row>
    <row r="10203" spans="6:6" x14ac:dyDescent="0.35">
      <c r="F10203"/>
    </row>
    <row r="10204" spans="6:6" x14ac:dyDescent="0.35">
      <c r="F10204"/>
    </row>
    <row r="10205" spans="6:6" x14ac:dyDescent="0.35">
      <c r="F10205"/>
    </row>
    <row r="10206" spans="6:6" x14ac:dyDescent="0.35">
      <c r="F10206"/>
    </row>
    <row r="10207" spans="6:6" x14ac:dyDescent="0.35">
      <c r="F10207"/>
    </row>
    <row r="10208" spans="6:6" x14ac:dyDescent="0.35">
      <c r="F10208"/>
    </row>
    <row r="10209" spans="6:6" x14ac:dyDescent="0.35">
      <c r="F10209"/>
    </row>
    <row r="10210" spans="6:6" x14ac:dyDescent="0.35">
      <c r="F10210"/>
    </row>
    <row r="10211" spans="6:6" x14ac:dyDescent="0.35">
      <c r="F10211"/>
    </row>
    <row r="10212" spans="6:6" x14ac:dyDescent="0.35">
      <c r="F10212"/>
    </row>
    <row r="10213" spans="6:6" x14ac:dyDescent="0.35">
      <c r="F10213"/>
    </row>
    <row r="10214" spans="6:6" x14ac:dyDescent="0.35">
      <c r="F10214"/>
    </row>
    <row r="10215" spans="6:6" x14ac:dyDescent="0.35">
      <c r="F10215"/>
    </row>
    <row r="10216" spans="6:6" x14ac:dyDescent="0.35">
      <c r="F10216"/>
    </row>
    <row r="10217" spans="6:6" x14ac:dyDescent="0.35">
      <c r="F10217"/>
    </row>
    <row r="10218" spans="6:6" x14ac:dyDescent="0.35">
      <c r="F10218"/>
    </row>
    <row r="10219" spans="6:6" x14ac:dyDescent="0.35">
      <c r="F10219"/>
    </row>
    <row r="10220" spans="6:6" x14ac:dyDescent="0.35">
      <c r="F10220"/>
    </row>
    <row r="10221" spans="6:6" x14ac:dyDescent="0.35">
      <c r="F10221"/>
    </row>
    <row r="10222" spans="6:6" x14ac:dyDescent="0.35">
      <c r="F10222"/>
    </row>
    <row r="10223" spans="6:6" x14ac:dyDescent="0.35">
      <c r="F10223"/>
    </row>
    <row r="10224" spans="6:6" x14ac:dyDescent="0.35">
      <c r="F10224"/>
    </row>
    <row r="10225" spans="6:6" x14ac:dyDescent="0.35">
      <c r="F10225"/>
    </row>
    <row r="10226" spans="6:6" x14ac:dyDescent="0.35">
      <c r="F10226"/>
    </row>
    <row r="10227" spans="6:6" x14ac:dyDescent="0.35">
      <c r="F10227"/>
    </row>
    <row r="10228" spans="6:6" x14ac:dyDescent="0.35">
      <c r="F10228"/>
    </row>
    <row r="10229" spans="6:6" x14ac:dyDescent="0.35">
      <c r="F10229"/>
    </row>
    <row r="10230" spans="6:6" x14ac:dyDescent="0.35">
      <c r="F10230"/>
    </row>
    <row r="10231" spans="6:6" x14ac:dyDescent="0.35">
      <c r="F10231"/>
    </row>
    <row r="10232" spans="6:6" x14ac:dyDescent="0.35">
      <c r="F10232"/>
    </row>
    <row r="10233" spans="6:6" x14ac:dyDescent="0.35">
      <c r="F10233"/>
    </row>
    <row r="10234" spans="6:6" x14ac:dyDescent="0.35">
      <c r="F10234"/>
    </row>
    <row r="10235" spans="6:6" x14ac:dyDescent="0.35">
      <c r="F10235"/>
    </row>
    <row r="10236" spans="6:6" x14ac:dyDescent="0.35">
      <c r="F10236"/>
    </row>
    <row r="10237" spans="6:6" x14ac:dyDescent="0.35">
      <c r="F10237"/>
    </row>
    <row r="10238" spans="6:6" x14ac:dyDescent="0.35">
      <c r="F10238"/>
    </row>
    <row r="10239" spans="6:6" x14ac:dyDescent="0.35">
      <c r="F10239"/>
    </row>
    <row r="10240" spans="6:6" x14ac:dyDescent="0.35">
      <c r="F10240"/>
    </row>
    <row r="10241" spans="6:6" x14ac:dyDescent="0.35">
      <c r="F10241"/>
    </row>
    <row r="10242" spans="6:6" x14ac:dyDescent="0.35">
      <c r="F10242"/>
    </row>
    <row r="10243" spans="6:6" x14ac:dyDescent="0.35">
      <c r="F10243"/>
    </row>
    <row r="10244" spans="6:6" x14ac:dyDescent="0.35">
      <c r="F10244"/>
    </row>
    <row r="10245" spans="6:6" x14ac:dyDescent="0.35">
      <c r="F10245"/>
    </row>
    <row r="10246" spans="6:6" x14ac:dyDescent="0.35">
      <c r="F10246"/>
    </row>
    <row r="10247" spans="6:6" x14ac:dyDescent="0.35">
      <c r="F10247"/>
    </row>
    <row r="10248" spans="6:6" x14ac:dyDescent="0.35">
      <c r="F10248"/>
    </row>
    <row r="10249" spans="6:6" x14ac:dyDescent="0.35">
      <c r="F10249"/>
    </row>
    <row r="10250" spans="6:6" x14ac:dyDescent="0.35">
      <c r="F10250"/>
    </row>
    <row r="10251" spans="6:6" x14ac:dyDescent="0.35">
      <c r="F10251"/>
    </row>
    <row r="10252" spans="6:6" x14ac:dyDescent="0.35">
      <c r="F10252"/>
    </row>
    <row r="10253" spans="6:6" x14ac:dyDescent="0.35">
      <c r="F10253"/>
    </row>
    <row r="10254" spans="6:6" x14ac:dyDescent="0.35">
      <c r="F10254"/>
    </row>
    <row r="10255" spans="6:6" x14ac:dyDescent="0.35">
      <c r="F10255"/>
    </row>
    <row r="10256" spans="6:6" x14ac:dyDescent="0.35">
      <c r="F10256"/>
    </row>
    <row r="10257" spans="6:6" x14ac:dyDescent="0.35">
      <c r="F10257"/>
    </row>
    <row r="10258" spans="6:6" x14ac:dyDescent="0.35">
      <c r="F10258"/>
    </row>
    <row r="10259" spans="6:6" x14ac:dyDescent="0.35">
      <c r="F10259"/>
    </row>
    <row r="10260" spans="6:6" x14ac:dyDescent="0.35">
      <c r="F10260"/>
    </row>
    <row r="10261" spans="6:6" x14ac:dyDescent="0.35">
      <c r="F10261"/>
    </row>
    <row r="10262" spans="6:6" x14ac:dyDescent="0.35">
      <c r="F10262"/>
    </row>
    <row r="10263" spans="6:6" x14ac:dyDescent="0.35">
      <c r="F10263"/>
    </row>
    <row r="10264" spans="6:6" x14ac:dyDescent="0.35">
      <c r="F10264"/>
    </row>
    <row r="10265" spans="6:6" x14ac:dyDescent="0.35">
      <c r="F10265"/>
    </row>
    <row r="10266" spans="6:6" x14ac:dyDescent="0.35">
      <c r="F10266"/>
    </row>
    <row r="10267" spans="6:6" x14ac:dyDescent="0.35">
      <c r="F10267"/>
    </row>
    <row r="10268" spans="6:6" x14ac:dyDescent="0.35">
      <c r="F10268"/>
    </row>
    <row r="10269" spans="6:6" x14ac:dyDescent="0.35">
      <c r="F10269"/>
    </row>
    <row r="10270" spans="6:6" x14ac:dyDescent="0.35">
      <c r="F10270"/>
    </row>
    <row r="10271" spans="6:6" x14ac:dyDescent="0.35">
      <c r="F10271"/>
    </row>
    <row r="10272" spans="6:6" x14ac:dyDescent="0.35">
      <c r="F10272"/>
    </row>
    <row r="10273" spans="6:6" x14ac:dyDescent="0.35">
      <c r="F10273"/>
    </row>
    <row r="10274" spans="6:6" x14ac:dyDescent="0.35">
      <c r="F10274"/>
    </row>
    <row r="10275" spans="6:6" x14ac:dyDescent="0.35">
      <c r="F10275"/>
    </row>
    <row r="10276" spans="6:6" x14ac:dyDescent="0.35">
      <c r="F10276"/>
    </row>
    <row r="10277" spans="6:6" x14ac:dyDescent="0.35">
      <c r="F10277"/>
    </row>
    <row r="10278" spans="6:6" x14ac:dyDescent="0.35">
      <c r="F10278"/>
    </row>
    <row r="10279" spans="6:6" x14ac:dyDescent="0.35">
      <c r="F10279"/>
    </row>
    <row r="10280" spans="6:6" x14ac:dyDescent="0.35">
      <c r="F10280"/>
    </row>
    <row r="10281" spans="6:6" x14ac:dyDescent="0.35">
      <c r="F10281"/>
    </row>
    <row r="10282" spans="6:6" x14ac:dyDescent="0.35">
      <c r="F10282"/>
    </row>
    <row r="10283" spans="6:6" x14ac:dyDescent="0.35">
      <c r="F10283"/>
    </row>
    <row r="10284" spans="6:6" x14ac:dyDescent="0.35">
      <c r="F10284"/>
    </row>
    <row r="10285" spans="6:6" x14ac:dyDescent="0.35">
      <c r="F10285"/>
    </row>
    <row r="10286" spans="6:6" x14ac:dyDescent="0.35">
      <c r="F10286"/>
    </row>
    <row r="10287" spans="6:6" x14ac:dyDescent="0.35">
      <c r="F10287"/>
    </row>
    <row r="10288" spans="6:6" x14ac:dyDescent="0.35">
      <c r="F10288"/>
    </row>
    <row r="10289" spans="6:6" x14ac:dyDescent="0.35">
      <c r="F10289"/>
    </row>
    <row r="10290" spans="6:6" x14ac:dyDescent="0.35">
      <c r="F10290"/>
    </row>
    <row r="10291" spans="6:6" x14ac:dyDescent="0.35">
      <c r="F10291"/>
    </row>
    <row r="10292" spans="6:6" x14ac:dyDescent="0.35">
      <c r="F10292"/>
    </row>
    <row r="10293" spans="6:6" x14ac:dyDescent="0.35">
      <c r="F10293"/>
    </row>
    <row r="10294" spans="6:6" x14ac:dyDescent="0.35">
      <c r="F10294"/>
    </row>
    <row r="10295" spans="6:6" x14ac:dyDescent="0.35">
      <c r="F10295"/>
    </row>
    <row r="10296" spans="6:6" x14ac:dyDescent="0.35">
      <c r="F10296"/>
    </row>
    <row r="10297" spans="6:6" x14ac:dyDescent="0.35">
      <c r="F10297"/>
    </row>
    <row r="10298" spans="6:6" x14ac:dyDescent="0.35">
      <c r="F10298"/>
    </row>
    <row r="10299" spans="6:6" x14ac:dyDescent="0.35">
      <c r="F10299"/>
    </row>
    <row r="10300" spans="6:6" x14ac:dyDescent="0.35">
      <c r="F10300"/>
    </row>
    <row r="10301" spans="6:6" x14ac:dyDescent="0.35">
      <c r="F10301"/>
    </row>
    <row r="10302" spans="6:6" x14ac:dyDescent="0.35">
      <c r="F10302"/>
    </row>
    <row r="10303" spans="6:6" x14ac:dyDescent="0.35">
      <c r="F10303"/>
    </row>
    <row r="10304" spans="6:6" x14ac:dyDescent="0.35">
      <c r="F10304"/>
    </row>
    <row r="10305" spans="6:6" x14ac:dyDescent="0.35">
      <c r="F10305"/>
    </row>
    <row r="10306" spans="6:6" x14ac:dyDescent="0.35">
      <c r="F10306"/>
    </row>
    <row r="10307" spans="6:6" x14ac:dyDescent="0.35">
      <c r="F10307"/>
    </row>
    <row r="10308" spans="6:6" x14ac:dyDescent="0.35">
      <c r="F10308"/>
    </row>
    <row r="10309" spans="6:6" x14ac:dyDescent="0.35">
      <c r="F10309"/>
    </row>
    <row r="10310" spans="6:6" x14ac:dyDescent="0.35">
      <c r="F10310"/>
    </row>
    <row r="10311" spans="6:6" x14ac:dyDescent="0.35">
      <c r="F10311"/>
    </row>
    <row r="10312" spans="6:6" x14ac:dyDescent="0.35">
      <c r="F10312"/>
    </row>
    <row r="10313" spans="6:6" x14ac:dyDescent="0.35">
      <c r="F10313"/>
    </row>
    <row r="10314" spans="6:6" x14ac:dyDescent="0.35">
      <c r="F10314"/>
    </row>
    <row r="10315" spans="6:6" x14ac:dyDescent="0.35">
      <c r="F10315"/>
    </row>
    <row r="10316" spans="6:6" x14ac:dyDescent="0.35">
      <c r="F10316"/>
    </row>
    <row r="10317" spans="6:6" x14ac:dyDescent="0.35">
      <c r="F10317"/>
    </row>
    <row r="10318" spans="6:6" x14ac:dyDescent="0.35">
      <c r="F10318"/>
    </row>
    <row r="10319" spans="6:6" x14ac:dyDescent="0.35">
      <c r="F10319"/>
    </row>
    <row r="10320" spans="6:6" x14ac:dyDescent="0.35">
      <c r="F10320"/>
    </row>
    <row r="10321" spans="6:6" x14ac:dyDescent="0.35">
      <c r="F10321"/>
    </row>
    <row r="10322" spans="6:6" x14ac:dyDescent="0.35">
      <c r="F10322"/>
    </row>
    <row r="10323" spans="6:6" x14ac:dyDescent="0.35">
      <c r="F10323"/>
    </row>
    <row r="10324" spans="6:6" x14ac:dyDescent="0.35">
      <c r="F10324"/>
    </row>
    <row r="10325" spans="6:6" x14ac:dyDescent="0.35">
      <c r="F10325"/>
    </row>
    <row r="10326" spans="6:6" x14ac:dyDescent="0.35">
      <c r="F10326"/>
    </row>
    <row r="10327" spans="6:6" x14ac:dyDescent="0.35">
      <c r="F10327"/>
    </row>
    <row r="10328" spans="6:6" x14ac:dyDescent="0.35">
      <c r="F10328"/>
    </row>
    <row r="10329" spans="6:6" x14ac:dyDescent="0.35">
      <c r="F10329"/>
    </row>
    <row r="10330" spans="6:6" x14ac:dyDescent="0.35">
      <c r="F10330"/>
    </row>
    <row r="10331" spans="6:6" x14ac:dyDescent="0.35">
      <c r="F10331"/>
    </row>
    <row r="10332" spans="6:6" x14ac:dyDescent="0.35">
      <c r="F10332"/>
    </row>
    <row r="10333" spans="6:6" x14ac:dyDescent="0.35">
      <c r="F10333"/>
    </row>
    <row r="10334" spans="6:6" x14ac:dyDescent="0.35">
      <c r="F10334"/>
    </row>
    <row r="10335" spans="6:6" x14ac:dyDescent="0.35">
      <c r="F10335"/>
    </row>
    <row r="10336" spans="6:6" x14ac:dyDescent="0.35">
      <c r="F10336"/>
    </row>
    <row r="10337" spans="6:6" x14ac:dyDescent="0.35">
      <c r="F10337"/>
    </row>
    <row r="10338" spans="6:6" x14ac:dyDescent="0.35">
      <c r="F10338"/>
    </row>
    <row r="10339" spans="6:6" x14ac:dyDescent="0.35">
      <c r="F10339"/>
    </row>
    <row r="10340" spans="6:6" x14ac:dyDescent="0.35">
      <c r="F10340"/>
    </row>
    <row r="10341" spans="6:6" x14ac:dyDescent="0.35">
      <c r="F10341"/>
    </row>
    <row r="10342" spans="6:6" x14ac:dyDescent="0.35">
      <c r="F10342"/>
    </row>
    <row r="10343" spans="6:6" x14ac:dyDescent="0.35">
      <c r="F10343"/>
    </row>
    <row r="10344" spans="6:6" x14ac:dyDescent="0.35">
      <c r="F10344"/>
    </row>
    <row r="10345" spans="6:6" x14ac:dyDescent="0.35">
      <c r="F10345"/>
    </row>
    <row r="10346" spans="6:6" x14ac:dyDescent="0.35">
      <c r="F10346"/>
    </row>
    <row r="10347" spans="6:6" x14ac:dyDescent="0.35">
      <c r="F10347"/>
    </row>
    <row r="10348" spans="6:6" x14ac:dyDescent="0.35">
      <c r="F10348"/>
    </row>
    <row r="10349" spans="6:6" x14ac:dyDescent="0.35">
      <c r="F10349"/>
    </row>
    <row r="10350" spans="6:6" x14ac:dyDescent="0.35">
      <c r="F10350"/>
    </row>
    <row r="10351" spans="6:6" x14ac:dyDescent="0.35">
      <c r="F10351"/>
    </row>
    <row r="10352" spans="6:6" x14ac:dyDescent="0.35">
      <c r="F10352"/>
    </row>
    <row r="10353" spans="6:6" x14ac:dyDescent="0.35">
      <c r="F10353"/>
    </row>
    <row r="10354" spans="6:6" x14ac:dyDescent="0.35">
      <c r="F10354"/>
    </row>
    <row r="10355" spans="6:6" x14ac:dyDescent="0.35">
      <c r="F10355"/>
    </row>
    <row r="10356" spans="6:6" x14ac:dyDescent="0.35">
      <c r="F10356"/>
    </row>
    <row r="10357" spans="6:6" x14ac:dyDescent="0.35">
      <c r="F10357"/>
    </row>
    <row r="10358" spans="6:6" x14ac:dyDescent="0.35">
      <c r="F10358"/>
    </row>
    <row r="10359" spans="6:6" x14ac:dyDescent="0.35">
      <c r="F10359"/>
    </row>
    <row r="10360" spans="6:6" x14ac:dyDescent="0.35">
      <c r="F10360"/>
    </row>
    <row r="10361" spans="6:6" x14ac:dyDescent="0.35">
      <c r="F10361"/>
    </row>
    <row r="10362" spans="6:6" x14ac:dyDescent="0.35">
      <c r="F10362"/>
    </row>
    <row r="10363" spans="6:6" x14ac:dyDescent="0.35">
      <c r="F10363"/>
    </row>
    <row r="10364" spans="6:6" x14ac:dyDescent="0.35">
      <c r="F10364"/>
    </row>
    <row r="10365" spans="6:6" x14ac:dyDescent="0.35">
      <c r="F10365"/>
    </row>
    <row r="10366" spans="6:6" x14ac:dyDescent="0.35">
      <c r="F10366"/>
    </row>
    <row r="10367" spans="6:6" x14ac:dyDescent="0.35">
      <c r="F10367"/>
    </row>
    <row r="10368" spans="6:6" x14ac:dyDescent="0.35">
      <c r="F10368"/>
    </row>
    <row r="10369" spans="6:6" x14ac:dyDescent="0.35">
      <c r="F10369"/>
    </row>
    <row r="10370" spans="6:6" x14ac:dyDescent="0.35">
      <c r="F10370"/>
    </row>
    <row r="10371" spans="6:6" x14ac:dyDescent="0.35">
      <c r="F10371"/>
    </row>
    <row r="10372" spans="6:6" x14ac:dyDescent="0.35">
      <c r="F10372"/>
    </row>
    <row r="10373" spans="6:6" x14ac:dyDescent="0.35">
      <c r="F10373"/>
    </row>
    <row r="10374" spans="6:6" x14ac:dyDescent="0.35">
      <c r="F10374"/>
    </row>
    <row r="10375" spans="6:6" x14ac:dyDescent="0.35">
      <c r="F10375"/>
    </row>
    <row r="10376" spans="6:6" x14ac:dyDescent="0.35">
      <c r="F10376"/>
    </row>
    <row r="10377" spans="6:6" x14ac:dyDescent="0.35">
      <c r="F10377"/>
    </row>
    <row r="10378" spans="6:6" x14ac:dyDescent="0.35">
      <c r="F10378"/>
    </row>
    <row r="10379" spans="6:6" x14ac:dyDescent="0.35">
      <c r="F10379"/>
    </row>
    <row r="10380" spans="6:6" x14ac:dyDescent="0.35">
      <c r="F10380"/>
    </row>
    <row r="10381" spans="6:6" x14ac:dyDescent="0.35">
      <c r="F10381"/>
    </row>
    <row r="10382" spans="6:6" x14ac:dyDescent="0.35">
      <c r="F10382"/>
    </row>
    <row r="10383" spans="6:6" x14ac:dyDescent="0.35">
      <c r="F10383"/>
    </row>
    <row r="10384" spans="6:6" x14ac:dyDescent="0.35">
      <c r="F10384"/>
    </row>
    <row r="10385" spans="6:6" x14ac:dyDescent="0.35">
      <c r="F10385"/>
    </row>
    <row r="10386" spans="6:6" x14ac:dyDescent="0.35">
      <c r="F10386"/>
    </row>
    <row r="10387" spans="6:6" x14ac:dyDescent="0.35">
      <c r="F10387"/>
    </row>
    <row r="10388" spans="6:6" x14ac:dyDescent="0.35">
      <c r="F10388"/>
    </row>
    <row r="10389" spans="6:6" x14ac:dyDescent="0.35">
      <c r="F10389"/>
    </row>
    <row r="10390" spans="6:6" x14ac:dyDescent="0.35">
      <c r="F10390"/>
    </row>
    <row r="10391" spans="6:6" x14ac:dyDescent="0.35">
      <c r="F10391"/>
    </row>
    <row r="10392" spans="6:6" x14ac:dyDescent="0.35">
      <c r="F10392"/>
    </row>
    <row r="10393" spans="6:6" x14ac:dyDescent="0.35">
      <c r="F10393"/>
    </row>
    <row r="10394" spans="6:6" x14ac:dyDescent="0.35">
      <c r="F10394"/>
    </row>
    <row r="10395" spans="6:6" x14ac:dyDescent="0.35">
      <c r="F10395"/>
    </row>
    <row r="10396" spans="6:6" x14ac:dyDescent="0.35">
      <c r="F10396"/>
    </row>
    <row r="10397" spans="6:6" x14ac:dyDescent="0.35">
      <c r="F10397"/>
    </row>
    <row r="10398" spans="6:6" x14ac:dyDescent="0.35">
      <c r="F10398"/>
    </row>
    <row r="10399" spans="6:6" x14ac:dyDescent="0.35">
      <c r="F10399"/>
    </row>
    <row r="10400" spans="6:6" x14ac:dyDescent="0.35">
      <c r="F10400"/>
    </row>
    <row r="10401" spans="6:6" x14ac:dyDescent="0.35">
      <c r="F10401"/>
    </row>
    <row r="10402" spans="6:6" x14ac:dyDescent="0.35">
      <c r="F10402"/>
    </row>
    <row r="10403" spans="6:6" x14ac:dyDescent="0.35">
      <c r="F10403"/>
    </row>
    <row r="10404" spans="6:6" x14ac:dyDescent="0.35">
      <c r="F10404"/>
    </row>
    <row r="10405" spans="6:6" x14ac:dyDescent="0.35">
      <c r="F10405"/>
    </row>
    <row r="10406" spans="6:6" x14ac:dyDescent="0.35">
      <c r="F10406"/>
    </row>
    <row r="10407" spans="6:6" x14ac:dyDescent="0.35">
      <c r="F10407"/>
    </row>
    <row r="10408" spans="6:6" x14ac:dyDescent="0.35">
      <c r="F10408"/>
    </row>
    <row r="10409" spans="6:6" x14ac:dyDescent="0.35">
      <c r="F10409"/>
    </row>
    <row r="10410" spans="6:6" x14ac:dyDescent="0.35">
      <c r="F10410"/>
    </row>
    <row r="10411" spans="6:6" x14ac:dyDescent="0.35">
      <c r="F10411"/>
    </row>
    <row r="10412" spans="6:6" x14ac:dyDescent="0.35">
      <c r="F10412"/>
    </row>
    <row r="10413" spans="6:6" x14ac:dyDescent="0.35">
      <c r="F10413"/>
    </row>
    <row r="10414" spans="6:6" x14ac:dyDescent="0.35">
      <c r="F10414"/>
    </row>
    <row r="10415" spans="6:6" x14ac:dyDescent="0.35">
      <c r="F10415"/>
    </row>
    <row r="10416" spans="6:6" x14ac:dyDescent="0.35">
      <c r="F10416"/>
    </row>
    <row r="10417" spans="6:6" x14ac:dyDescent="0.35">
      <c r="F10417"/>
    </row>
    <row r="10418" spans="6:6" x14ac:dyDescent="0.35">
      <c r="F10418"/>
    </row>
    <row r="10419" spans="6:6" x14ac:dyDescent="0.35">
      <c r="F10419"/>
    </row>
    <row r="10420" spans="6:6" x14ac:dyDescent="0.35">
      <c r="F10420"/>
    </row>
    <row r="10421" spans="6:6" x14ac:dyDescent="0.35">
      <c r="F10421"/>
    </row>
    <row r="10422" spans="6:6" x14ac:dyDescent="0.35">
      <c r="F10422"/>
    </row>
    <row r="10423" spans="6:6" x14ac:dyDescent="0.35">
      <c r="F10423"/>
    </row>
    <row r="10424" spans="6:6" x14ac:dyDescent="0.35">
      <c r="F10424"/>
    </row>
    <row r="10425" spans="6:6" x14ac:dyDescent="0.35">
      <c r="F10425"/>
    </row>
    <row r="10426" spans="6:6" x14ac:dyDescent="0.35">
      <c r="F10426"/>
    </row>
    <row r="10427" spans="6:6" x14ac:dyDescent="0.35">
      <c r="F10427"/>
    </row>
    <row r="10428" spans="6:6" x14ac:dyDescent="0.35">
      <c r="F10428"/>
    </row>
    <row r="10429" spans="6:6" x14ac:dyDescent="0.35">
      <c r="F10429"/>
    </row>
    <row r="10430" spans="6:6" x14ac:dyDescent="0.35">
      <c r="F10430"/>
    </row>
    <row r="10431" spans="6:6" x14ac:dyDescent="0.35">
      <c r="F10431"/>
    </row>
    <row r="10432" spans="6:6" x14ac:dyDescent="0.35">
      <c r="F10432"/>
    </row>
    <row r="10433" spans="6:6" x14ac:dyDescent="0.35">
      <c r="F10433"/>
    </row>
    <row r="10434" spans="6:6" x14ac:dyDescent="0.35">
      <c r="F10434"/>
    </row>
    <row r="10435" spans="6:6" x14ac:dyDescent="0.35">
      <c r="F10435"/>
    </row>
    <row r="10436" spans="6:6" x14ac:dyDescent="0.35">
      <c r="F10436"/>
    </row>
    <row r="10437" spans="6:6" x14ac:dyDescent="0.35">
      <c r="F10437"/>
    </row>
    <row r="10438" spans="6:6" x14ac:dyDescent="0.35">
      <c r="F10438"/>
    </row>
    <row r="10439" spans="6:6" x14ac:dyDescent="0.35">
      <c r="F10439"/>
    </row>
    <row r="10440" spans="6:6" x14ac:dyDescent="0.35">
      <c r="F10440"/>
    </row>
    <row r="10441" spans="6:6" x14ac:dyDescent="0.35">
      <c r="F10441"/>
    </row>
    <row r="10442" spans="6:6" x14ac:dyDescent="0.35">
      <c r="F10442"/>
    </row>
    <row r="10443" spans="6:6" x14ac:dyDescent="0.35">
      <c r="F10443"/>
    </row>
    <row r="10444" spans="6:6" x14ac:dyDescent="0.35">
      <c r="F10444"/>
    </row>
    <row r="10445" spans="6:6" x14ac:dyDescent="0.35">
      <c r="F10445"/>
    </row>
    <row r="10446" spans="6:6" x14ac:dyDescent="0.35">
      <c r="F10446"/>
    </row>
    <row r="10447" spans="6:6" x14ac:dyDescent="0.35">
      <c r="F10447"/>
    </row>
    <row r="10448" spans="6:6" x14ac:dyDescent="0.35">
      <c r="F10448"/>
    </row>
    <row r="10449" spans="6:6" x14ac:dyDescent="0.35">
      <c r="F10449"/>
    </row>
    <row r="10450" spans="6:6" x14ac:dyDescent="0.35">
      <c r="F10450"/>
    </row>
    <row r="10451" spans="6:6" x14ac:dyDescent="0.35">
      <c r="F10451"/>
    </row>
    <row r="10452" spans="6:6" x14ac:dyDescent="0.35">
      <c r="F10452"/>
    </row>
    <row r="10453" spans="6:6" x14ac:dyDescent="0.35">
      <c r="F10453"/>
    </row>
    <row r="10454" spans="6:6" x14ac:dyDescent="0.35">
      <c r="F10454"/>
    </row>
    <row r="10455" spans="6:6" x14ac:dyDescent="0.35">
      <c r="F10455"/>
    </row>
    <row r="10456" spans="6:6" x14ac:dyDescent="0.35">
      <c r="F10456"/>
    </row>
    <row r="10457" spans="6:6" x14ac:dyDescent="0.35">
      <c r="F10457"/>
    </row>
    <row r="10458" spans="6:6" x14ac:dyDescent="0.35">
      <c r="F10458"/>
    </row>
    <row r="10459" spans="6:6" x14ac:dyDescent="0.35">
      <c r="F10459"/>
    </row>
    <row r="10460" spans="6:6" x14ac:dyDescent="0.35">
      <c r="F10460"/>
    </row>
    <row r="10461" spans="6:6" x14ac:dyDescent="0.35">
      <c r="F10461"/>
    </row>
    <row r="10462" spans="6:6" x14ac:dyDescent="0.35">
      <c r="F10462"/>
    </row>
    <row r="10463" spans="6:6" x14ac:dyDescent="0.35">
      <c r="F10463"/>
    </row>
    <row r="10464" spans="6:6" x14ac:dyDescent="0.35">
      <c r="F10464"/>
    </row>
    <row r="10465" spans="6:6" x14ac:dyDescent="0.35">
      <c r="F10465"/>
    </row>
    <row r="10466" spans="6:6" x14ac:dyDescent="0.35">
      <c r="F10466"/>
    </row>
    <row r="10467" spans="6:6" x14ac:dyDescent="0.35">
      <c r="F10467"/>
    </row>
    <row r="10468" spans="6:6" x14ac:dyDescent="0.35">
      <c r="F10468"/>
    </row>
    <row r="10469" spans="6:6" x14ac:dyDescent="0.35">
      <c r="F10469"/>
    </row>
    <row r="10470" spans="6:6" x14ac:dyDescent="0.35">
      <c r="F10470"/>
    </row>
    <row r="10471" spans="6:6" x14ac:dyDescent="0.35">
      <c r="F10471"/>
    </row>
    <row r="10472" spans="6:6" x14ac:dyDescent="0.35">
      <c r="F10472"/>
    </row>
    <row r="10473" spans="6:6" x14ac:dyDescent="0.35">
      <c r="F10473"/>
    </row>
    <row r="10474" spans="6:6" x14ac:dyDescent="0.35">
      <c r="F10474"/>
    </row>
    <row r="10475" spans="6:6" x14ac:dyDescent="0.35">
      <c r="F10475"/>
    </row>
    <row r="10476" spans="6:6" x14ac:dyDescent="0.35">
      <c r="F10476"/>
    </row>
    <row r="10477" spans="6:6" x14ac:dyDescent="0.35">
      <c r="F10477"/>
    </row>
    <row r="10478" spans="6:6" x14ac:dyDescent="0.35">
      <c r="F10478"/>
    </row>
    <row r="10479" spans="6:6" x14ac:dyDescent="0.35">
      <c r="F10479"/>
    </row>
    <row r="10480" spans="6:6" x14ac:dyDescent="0.35">
      <c r="F10480"/>
    </row>
    <row r="10481" spans="6:6" x14ac:dyDescent="0.35">
      <c r="F10481"/>
    </row>
    <row r="10482" spans="6:6" x14ac:dyDescent="0.35">
      <c r="F10482"/>
    </row>
    <row r="10483" spans="6:6" x14ac:dyDescent="0.35">
      <c r="F10483"/>
    </row>
    <row r="10484" spans="6:6" x14ac:dyDescent="0.35">
      <c r="F10484"/>
    </row>
    <row r="10485" spans="6:6" x14ac:dyDescent="0.35">
      <c r="F10485"/>
    </row>
    <row r="10486" spans="6:6" x14ac:dyDescent="0.35">
      <c r="F10486"/>
    </row>
    <row r="10487" spans="6:6" x14ac:dyDescent="0.35">
      <c r="F10487"/>
    </row>
    <row r="10488" spans="6:6" x14ac:dyDescent="0.35">
      <c r="F10488"/>
    </row>
    <row r="10489" spans="6:6" x14ac:dyDescent="0.35">
      <c r="F10489"/>
    </row>
    <row r="10490" spans="6:6" x14ac:dyDescent="0.35">
      <c r="F10490"/>
    </row>
    <row r="10491" spans="6:6" x14ac:dyDescent="0.35">
      <c r="F10491"/>
    </row>
    <row r="10492" spans="6:6" x14ac:dyDescent="0.35">
      <c r="F10492"/>
    </row>
    <row r="10493" spans="6:6" x14ac:dyDescent="0.35">
      <c r="F10493"/>
    </row>
    <row r="10494" spans="6:6" x14ac:dyDescent="0.35">
      <c r="F10494"/>
    </row>
    <row r="10495" spans="6:6" x14ac:dyDescent="0.35">
      <c r="F10495"/>
    </row>
    <row r="10496" spans="6:6" x14ac:dyDescent="0.35">
      <c r="F10496"/>
    </row>
    <row r="10497" spans="6:6" x14ac:dyDescent="0.35">
      <c r="F10497"/>
    </row>
    <row r="10498" spans="6:6" x14ac:dyDescent="0.35">
      <c r="F10498"/>
    </row>
    <row r="10499" spans="6:6" x14ac:dyDescent="0.35">
      <c r="F10499"/>
    </row>
    <row r="10500" spans="6:6" x14ac:dyDescent="0.35">
      <c r="F10500"/>
    </row>
    <row r="10501" spans="6:6" x14ac:dyDescent="0.35">
      <c r="F10501"/>
    </row>
    <row r="10502" spans="6:6" x14ac:dyDescent="0.35">
      <c r="F10502"/>
    </row>
    <row r="10503" spans="6:6" x14ac:dyDescent="0.35">
      <c r="F10503"/>
    </row>
    <row r="10504" spans="6:6" x14ac:dyDescent="0.35">
      <c r="F10504"/>
    </row>
    <row r="10505" spans="6:6" x14ac:dyDescent="0.35">
      <c r="F10505"/>
    </row>
    <row r="10506" spans="6:6" x14ac:dyDescent="0.35">
      <c r="F10506"/>
    </row>
    <row r="10507" spans="6:6" x14ac:dyDescent="0.35">
      <c r="F10507"/>
    </row>
    <row r="10508" spans="6:6" x14ac:dyDescent="0.35">
      <c r="F10508"/>
    </row>
    <row r="10509" spans="6:6" x14ac:dyDescent="0.35">
      <c r="F10509"/>
    </row>
    <row r="10510" spans="6:6" x14ac:dyDescent="0.35">
      <c r="F10510"/>
    </row>
    <row r="10511" spans="6:6" x14ac:dyDescent="0.35">
      <c r="F10511"/>
    </row>
    <row r="10512" spans="6:6" x14ac:dyDescent="0.35">
      <c r="F10512"/>
    </row>
    <row r="10513" spans="6:6" x14ac:dyDescent="0.35">
      <c r="F10513"/>
    </row>
    <row r="10514" spans="6:6" x14ac:dyDescent="0.35">
      <c r="F10514"/>
    </row>
    <row r="10515" spans="6:6" x14ac:dyDescent="0.35">
      <c r="F10515"/>
    </row>
    <row r="10516" spans="6:6" x14ac:dyDescent="0.35">
      <c r="F10516"/>
    </row>
    <row r="10517" spans="6:6" x14ac:dyDescent="0.35">
      <c r="F10517"/>
    </row>
    <row r="10518" spans="6:6" x14ac:dyDescent="0.35">
      <c r="F10518"/>
    </row>
    <row r="10519" spans="6:6" x14ac:dyDescent="0.35">
      <c r="F10519"/>
    </row>
    <row r="10520" spans="6:6" x14ac:dyDescent="0.35">
      <c r="F10520"/>
    </row>
    <row r="10521" spans="6:6" x14ac:dyDescent="0.35">
      <c r="F10521"/>
    </row>
    <row r="10522" spans="6:6" x14ac:dyDescent="0.35">
      <c r="F10522"/>
    </row>
    <row r="10523" spans="6:6" x14ac:dyDescent="0.35">
      <c r="F10523"/>
    </row>
    <row r="10524" spans="6:6" x14ac:dyDescent="0.35">
      <c r="F10524"/>
    </row>
    <row r="10525" spans="6:6" x14ac:dyDescent="0.35">
      <c r="F10525"/>
    </row>
    <row r="10526" spans="6:6" x14ac:dyDescent="0.35">
      <c r="F10526"/>
    </row>
    <row r="10527" spans="6:6" x14ac:dyDescent="0.35">
      <c r="F10527"/>
    </row>
    <row r="10528" spans="6:6" x14ac:dyDescent="0.35">
      <c r="F10528"/>
    </row>
    <row r="10529" spans="6:6" x14ac:dyDescent="0.35">
      <c r="F10529"/>
    </row>
    <row r="10530" spans="6:6" x14ac:dyDescent="0.35">
      <c r="F10530"/>
    </row>
    <row r="10531" spans="6:6" x14ac:dyDescent="0.35">
      <c r="F10531"/>
    </row>
    <row r="10532" spans="6:6" x14ac:dyDescent="0.35">
      <c r="F10532"/>
    </row>
    <row r="10533" spans="6:6" x14ac:dyDescent="0.35">
      <c r="F10533"/>
    </row>
    <row r="10534" spans="6:6" x14ac:dyDescent="0.35">
      <c r="F10534"/>
    </row>
    <row r="10535" spans="6:6" x14ac:dyDescent="0.35">
      <c r="F10535"/>
    </row>
    <row r="10536" spans="6:6" x14ac:dyDescent="0.35">
      <c r="F10536"/>
    </row>
    <row r="10537" spans="6:6" x14ac:dyDescent="0.35">
      <c r="F10537"/>
    </row>
    <row r="10538" spans="6:6" x14ac:dyDescent="0.35">
      <c r="F10538"/>
    </row>
    <row r="10539" spans="6:6" x14ac:dyDescent="0.35">
      <c r="F10539"/>
    </row>
    <row r="10540" spans="6:6" x14ac:dyDescent="0.35">
      <c r="F10540"/>
    </row>
    <row r="10541" spans="6:6" x14ac:dyDescent="0.35">
      <c r="F10541"/>
    </row>
    <row r="10542" spans="6:6" x14ac:dyDescent="0.35">
      <c r="F10542"/>
    </row>
    <row r="10543" spans="6:6" x14ac:dyDescent="0.35">
      <c r="F10543"/>
    </row>
    <row r="10544" spans="6:6" x14ac:dyDescent="0.35">
      <c r="F10544"/>
    </row>
    <row r="10545" spans="6:6" x14ac:dyDescent="0.35">
      <c r="F10545"/>
    </row>
    <row r="10546" spans="6:6" x14ac:dyDescent="0.35">
      <c r="F10546"/>
    </row>
    <row r="10547" spans="6:6" x14ac:dyDescent="0.35">
      <c r="F10547"/>
    </row>
    <row r="10548" spans="6:6" x14ac:dyDescent="0.35">
      <c r="F10548"/>
    </row>
    <row r="10549" spans="6:6" x14ac:dyDescent="0.35">
      <c r="F10549"/>
    </row>
    <row r="10550" spans="6:6" x14ac:dyDescent="0.35">
      <c r="F10550"/>
    </row>
    <row r="10551" spans="6:6" x14ac:dyDescent="0.35">
      <c r="F10551"/>
    </row>
    <row r="10552" spans="6:6" x14ac:dyDescent="0.35">
      <c r="F10552"/>
    </row>
    <row r="10553" spans="6:6" x14ac:dyDescent="0.35">
      <c r="F10553"/>
    </row>
    <row r="10554" spans="6:6" x14ac:dyDescent="0.35">
      <c r="F10554"/>
    </row>
    <row r="10555" spans="6:6" x14ac:dyDescent="0.35">
      <c r="F10555"/>
    </row>
    <row r="10556" spans="6:6" x14ac:dyDescent="0.35">
      <c r="F10556"/>
    </row>
    <row r="10557" spans="6:6" x14ac:dyDescent="0.35">
      <c r="F10557"/>
    </row>
    <row r="10558" spans="6:6" x14ac:dyDescent="0.35">
      <c r="F10558"/>
    </row>
    <row r="10559" spans="6:6" x14ac:dyDescent="0.35">
      <c r="F10559"/>
    </row>
    <row r="10560" spans="6:6" x14ac:dyDescent="0.35">
      <c r="F10560"/>
    </row>
    <row r="10561" spans="6:6" x14ac:dyDescent="0.35">
      <c r="F10561"/>
    </row>
    <row r="10562" spans="6:6" x14ac:dyDescent="0.35">
      <c r="F10562"/>
    </row>
    <row r="10563" spans="6:6" x14ac:dyDescent="0.35">
      <c r="F10563"/>
    </row>
    <row r="10564" spans="6:6" x14ac:dyDescent="0.35">
      <c r="F10564"/>
    </row>
    <row r="10565" spans="6:6" x14ac:dyDescent="0.35">
      <c r="F10565"/>
    </row>
    <row r="10566" spans="6:6" x14ac:dyDescent="0.35">
      <c r="F10566"/>
    </row>
    <row r="10567" spans="6:6" x14ac:dyDescent="0.35">
      <c r="F10567"/>
    </row>
    <row r="10568" spans="6:6" x14ac:dyDescent="0.35">
      <c r="F10568"/>
    </row>
    <row r="10569" spans="6:6" x14ac:dyDescent="0.35">
      <c r="F10569"/>
    </row>
    <row r="10570" spans="6:6" x14ac:dyDescent="0.35">
      <c r="F10570"/>
    </row>
    <row r="10571" spans="6:6" x14ac:dyDescent="0.35">
      <c r="F10571"/>
    </row>
    <row r="10572" spans="6:6" x14ac:dyDescent="0.35">
      <c r="F10572"/>
    </row>
    <row r="10573" spans="6:6" x14ac:dyDescent="0.35">
      <c r="F10573"/>
    </row>
    <row r="10574" spans="6:6" x14ac:dyDescent="0.35">
      <c r="F10574"/>
    </row>
    <row r="10575" spans="6:6" x14ac:dyDescent="0.35">
      <c r="F10575"/>
    </row>
    <row r="10576" spans="6:6" x14ac:dyDescent="0.35">
      <c r="F10576"/>
    </row>
    <row r="10577" spans="6:6" x14ac:dyDescent="0.35">
      <c r="F10577"/>
    </row>
    <row r="10578" spans="6:6" x14ac:dyDescent="0.35">
      <c r="F10578"/>
    </row>
    <row r="10579" spans="6:6" x14ac:dyDescent="0.35">
      <c r="F10579"/>
    </row>
    <row r="10580" spans="6:6" x14ac:dyDescent="0.35">
      <c r="F10580"/>
    </row>
    <row r="10581" spans="6:6" x14ac:dyDescent="0.35">
      <c r="F10581"/>
    </row>
    <row r="10582" spans="6:6" x14ac:dyDescent="0.35">
      <c r="F10582"/>
    </row>
    <row r="10583" spans="6:6" x14ac:dyDescent="0.35">
      <c r="F10583"/>
    </row>
    <row r="10584" spans="6:6" x14ac:dyDescent="0.35">
      <c r="F10584"/>
    </row>
    <row r="10585" spans="6:6" x14ac:dyDescent="0.35">
      <c r="F10585"/>
    </row>
    <row r="10586" spans="6:6" x14ac:dyDescent="0.35">
      <c r="F10586"/>
    </row>
    <row r="10587" spans="6:6" x14ac:dyDescent="0.35">
      <c r="F10587"/>
    </row>
    <row r="10588" spans="6:6" x14ac:dyDescent="0.35">
      <c r="F10588"/>
    </row>
    <row r="10589" spans="6:6" x14ac:dyDescent="0.35">
      <c r="F10589"/>
    </row>
    <row r="10590" spans="6:6" x14ac:dyDescent="0.35">
      <c r="F10590"/>
    </row>
    <row r="10591" spans="6:6" x14ac:dyDescent="0.35">
      <c r="F10591"/>
    </row>
    <row r="10592" spans="6:6" x14ac:dyDescent="0.35">
      <c r="F10592"/>
    </row>
    <row r="10593" spans="6:6" x14ac:dyDescent="0.35">
      <c r="F10593"/>
    </row>
    <row r="10594" spans="6:6" x14ac:dyDescent="0.35">
      <c r="F10594"/>
    </row>
    <row r="10595" spans="6:6" x14ac:dyDescent="0.35">
      <c r="F10595"/>
    </row>
    <row r="10596" spans="6:6" x14ac:dyDescent="0.35">
      <c r="F10596"/>
    </row>
    <row r="10597" spans="6:6" x14ac:dyDescent="0.35">
      <c r="F10597"/>
    </row>
    <row r="10598" spans="6:6" x14ac:dyDescent="0.35">
      <c r="F10598"/>
    </row>
    <row r="10599" spans="6:6" x14ac:dyDescent="0.35">
      <c r="F10599"/>
    </row>
    <row r="10600" spans="6:6" x14ac:dyDescent="0.35">
      <c r="F10600"/>
    </row>
    <row r="10601" spans="6:6" x14ac:dyDescent="0.35">
      <c r="F10601"/>
    </row>
    <row r="10602" spans="6:6" x14ac:dyDescent="0.35">
      <c r="F10602"/>
    </row>
    <row r="10603" spans="6:6" x14ac:dyDescent="0.35">
      <c r="F10603"/>
    </row>
    <row r="10604" spans="6:6" x14ac:dyDescent="0.35">
      <c r="F10604"/>
    </row>
    <row r="10605" spans="6:6" x14ac:dyDescent="0.35">
      <c r="F10605"/>
    </row>
    <row r="10606" spans="6:6" x14ac:dyDescent="0.35">
      <c r="F10606"/>
    </row>
    <row r="10607" spans="6:6" x14ac:dyDescent="0.35">
      <c r="F10607"/>
    </row>
    <row r="10608" spans="6:6" x14ac:dyDescent="0.35">
      <c r="F10608"/>
    </row>
    <row r="10609" spans="6:6" x14ac:dyDescent="0.35">
      <c r="F10609"/>
    </row>
    <row r="10610" spans="6:6" x14ac:dyDescent="0.35">
      <c r="F10610"/>
    </row>
    <row r="10611" spans="6:6" x14ac:dyDescent="0.35">
      <c r="F10611"/>
    </row>
    <row r="10612" spans="6:6" x14ac:dyDescent="0.35">
      <c r="F10612"/>
    </row>
    <row r="10613" spans="6:6" x14ac:dyDescent="0.35">
      <c r="F10613"/>
    </row>
    <row r="10614" spans="6:6" x14ac:dyDescent="0.35">
      <c r="F10614"/>
    </row>
    <row r="10615" spans="6:6" x14ac:dyDescent="0.35">
      <c r="F10615"/>
    </row>
    <row r="10616" spans="6:6" x14ac:dyDescent="0.35">
      <c r="F10616"/>
    </row>
    <row r="10617" spans="6:6" x14ac:dyDescent="0.35">
      <c r="F10617"/>
    </row>
    <row r="10618" spans="6:6" x14ac:dyDescent="0.35">
      <c r="F10618"/>
    </row>
    <row r="10619" spans="6:6" x14ac:dyDescent="0.35">
      <c r="F10619"/>
    </row>
    <row r="10620" spans="6:6" x14ac:dyDescent="0.35">
      <c r="F10620"/>
    </row>
    <row r="10621" spans="6:6" x14ac:dyDescent="0.35">
      <c r="F10621"/>
    </row>
    <row r="10622" spans="6:6" x14ac:dyDescent="0.35">
      <c r="F10622"/>
    </row>
    <row r="10623" spans="6:6" x14ac:dyDescent="0.35">
      <c r="F10623"/>
    </row>
    <row r="10624" spans="6:6" x14ac:dyDescent="0.35">
      <c r="F10624"/>
    </row>
    <row r="10625" spans="6:6" x14ac:dyDescent="0.35">
      <c r="F10625"/>
    </row>
    <row r="10626" spans="6:6" x14ac:dyDescent="0.35">
      <c r="F10626"/>
    </row>
    <row r="10627" spans="6:6" x14ac:dyDescent="0.35">
      <c r="F10627"/>
    </row>
    <row r="10628" spans="6:6" x14ac:dyDescent="0.35">
      <c r="F10628"/>
    </row>
    <row r="10629" spans="6:6" x14ac:dyDescent="0.35">
      <c r="F10629"/>
    </row>
    <row r="10630" spans="6:6" x14ac:dyDescent="0.35">
      <c r="F10630"/>
    </row>
    <row r="10631" spans="6:6" x14ac:dyDescent="0.35">
      <c r="F10631"/>
    </row>
    <row r="10632" spans="6:6" x14ac:dyDescent="0.35">
      <c r="F10632"/>
    </row>
    <row r="10633" spans="6:6" x14ac:dyDescent="0.35">
      <c r="F10633"/>
    </row>
    <row r="10634" spans="6:6" x14ac:dyDescent="0.35">
      <c r="F10634"/>
    </row>
    <row r="10635" spans="6:6" x14ac:dyDescent="0.35">
      <c r="F10635"/>
    </row>
    <row r="10636" spans="6:6" x14ac:dyDescent="0.35">
      <c r="F10636"/>
    </row>
    <row r="10637" spans="6:6" x14ac:dyDescent="0.35">
      <c r="F10637"/>
    </row>
    <row r="10638" spans="6:6" x14ac:dyDescent="0.35">
      <c r="F10638"/>
    </row>
    <row r="10639" spans="6:6" x14ac:dyDescent="0.35">
      <c r="F10639"/>
    </row>
    <row r="10640" spans="6:6" x14ac:dyDescent="0.35">
      <c r="F10640"/>
    </row>
    <row r="10641" spans="6:6" x14ac:dyDescent="0.35">
      <c r="F10641"/>
    </row>
    <row r="10642" spans="6:6" x14ac:dyDescent="0.35">
      <c r="F10642"/>
    </row>
    <row r="10643" spans="6:6" x14ac:dyDescent="0.35">
      <c r="F10643"/>
    </row>
    <row r="10644" spans="6:6" x14ac:dyDescent="0.35">
      <c r="F10644"/>
    </row>
    <row r="10645" spans="6:6" x14ac:dyDescent="0.35">
      <c r="F10645"/>
    </row>
    <row r="10646" spans="6:6" x14ac:dyDescent="0.35">
      <c r="F10646"/>
    </row>
    <row r="10647" spans="6:6" x14ac:dyDescent="0.35">
      <c r="F10647"/>
    </row>
    <row r="10648" spans="6:6" x14ac:dyDescent="0.35">
      <c r="F10648"/>
    </row>
    <row r="10649" spans="6:6" x14ac:dyDescent="0.35">
      <c r="F10649"/>
    </row>
    <row r="10650" spans="6:6" x14ac:dyDescent="0.35">
      <c r="F10650"/>
    </row>
    <row r="10651" spans="6:6" x14ac:dyDescent="0.35">
      <c r="F10651"/>
    </row>
    <row r="10652" spans="6:6" x14ac:dyDescent="0.35">
      <c r="F10652"/>
    </row>
    <row r="10653" spans="6:6" x14ac:dyDescent="0.35">
      <c r="F10653"/>
    </row>
    <row r="10654" spans="6:6" x14ac:dyDescent="0.35">
      <c r="F10654"/>
    </row>
    <row r="10655" spans="6:6" x14ac:dyDescent="0.35">
      <c r="F10655"/>
    </row>
    <row r="10656" spans="6:6" x14ac:dyDescent="0.35">
      <c r="F10656"/>
    </row>
    <row r="10657" spans="6:6" x14ac:dyDescent="0.35">
      <c r="F10657"/>
    </row>
    <row r="10658" spans="6:6" x14ac:dyDescent="0.35">
      <c r="F10658"/>
    </row>
    <row r="10659" spans="6:6" x14ac:dyDescent="0.35">
      <c r="F10659"/>
    </row>
    <row r="10660" spans="6:6" x14ac:dyDescent="0.35">
      <c r="F10660"/>
    </row>
    <row r="10661" spans="6:6" x14ac:dyDescent="0.35">
      <c r="F10661"/>
    </row>
    <row r="10662" spans="6:6" x14ac:dyDescent="0.35">
      <c r="F10662"/>
    </row>
    <row r="10663" spans="6:6" x14ac:dyDescent="0.35">
      <c r="F10663"/>
    </row>
    <row r="10664" spans="6:6" x14ac:dyDescent="0.35">
      <c r="F10664"/>
    </row>
    <row r="10665" spans="6:6" x14ac:dyDescent="0.35">
      <c r="F10665"/>
    </row>
    <row r="10666" spans="6:6" x14ac:dyDescent="0.35">
      <c r="F10666"/>
    </row>
    <row r="10667" spans="6:6" x14ac:dyDescent="0.35">
      <c r="F10667"/>
    </row>
    <row r="10668" spans="6:6" x14ac:dyDescent="0.35">
      <c r="F10668"/>
    </row>
    <row r="10669" spans="6:6" x14ac:dyDescent="0.35">
      <c r="F10669"/>
    </row>
    <row r="10670" spans="6:6" x14ac:dyDescent="0.35">
      <c r="F10670"/>
    </row>
    <row r="10671" spans="6:6" x14ac:dyDescent="0.35">
      <c r="F10671"/>
    </row>
    <row r="10672" spans="6:6" x14ac:dyDescent="0.35">
      <c r="F10672"/>
    </row>
    <row r="10673" spans="6:6" x14ac:dyDescent="0.35">
      <c r="F10673"/>
    </row>
    <row r="10674" spans="6:6" x14ac:dyDescent="0.35">
      <c r="F10674"/>
    </row>
    <row r="10675" spans="6:6" x14ac:dyDescent="0.35">
      <c r="F10675"/>
    </row>
    <row r="10676" spans="6:6" x14ac:dyDescent="0.35">
      <c r="F10676"/>
    </row>
    <row r="10677" spans="6:6" x14ac:dyDescent="0.35">
      <c r="F10677"/>
    </row>
    <row r="10678" spans="6:6" x14ac:dyDescent="0.35">
      <c r="F10678"/>
    </row>
    <row r="10679" spans="6:6" x14ac:dyDescent="0.35">
      <c r="F10679"/>
    </row>
    <row r="10680" spans="6:6" x14ac:dyDescent="0.35">
      <c r="F10680"/>
    </row>
    <row r="10681" spans="6:6" x14ac:dyDescent="0.35">
      <c r="F10681"/>
    </row>
    <row r="10682" spans="6:6" x14ac:dyDescent="0.35">
      <c r="F10682"/>
    </row>
    <row r="10683" spans="6:6" x14ac:dyDescent="0.35">
      <c r="F10683"/>
    </row>
    <row r="10684" spans="6:6" x14ac:dyDescent="0.35">
      <c r="F10684"/>
    </row>
    <row r="10685" spans="6:6" x14ac:dyDescent="0.35">
      <c r="F10685"/>
    </row>
    <row r="10686" spans="6:6" x14ac:dyDescent="0.35">
      <c r="F10686"/>
    </row>
    <row r="10687" spans="6:6" x14ac:dyDescent="0.35">
      <c r="F10687"/>
    </row>
    <row r="10688" spans="6:6" x14ac:dyDescent="0.35">
      <c r="F10688"/>
    </row>
    <row r="10689" spans="6:6" x14ac:dyDescent="0.35">
      <c r="F10689"/>
    </row>
    <row r="10690" spans="6:6" x14ac:dyDescent="0.35">
      <c r="F10690"/>
    </row>
    <row r="10691" spans="6:6" x14ac:dyDescent="0.35">
      <c r="F10691"/>
    </row>
    <row r="10692" spans="6:6" x14ac:dyDescent="0.35">
      <c r="F10692"/>
    </row>
    <row r="10693" spans="6:6" x14ac:dyDescent="0.35">
      <c r="F10693"/>
    </row>
    <row r="10694" spans="6:6" x14ac:dyDescent="0.35">
      <c r="F10694"/>
    </row>
    <row r="10695" spans="6:6" x14ac:dyDescent="0.35">
      <c r="F10695"/>
    </row>
    <row r="10696" spans="6:6" x14ac:dyDescent="0.35">
      <c r="F10696"/>
    </row>
    <row r="10697" spans="6:6" x14ac:dyDescent="0.35">
      <c r="F10697"/>
    </row>
    <row r="10698" spans="6:6" x14ac:dyDescent="0.35">
      <c r="F10698"/>
    </row>
    <row r="10699" spans="6:6" x14ac:dyDescent="0.35">
      <c r="F10699"/>
    </row>
    <row r="10700" spans="6:6" x14ac:dyDescent="0.35">
      <c r="F10700"/>
    </row>
    <row r="10701" spans="6:6" x14ac:dyDescent="0.35">
      <c r="F10701"/>
    </row>
    <row r="10702" spans="6:6" x14ac:dyDescent="0.35">
      <c r="F10702"/>
    </row>
    <row r="10703" spans="6:6" x14ac:dyDescent="0.35">
      <c r="F10703"/>
    </row>
    <row r="10704" spans="6:6" x14ac:dyDescent="0.35">
      <c r="F10704"/>
    </row>
    <row r="10705" spans="6:6" x14ac:dyDescent="0.35">
      <c r="F10705"/>
    </row>
    <row r="10706" spans="6:6" x14ac:dyDescent="0.35">
      <c r="F10706"/>
    </row>
    <row r="10707" spans="6:6" x14ac:dyDescent="0.35">
      <c r="F10707"/>
    </row>
    <row r="10708" spans="6:6" x14ac:dyDescent="0.35">
      <c r="F10708"/>
    </row>
    <row r="10709" spans="6:6" x14ac:dyDescent="0.35">
      <c r="F10709"/>
    </row>
    <row r="10710" spans="6:6" x14ac:dyDescent="0.35">
      <c r="F10710"/>
    </row>
    <row r="10711" spans="6:6" x14ac:dyDescent="0.35">
      <c r="F10711"/>
    </row>
    <row r="10712" spans="6:6" x14ac:dyDescent="0.35">
      <c r="F10712"/>
    </row>
    <row r="10713" spans="6:6" x14ac:dyDescent="0.35">
      <c r="F10713"/>
    </row>
    <row r="10714" spans="6:6" x14ac:dyDescent="0.35">
      <c r="F10714"/>
    </row>
    <row r="10715" spans="6:6" x14ac:dyDescent="0.35">
      <c r="F10715"/>
    </row>
    <row r="10716" spans="6:6" x14ac:dyDescent="0.35">
      <c r="F10716"/>
    </row>
    <row r="10717" spans="6:6" x14ac:dyDescent="0.35">
      <c r="F10717"/>
    </row>
    <row r="10718" spans="6:6" x14ac:dyDescent="0.35">
      <c r="F10718"/>
    </row>
    <row r="10719" spans="6:6" x14ac:dyDescent="0.35">
      <c r="F10719"/>
    </row>
    <row r="10720" spans="6:6" x14ac:dyDescent="0.35">
      <c r="F10720"/>
    </row>
    <row r="10721" spans="6:6" x14ac:dyDescent="0.35">
      <c r="F10721"/>
    </row>
    <row r="10722" spans="6:6" x14ac:dyDescent="0.35">
      <c r="F10722"/>
    </row>
    <row r="10723" spans="6:6" x14ac:dyDescent="0.35">
      <c r="F10723"/>
    </row>
    <row r="10724" spans="6:6" x14ac:dyDescent="0.35">
      <c r="F10724"/>
    </row>
    <row r="10725" spans="6:6" x14ac:dyDescent="0.35">
      <c r="F10725"/>
    </row>
    <row r="10726" spans="6:6" x14ac:dyDescent="0.35">
      <c r="F10726"/>
    </row>
    <row r="10727" spans="6:6" x14ac:dyDescent="0.35">
      <c r="F10727"/>
    </row>
    <row r="10728" spans="6:6" x14ac:dyDescent="0.35">
      <c r="F10728"/>
    </row>
    <row r="10729" spans="6:6" x14ac:dyDescent="0.35">
      <c r="F10729"/>
    </row>
    <row r="10730" spans="6:6" x14ac:dyDescent="0.35">
      <c r="F10730"/>
    </row>
    <row r="10731" spans="6:6" x14ac:dyDescent="0.35">
      <c r="F10731"/>
    </row>
    <row r="10732" spans="6:6" x14ac:dyDescent="0.35">
      <c r="F10732"/>
    </row>
    <row r="10733" spans="6:6" x14ac:dyDescent="0.35">
      <c r="F10733"/>
    </row>
    <row r="10734" spans="6:6" x14ac:dyDescent="0.35">
      <c r="F10734"/>
    </row>
    <row r="10735" spans="6:6" x14ac:dyDescent="0.35">
      <c r="F10735"/>
    </row>
    <row r="10736" spans="6:6" x14ac:dyDescent="0.35">
      <c r="F10736"/>
    </row>
    <row r="10737" spans="6:6" x14ac:dyDescent="0.35">
      <c r="F10737"/>
    </row>
    <row r="10738" spans="6:6" x14ac:dyDescent="0.35">
      <c r="F10738"/>
    </row>
    <row r="10739" spans="6:6" x14ac:dyDescent="0.35">
      <c r="F10739"/>
    </row>
    <row r="10740" spans="6:6" x14ac:dyDescent="0.35">
      <c r="F10740"/>
    </row>
    <row r="10741" spans="6:6" x14ac:dyDescent="0.35">
      <c r="F10741"/>
    </row>
    <row r="10742" spans="6:6" x14ac:dyDescent="0.35">
      <c r="F10742"/>
    </row>
    <row r="10743" spans="6:6" x14ac:dyDescent="0.35">
      <c r="F10743"/>
    </row>
    <row r="10744" spans="6:6" x14ac:dyDescent="0.35">
      <c r="F10744"/>
    </row>
    <row r="10745" spans="6:6" x14ac:dyDescent="0.35">
      <c r="F10745"/>
    </row>
    <row r="10746" spans="6:6" x14ac:dyDescent="0.35">
      <c r="F10746"/>
    </row>
    <row r="10747" spans="6:6" x14ac:dyDescent="0.35">
      <c r="F10747"/>
    </row>
    <row r="10748" spans="6:6" x14ac:dyDescent="0.35">
      <c r="F10748"/>
    </row>
    <row r="10749" spans="6:6" x14ac:dyDescent="0.35">
      <c r="F10749"/>
    </row>
    <row r="10750" spans="6:6" x14ac:dyDescent="0.35">
      <c r="F10750"/>
    </row>
    <row r="10751" spans="6:6" x14ac:dyDescent="0.35">
      <c r="F10751"/>
    </row>
    <row r="10752" spans="6:6" x14ac:dyDescent="0.35">
      <c r="F10752"/>
    </row>
    <row r="10753" spans="6:6" x14ac:dyDescent="0.35">
      <c r="F10753"/>
    </row>
    <row r="10754" spans="6:6" x14ac:dyDescent="0.35">
      <c r="F10754"/>
    </row>
    <row r="10755" spans="6:6" x14ac:dyDescent="0.35">
      <c r="F10755"/>
    </row>
    <row r="10756" spans="6:6" x14ac:dyDescent="0.35">
      <c r="F10756"/>
    </row>
    <row r="10757" spans="6:6" x14ac:dyDescent="0.35">
      <c r="F10757"/>
    </row>
    <row r="10758" spans="6:6" x14ac:dyDescent="0.35">
      <c r="F10758"/>
    </row>
    <row r="10759" spans="6:6" x14ac:dyDescent="0.35">
      <c r="F10759"/>
    </row>
    <row r="10760" spans="6:6" x14ac:dyDescent="0.35">
      <c r="F10760"/>
    </row>
    <row r="10761" spans="6:6" x14ac:dyDescent="0.35">
      <c r="F10761"/>
    </row>
    <row r="10762" spans="6:6" x14ac:dyDescent="0.35">
      <c r="F10762"/>
    </row>
    <row r="10763" spans="6:6" x14ac:dyDescent="0.35">
      <c r="F10763"/>
    </row>
    <row r="10764" spans="6:6" x14ac:dyDescent="0.35">
      <c r="F10764"/>
    </row>
    <row r="10765" spans="6:6" x14ac:dyDescent="0.35">
      <c r="F10765"/>
    </row>
    <row r="10766" spans="6:6" x14ac:dyDescent="0.35">
      <c r="F10766"/>
    </row>
    <row r="10767" spans="6:6" x14ac:dyDescent="0.35">
      <c r="F10767"/>
    </row>
    <row r="10768" spans="6:6" x14ac:dyDescent="0.35">
      <c r="F10768"/>
    </row>
    <row r="10769" spans="6:6" x14ac:dyDescent="0.35">
      <c r="F10769"/>
    </row>
    <row r="10770" spans="6:6" x14ac:dyDescent="0.35">
      <c r="F10770"/>
    </row>
    <row r="10771" spans="6:6" x14ac:dyDescent="0.35">
      <c r="F10771"/>
    </row>
    <row r="10772" spans="6:6" x14ac:dyDescent="0.35">
      <c r="F10772"/>
    </row>
    <row r="10773" spans="6:6" x14ac:dyDescent="0.35">
      <c r="F10773"/>
    </row>
    <row r="10774" spans="6:6" x14ac:dyDescent="0.35">
      <c r="F10774"/>
    </row>
    <row r="10775" spans="6:6" x14ac:dyDescent="0.35">
      <c r="F10775"/>
    </row>
    <row r="10776" spans="6:6" x14ac:dyDescent="0.35">
      <c r="F10776"/>
    </row>
    <row r="10777" spans="6:6" x14ac:dyDescent="0.35">
      <c r="F10777"/>
    </row>
    <row r="10778" spans="6:6" x14ac:dyDescent="0.35">
      <c r="F10778"/>
    </row>
    <row r="10779" spans="6:6" x14ac:dyDescent="0.35">
      <c r="F10779"/>
    </row>
    <row r="10780" spans="6:6" x14ac:dyDescent="0.35">
      <c r="F10780"/>
    </row>
    <row r="10781" spans="6:6" x14ac:dyDescent="0.35">
      <c r="F10781"/>
    </row>
    <row r="10782" spans="6:6" x14ac:dyDescent="0.35">
      <c r="F10782"/>
    </row>
    <row r="10783" spans="6:6" x14ac:dyDescent="0.35">
      <c r="F10783"/>
    </row>
    <row r="10784" spans="6:6" x14ac:dyDescent="0.35">
      <c r="F10784"/>
    </row>
    <row r="10785" spans="6:6" x14ac:dyDescent="0.35">
      <c r="F10785"/>
    </row>
    <row r="10786" spans="6:6" x14ac:dyDescent="0.35">
      <c r="F10786"/>
    </row>
    <row r="10787" spans="6:6" x14ac:dyDescent="0.35">
      <c r="F10787"/>
    </row>
    <row r="10788" spans="6:6" x14ac:dyDescent="0.35">
      <c r="F10788"/>
    </row>
    <row r="10789" spans="6:6" x14ac:dyDescent="0.35">
      <c r="F10789"/>
    </row>
    <row r="10790" spans="6:6" x14ac:dyDescent="0.35">
      <c r="F10790"/>
    </row>
    <row r="10791" spans="6:6" x14ac:dyDescent="0.35">
      <c r="F10791"/>
    </row>
    <row r="10792" spans="6:6" x14ac:dyDescent="0.35">
      <c r="F10792"/>
    </row>
    <row r="10793" spans="6:6" x14ac:dyDescent="0.35">
      <c r="F10793"/>
    </row>
    <row r="10794" spans="6:6" x14ac:dyDescent="0.35">
      <c r="F10794"/>
    </row>
    <row r="10795" spans="6:6" x14ac:dyDescent="0.35">
      <c r="F10795"/>
    </row>
    <row r="10796" spans="6:6" x14ac:dyDescent="0.35">
      <c r="F10796"/>
    </row>
    <row r="10797" spans="6:6" x14ac:dyDescent="0.35">
      <c r="F10797"/>
    </row>
    <row r="10798" spans="6:6" x14ac:dyDescent="0.35">
      <c r="F10798"/>
    </row>
    <row r="10799" spans="6:6" x14ac:dyDescent="0.35">
      <c r="F10799"/>
    </row>
    <row r="10800" spans="6:6" x14ac:dyDescent="0.35">
      <c r="F10800"/>
    </row>
    <row r="10801" spans="6:6" x14ac:dyDescent="0.35">
      <c r="F10801"/>
    </row>
    <row r="10802" spans="6:6" x14ac:dyDescent="0.35">
      <c r="F10802"/>
    </row>
    <row r="10803" spans="6:6" x14ac:dyDescent="0.35">
      <c r="F10803"/>
    </row>
    <row r="10804" spans="6:6" x14ac:dyDescent="0.35">
      <c r="F10804"/>
    </row>
    <row r="10805" spans="6:6" x14ac:dyDescent="0.35">
      <c r="F10805"/>
    </row>
    <row r="10806" spans="6:6" x14ac:dyDescent="0.35">
      <c r="F10806"/>
    </row>
    <row r="10807" spans="6:6" x14ac:dyDescent="0.35">
      <c r="F10807"/>
    </row>
    <row r="10808" spans="6:6" x14ac:dyDescent="0.35">
      <c r="F10808"/>
    </row>
    <row r="10809" spans="6:6" x14ac:dyDescent="0.35">
      <c r="F10809"/>
    </row>
    <row r="10810" spans="6:6" x14ac:dyDescent="0.35">
      <c r="F10810"/>
    </row>
    <row r="10811" spans="6:6" x14ac:dyDescent="0.35">
      <c r="F10811"/>
    </row>
    <row r="10812" spans="6:6" x14ac:dyDescent="0.35">
      <c r="F10812"/>
    </row>
    <row r="10813" spans="6:6" x14ac:dyDescent="0.35">
      <c r="F10813"/>
    </row>
    <row r="10814" spans="6:6" x14ac:dyDescent="0.35">
      <c r="F10814"/>
    </row>
    <row r="10815" spans="6:6" x14ac:dyDescent="0.35">
      <c r="F10815"/>
    </row>
    <row r="10816" spans="6:6" x14ac:dyDescent="0.35">
      <c r="F10816"/>
    </row>
    <row r="10817" spans="6:6" x14ac:dyDescent="0.35">
      <c r="F10817"/>
    </row>
    <row r="10818" spans="6:6" x14ac:dyDescent="0.35">
      <c r="F10818"/>
    </row>
    <row r="10819" spans="6:6" x14ac:dyDescent="0.35">
      <c r="F10819"/>
    </row>
    <row r="10820" spans="6:6" x14ac:dyDescent="0.35">
      <c r="F10820"/>
    </row>
    <row r="10821" spans="6:6" x14ac:dyDescent="0.35">
      <c r="F10821"/>
    </row>
    <row r="10822" spans="6:6" x14ac:dyDescent="0.35">
      <c r="F10822"/>
    </row>
    <row r="10823" spans="6:6" x14ac:dyDescent="0.35">
      <c r="F10823"/>
    </row>
    <row r="10824" spans="6:6" x14ac:dyDescent="0.35">
      <c r="F10824"/>
    </row>
    <row r="10825" spans="6:6" x14ac:dyDescent="0.35">
      <c r="F10825"/>
    </row>
    <row r="10826" spans="6:6" x14ac:dyDescent="0.35">
      <c r="F10826"/>
    </row>
    <row r="10827" spans="6:6" x14ac:dyDescent="0.35">
      <c r="F10827"/>
    </row>
    <row r="10828" spans="6:6" x14ac:dyDescent="0.35">
      <c r="F10828"/>
    </row>
    <row r="10829" spans="6:6" x14ac:dyDescent="0.35">
      <c r="F10829"/>
    </row>
    <row r="10830" spans="6:6" x14ac:dyDescent="0.35">
      <c r="F10830"/>
    </row>
    <row r="10831" spans="6:6" x14ac:dyDescent="0.35">
      <c r="F10831"/>
    </row>
    <row r="10832" spans="6:6" x14ac:dyDescent="0.35">
      <c r="F10832"/>
    </row>
    <row r="10833" spans="6:6" x14ac:dyDescent="0.35">
      <c r="F10833"/>
    </row>
    <row r="10834" spans="6:6" x14ac:dyDescent="0.35">
      <c r="F10834"/>
    </row>
    <row r="10835" spans="6:6" x14ac:dyDescent="0.35">
      <c r="F10835"/>
    </row>
    <row r="10836" spans="6:6" x14ac:dyDescent="0.35">
      <c r="F10836"/>
    </row>
    <row r="10837" spans="6:6" x14ac:dyDescent="0.35">
      <c r="F10837"/>
    </row>
    <row r="10838" spans="6:6" x14ac:dyDescent="0.35">
      <c r="F10838"/>
    </row>
    <row r="10839" spans="6:6" x14ac:dyDescent="0.35">
      <c r="F10839"/>
    </row>
    <row r="10840" spans="6:6" x14ac:dyDescent="0.35">
      <c r="F10840"/>
    </row>
    <row r="10841" spans="6:6" x14ac:dyDescent="0.35">
      <c r="F10841"/>
    </row>
    <row r="10842" spans="6:6" x14ac:dyDescent="0.35">
      <c r="F10842"/>
    </row>
    <row r="10843" spans="6:6" x14ac:dyDescent="0.35">
      <c r="F10843"/>
    </row>
    <row r="10844" spans="6:6" x14ac:dyDescent="0.35">
      <c r="F10844"/>
    </row>
    <row r="10845" spans="6:6" x14ac:dyDescent="0.35">
      <c r="F10845"/>
    </row>
    <row r="10846" spans="6:6" x14ac:dyDescent="0.35">
      <c r="F10846"/>
    </row>
    <row r="10847" spans="6:6" x14ac:dyDescent="0.35">
      <c r="F10847"/>
    </row>
    <row r="10848" spans="6:6" x14ac:dyDescent="0.35">
      <c r="F10848"/>
    </row>
    <row r="10849" spans="6:6" x14ac:dyDescent="0.35">
      <c r="F10849"/>
    </row>
    <row r="10850" spans="6:6" x14ac:dyDescent="0.35">
      <c r="F10850"/>
    </row>
    <row r="10851" spans="6:6" x14ac:dyDescent="0.35">
      <c r="F10851"/>
    </row>
    <row r="10852" spans="6:6" x14ac:dyDescent="0.35">
      <c r="F10852"/>
    </row>
    <row r="10853" spans="6:6" x14ac:dyDescent="0.35">
      <c r="F10853"/>
    </row>
    <row r="10854" spans="6:6" x14ac:dyDescent="0.35">
      <c r="F10854"/>
    </row>
    <row r="10855" spans="6:6" x14ac:dyDescent="0.35">
      <c r="F10855"/>
    </row>
    <row r="10856" spans="6:6" x14ac:dyDescent="0.35">
      <c r="F10856"/>
    </row>
    <row r="10857" spans="6:6" x14ac:dyDescent="0.35">
      <c r="F10857"/>
    </row>
    <row r="10858" spans="6:6" x14ac:dyDescent="0.35">
      <c r="F10858"/>
    </row>
    <row r="10859" spans="6:6" x14ac:dyDescent="0.35">
      <c r="F10859"/>
    </row>
    <row r="10860" spans="6:6" x14ac:dyDescent="0.35">
      <c r="F10860"/>
    </row>
    <row r="10861" spans="6:6" x14ac:dyDescent="0.35">
      <c r="F10861"/>
    </row>
    <row r="10862" spans="6:6" x14ac:dyDescent="0.35">
      <c r="F10862"/>
    </row>
    <row r="10863" spans="6:6" x14ac:dyDescent="0.35">
      <c r="F10863"/>
    </row>
    <row r="10864" spans="6:6" x14ac:dyDescent="0.35">
      <c r="F10864"/>
    </row>
    <row r="10865" spans="6:6" x14ac:dyDescent="0.35">
      <c r="F10865"/>
    </row>
    <row r="10866" spans="6:6" x14ac:dyDescent="0.35">
      <c r="F10866"/>
    </row>
    <row r="10867" spans="6:6" x14ac:dyDescent="0.35">
      <c r="F10867"/>
    </row>
    <row r="10868" spans="6:6" x14ac:dyDescent="0.35">
      <c r="F10868"/>
    </row>
    <row r="10869" spans="6:6" x14ac:dyDescent="0.35">
      <c r="F10869"/>
    </row>
    <row r="10870" spans="6:6" x14ac:dyDescent="0.35">
      <c r="F10870"/>
    </row>
    <row r="10871" spans="6:6" x14ac:dyDescent="0.35">
      <c r="F10871"/>
    </row>
    <row r="10872" spans="6:6" x14ac:dyDescent="0.35">
      <c r="F10872"/>
    </row>
    <row r="10873" spans="6:6" x14ac:dyDescent="0.35">
      <c r="F10873"/>
    </row>
    <row r="10874" spans="6:6" x14ac:dyDescent="0.35">
      <c r="F10874"/>
    </row>
    <row r="10875" spans="6:6" x14ac:dyDescent="0.35">
      <c r="F10875"/>
    </row>
    <row r="10876" spans="6:6" x14ac:dyDescent="0.35">
      <c r="F10876"/>
    </row>
    <row r="10877" spans="6:6" x14ac:dyDescent="0.35">
      <c r="F10877"/>
    </row>
    <row r="10878" spans="6:6" x14ac:dyDescent="0.35">
      <c r="F10878"/>
    </row>
    <row r="10879" spans="6:6" x14ac:dyDescent="0.35">
      <c r="F10879"/>
    </row>
    <row r="10880" spans="6:6" x14ac:dyDescent="0.35">
      <c r="F10880"/>
    </row>
    <row r="10881" spans="6:6" x14ac:dyDescent="0.35">
      <c r="F10881"/>
    </row>
    <row r="10882" spans="6:6" x14ac:dyDescent="0.35">
      <c r="F10882"/>
    </row>
    <row r="10883" spans="6:6" x14ac:dyDescent="0.35">
      <c r="F10883"/>
    </row>
    <row r="10884" spans="6:6" x14ac:dyDescent="0.35">
      <c r="F10884"/>
    </row>
    <row r="10885" spans="6:6" x14ac:dyDescent="0.35">
      <c r="F10885"/>
    </row>
    <row r="10886" spans="6:6" x14ac:dyDescent="0.35">
      <c r="F10886"/>
    </row>
    <row r="10887" spans="6:6" x14ac:dyDescent="0.35">
      <c r="F10887"/>
    </row>
    <row r="10888" spans="6:6" x14ac:dyDescent="0.35">
      <c r="F10888"/>
    </row>
    <row r="10889" spans="6:6" x14ac:dyDescent="0.35">
      <c r="F10889"/>
    </row>
    <row r="10890" spans="6:6" x14ac:dyDescent="0.35">
      <c r="F10890"/>
    </row>
    <row r="10891" spans="6:6" x14ac:dyDescent="0.35">
      <c r="F10891"/>
    </row>
    <row r="10892" spans="6:6" x14ac:dyDescent="0.35">
      <c r="F10892"/>
    </row>
    <row r="10893" spans="6:6" x14ac:dyDescent="0.35">
      <c r="F10893"/>
    </row>
    <row r="10894" spans="6:6" x14ac:dyDescent="0.35">
      <c r="F10894"/>
    </row>
    <row r="10895" spans="6:6" x14ac:dyDescent="0.35">
      <c r="F10895"/>
    </row>
    <row r="10896" spans="6:6" x14ac:dyDescent="0.35">
      <c r="F10896"/>
    </row>
    <row r="10897" spans="6:6" x14ac:dyDescent="0.35">
      <c r="F10897"/>
    </row>
    <row r="10898" spans="6:6" x14ac:dyDescent="0.35">
      <c r="F10898"/>
    </row>
    <row r="10899" spans="6:6" x14ac:dyDescent="0.35">
      <c r="F10899"/>
    </row>
    <row r="10900" spans="6:6" x14ac:dyDescent="0.35">
      <c r="F10900"/>
    </row>
    <row r="10901" spans="6:6" x14ac:dyDescent="0.35">
      <c r="F10901"/>
    </row>
    <row r="10902" spans="6:6" x14ac:dyDescent="0.35">
      <c r="F10902"/>
    </row>
    <row r="10903" spans="6:6" x14ac:dyDescent="0.35">
      <c r="F10903"/>
    </row>
    <row r="10904" spans="6:6" x14ac:dyDescent="0.35">
      <c r="F10904"/>
    </row>
    <row r="10905" spans="6:6" x14ac:dyDescent="0.35">
      <c r="F10905"/>
    </row>
    <row r="10906" spans="6:6" x14ac:dyDescent="0.35">
      <c r="F10906"/>
    </row>
    <row r="10907" spans="6:6" x14ac:dyDescent="0.35">
      <c r="F10907"/>
    </row>
    <row r="10908" spans="6:6" x14ac:dyDescent="0.35">
      <c r="F10908"/>
    </row>
    <row r="10909" spans="6:6" x14ac:dyDescent="0.35">
      <c r="F10909"/>
    </row>
    <row r="10910" spans="6:6" x14ac:dyDescent="0.35">
      <c r="F10910"/>
    </row>
    <row r="10911" spans="6:6" x14ac:dyDescent="0.35">
      <c r="F10911"/>
    </row>
    <row r="10912" spans="6:6" x14ac:dyDescent="0.35">
      <c r="F10912"/>
    </row>
    <row r="10913" spans="6:6" x14ac:dyDescent="0.35">
      <c r="F10913"/>
    </row>
    <row r="10914" spans="6:6" x14ac:dyDescent="0.35">
      <c r="F10914"/>
    </row>
    <row r="10915" spans="6:6" x14ac:dyDescent="0.35">
      <c r="F10915"/>
    </row>
    <row r="10916" spans="6:6" x14ac:dyDescent="0.35">
      <c r="F10916"/>
    </row>
    <row r="10917" spans="6:6" x14ac:dyDescent="0.35">
      <c r="F10917"/>
    </row>
    <row r="10918" spans="6:6" x14ac:dyDescent="0.35">
      <c r="F10918"/>
    </row>
    <row r="10919" spans="6:6" x14ac:dyDescent="0.35">
      <c r="F10919"/>
    </row>
    <row r="10920" spans="6:6" x14ac:dyDescent="0.35">
      <c r="F10920"/>
    </row>
    <row r="10921" spans="6:6" x14ac:dyDescent="0.35">
      <c r="F10921"/>
    </row>
    <row r="10922" spans="6:6" x14ac:dyDescent="0.35">
      <c r="F10922"/>
    </row>
    <row r="10923" spans="6:6" x14ac:dyDescent="0.35">
      <c r="F10923"/>
    </row>
    <row r="10924" spans="6:6" x14ac:dyDescent="0.35">
      <c r="F10924"/>
    </row>
    <row r="10925" spans="6:6" x14ac:dyDescent="0.35">
      <c r="F10925"/>
    </row>
    <row r="10926" spans="6:6" x14ac:dyDescent="0.35">
      <c r="F10926"/>
    </row>
    <row r="10927" spans="6:6" x14ac:dyDescent="0.35">
      <c r="F10927"/>
    </row>
    <row r="10928" spans="6:6" x14ac:dyDescent="0.35">
      <c r="F10928"/>
    </row>
    <row r="10929" spans="6:6" x14ac:dyDescent="0.35">
      <c r="F10929"/>
    </row>
    <row r="10930" spans="6:6" x14ac:dyDescent="0.35">
      <c r="F10930"/>
    </row>
    <row r="10931" spans="6:6" x14ac:dyDescent="0.35">
      <c r="F10931"/>
    </row>
    <row r="10932" spans="6:6" x14ac:dyDescent="0.35">
      <c r="F10932"/>
    </row>
    <row r="10933" spans="6:6" x14ac:dyDescent="0.35">
      <c r="F10933"/>
    </row>
    <row r="10934" spans="6:6" x14ac:dyDescent="0.35">
      <c r="F10934"/>
    </row>
    <row r="10935" spans="6:6" x14ac:dyDescent="0.35">
      <c r="F10935"/>
    </row>
    <row r="10936" spans="6:6" x14ac:dyDescent="0.35">
      <c r="F10936"/>
    </row>
    <row r="10937" spans="6:6" x14ac:dyDescent="0.35">
      <c r="F10937"/>
    </row>
    <row r="10938" spans="6:6" x14ac:dyDescent="0.35">
      <c r="F10938"/>
    </row>
    <row r="10939" spans="6:6" x14ac:dyDescent="0.35">
      <c r="F10939"/>
    </row>
    <row r="10940" spans="6:6" x14ac:dyDescent="0.35">
      <c r="F10940"/>
    </row>
    <row r="10941" spans="6:6" x14ac:dyDescent="0.35">
      <c r="F10941"/>
    </row>
    <row r="10942" spans="6:6" x14ac:dyDescent="0.35">
      <c r="F10942"/>
    </row>
    <row r="10943" spans="6:6" x14ac:dyDescent="0.35">
      <c r="F10943"/>
    </row>
    <row r="10944" spans="6:6" x14ac:dyDescent="0.35">
      <c r="F10944"/>
    </row>
    <row r="10945" spans="6:6" x14ac:dyDescent="0.35">
      <c r="F10945"/>
    </row>
    <row r="10946" spans="6:6" x14ac:dyDescent="0.35">
      <c r="F10946"/>
    </row>
    <row r="10947" spans="6:6" x14ac:dyDescent="0.35">
      <c r="F10947"/>
    </row>
    <row r="10948" spans="6:6" x14ac:dyDescent="0.35">
      <c r="F10948"/>
    </row>
    <row r="10949" spans="6:6" x14ac:dyDescent="0.35">
      <c r="F10949"/>
    </row>
    <row r="10950" spans="6:6" x14ac:dyDescent="0.35">
      <c r="F10950"/>
    </row>
    <row r="10951" spans="6:6" x14ac:dyDescent="0.35">
      <c r="F10951"/>
    </row>
    <row r="10952" spans="6:6" x14ac:dyDescent="0.35">
      <c r="F10952"/>
    </row>
    <row r="10953" spans="6:6" x14ac:dyDescent="0.35">
      <c r="F10953"/>
    </row>
    <row r="10954" spans="6:6" x14ac:dyDescent="0.35">
      <c r="F10954"/>
    </row>
    <row r="10955" spans="6:6" x14ac:dyDescent="0.35">
      <c r="F10955"/>
    </row>
    <row r="10956" spans="6:6" x14ac:dyDescent="0.35">
      <c r="F10956"/>
    </row>
    <row r="10957" spans="6:6" x14ac:dyDescent="0.35">
      <c r="F10957"/>
    </row>
    <row r="10958" spans="6:6" x14ac:dyDescent="0.35">
      <c r="F10958"/>
    </row>
    <row r="10959" spans="6:6" x14ac:dyDescent="0.35">
      <c r="F10959"/>
    </row>
    <row r="10960" spans="6:6" x14ac:dyDescent="0.35">
      <c r="F10960"/>
    </row>
    <row r="10961" spans="6:6" x14ac:dyDescent="0.35">
      <c r="F10961"/>
    </row>
    <row r="10962" spans="6:6" x14ac:dyDescent="0.35">
      <c r="F10962"/>
    </row>
    <row r="10963" spans="6:6" x14ac:dyDescent="0.35">
      <c r="F10963"/>
    </row>
    <row r="10964" spans="6:6" x14ac:dyDescent="0.35">
      <c r="F10964"/>
    </row>
    <row r="10965" spans="6:6" x14ac:dyDescent="0.35">
      <c r="F10965"/>
    </row>
    <row r="10966" spans="6:6" x14ac:dyDescent="0.35">
      <c r="F10966"/>
    </row>
    <row r="10967" spans="6:6" x14ac:dyDescent="0.35">
      <c r="F10967"/>
    </row>
    <row r="10968" spans="6:6" x14ac:dyDescent="0.35">
      <c r="F10968"/>
    </row>
    <row r="10969" spans="6:6" x14ac:dyDescent="0.35">
      <c r="F10969"/>
    </row>
    <row r="10970" spans="6:6" x14ac:dyDescent="0.35">
      <c r="F10970"/>
    </row>
    <row r="10971" spans="6:6" x14ac:dyDescent="0.35">
      <c r="F10971"/>
    </row>
    <row r="10972" spans="6:6" x14ac:dyDescent="0.35">
      <c r="F10972"/>
    </row>
    <row r="10973" spans="6:6" x14ac:dyDescent="0.35">
      <c r="F10973"/>
    </row>
    <row r="10974" spans="6:6" x14ac:dyDescent="0.35">
      <c r="F10974"/>
    </row>
    <row r="10975" spans="6:6" x14ac:dyDescent="0.35">
      <c r="F10975"/>
    </row>
    <row r="10976" spans="6:6" x14ac:dyDescent="0.35">
      <c r="F10976"/>
    </row>
    <row r="10977" spans="6:6" x14ac:dyDescent="0.35">
      <c r="F10977"/>
    </row>
    <row r="10978" spans="6:6" x14ac:dyDescent="0.35">
      <c r="F10978"/>
    </row>
    <row r="10979" spans="6:6" x14ac:dyDescent="0.35">
      <c r="F10979"/>
    </row>
    <row r="10980" spans="6:6" x14ac:dyDescent="0.35">
      <c r="F10980"/>
    </row>
    <row r="10981" spans="6:6" x14ac:dyDescent="0.35">
      <c r="F10981"/>
    </row>
    <row r="10982" spans="6:6" x14ac:dyDescent="0.35">
      <c r="F10982"/>
    </row>
    <row r="10983" spans="6:6" x14ac:dyDescent="0.35">
      <c r="F10983"/>
    </row>
    <row r="10984" spans="6:6" x14ac:dyDescent="0.35">
      <c r="F10984"/>
    </row>
    <row r="10985" spans="6:6" x14ac:dyDescent="0.35">
      <c r="F10985"/>
    </row>
    <row r="10986" spans="6:6" x14ac:dyDescent="0.35">
      <c r="F10986"/>
    </row>
    <row r="10987" spans="6:6" x14ac:dyDescent="0.35">
      <c r="F10987"/>
    </row>
    <row r="10988" spans="6:6" x14ac:dyDescent="0.35">
      <c r="F10988"/>
    </row>
    <row r="10989" spans="6:6" x14ac:dyDescent="0.35">
      <c r="F10989"/>
    </row>
    <row r="10990" spans="6:6" x14ac:dyDescent="0.35">
      <c r="F10990"/>
    </row>
    <row r="10991" spans="6:6" x14ac:dyDescent="0.35">
      <c r="F10991"/>
    </row>
    <row r="10992" spans="6:6" x14ac:dyDescent="0.35">
      <c r="F10992"/>
    </row>
    <row r="10993" spans="6:6" x14ac:dyDescent="0.35">
      <c r="F10993"/>
    </row>
    <row r="10994" spans="6:6" x14ac:dyDescent="0.35">
      <c r="F10994"/>
    </row>
    <row r="10995" spans="6:6" x14ac:dyDescent="0.35">
      <c r="F10995"/>
    </row>
    <row r="10996" spans="6:6" x14ac:dyDescent="0.35">
      <c r="F10996"/>
    </row>
    <row r="10997" spans="6:6" x14ac:dyDescent="0.35">
      <c r="F10997"/>
    </row>
    <row r="10998" spans="6:6" x14ac:dyDescent="0.35">
      <c r="F10998"/>
    </row>
    <row r="10999" spans="6:6" x14ac:dyDescent="0.35">
      <c r="F10999"/>
    </row>
    <row r="11000" spans="6:6" x14ac:dyDescent="0.35">
      <c r="F11000"/>
    </row>
    <row r="11001" spans="6:6" x14ac:dyDescent="0.35">
      <c r="F11001"/>
    </row>
    <row r="11002" spans="6:6" x14ac:dyDescent="0.35">
      <c r="F11002"/>
    </row>
    <row r="11003" spans="6:6" x14ac:dyDescent="0.35">
      <c r="F11003"/>
    </row>
    <row r="11004" spans="6:6" x14ac:dyDescent="0.35">
      <c r="F11004"/>
    </row>
    <row r="11005" spans="6:6" x14ac:dyDescent="0.35">
      <c r="F11005"/>
    </row>
    <row r="11006" spans="6:6" x14ac:dyDescent="0.35">
      <c r="F11006"/>
    </row>
    <row r="11007" spans="6:6" x14ac:dyDescent="0.35">
      <c r="F11007"/>
    </row>
    <row r="11008" spans="6:6" x14ac:dyDescent="0.35">
      <c r="F11008"/>
    </row>
    <row r="11009" spans="6:6" x14ac:dyDescent="0.35">
      <c r="F11009"/>
    </row>
    <row r="11010" spans="6:6" x14ac:dyDescent="0.35">
      <c r="F11010"/>
    </row>
    <row r="11011" spans="6:6" x14ac:dyDescent="0.35">
      <c r="F11011"/>
    </row>
    <row r="11012" spans="6:6" x14ac:dyDescent="0.35">
      <c r="F11012"/>
    </row>
    <row r="11013" spans="6:6" x14ac:dyDescent="0.35">
      <c r="F11013"/>
    </row>
    <row r="11014" spans="6:6" x14ac:dyDescent="0.35">
      <c r="F11014"/>
    </row>
    <row r="11015" spans="6:6" x14ac:dyDescent="0.35">
      <c r="F11015"/>
    </row>
    <row r="11016" spans="6:6" x14ac:dyDescent="0.35">
      <c r="F11016"/>
    </row>
    <row r="11017" spans="6:6" x14ac:dyDescent="0.35">
      <c r="F11017"/>
    </row>
    <row r="11018" spans="6:6" x14ac:dyDescent="0.35">
      <c r="F11018"/>
    </row>
    <row r="11019" spans="6:6" x14ac:dyDescent="0.35">
      <c r="F11019"/>
    </row>
    <row r="11020" spans="6:6" x14ac:dyDescent="0.35">
      <c r="F11020"/>
    </row>
    <row r="11021" spans="6:6" x14ac:dyDescent="0.35">
      <c r="F11021"/>
    </row>
    <row r="11022" spans="6:6" x14ac:dyDescent="0.35">
      <c r="F11022"/>
    </row>
    <row r="11023" spans="6:6" x14ac:dyDescent="0.35">
      <c r="F11023"/>
    </row>
    <row r="11024" spans="6:6" x14ac:dyDescent="0.35">
      <c r="F11024"/>
    </row>
    <row r="11025" spans="6:6" x14ac:dyDescent="0.35">
      <c r="F11025"/>
    </row>
    <row r="11026" spans="6:6" x14ac:dyDescent="0.35">
      <c r="F11026"/>
    </row>
    <row r="11027" spans="6:6" x14ac:dyDescent="0.35">
      <c r="F11027"/>
    </row>
    <row r="11028" spans="6:6" x14ac:dyDescent="0.35">
      <c r="F11028"/>
    </row>
    <row r="11029" spans="6:6" x14ac:dyDescent="0.35">
      <c r="F11029"/>
    </row>
    <row r="11030" spans="6:6" x14ac:dyDescent="0.35">
      <c r="F11030"/>
    </row>
    <row r="11031" spans="6:6" x14ac:dyDescent="0.35">
      <c r="F11031"/>
    </row>
    <row r="11032" spans="6:6" x14ac:dyDescent="0.35">
      <c r="F11032"/>
    </row>
    <row r="11033" spans="6:6" x14ac:dyDescent="0.35">
      <c r="F11033"/>
    </row>
    <row r="11034" spans="6:6" x14ac:dyDescent="0.35">
      <c r="F11034"/>
    </row>
    <row r="11035" spans="6:6" x14ac:dyDescent="0.35">
      <c r="F11035"/>
    </row>
    <row r="11036" spans="6:6" x14ac:dyDescent="0.35">
      <c r="F11036"/>
    </row>
    <row r="11037" spans="6:6" x14ac:dyDescent="0.35">
      <c r="F11037"/>
    </row>
    <row r="11038" spans="6:6" x14ac:dyDescent="0.35">
      <c r="F11038"/>
    </row>
    <row r="11039" spans="6:6" x14ac:dyDescent="0.35">
      <c r="F11039"/>
    </row>
    <row r="11040" spans="6:6" x14ac:dyDescent="0.35">
      <c r="F11040"/>
    </row>
    <row r="11041" spans="6:6" x14ac:dyDescent="0.35">
      <c r="F11041"/>
    </row>
    <row r="11042" spans="6:6" x14ac:dyDescent="0.35">
      <c r="F11042"/>
    </row>
    <row r="11043" spans="6:6" x14ac:dyDescent="0.35">
      <c r="F11043"/>
    </row>
    <row r="11044" spans="6:6" x14ac:dyDescent="0.35">
      <c r="F11044"/>
    </row>
    <row r="11045" spans="6:6" x14ac:dyDescent="0.35">
      <c r="F11045"/>
    </row>
    <row r="11046" spans="6:6" x14ac:dyDescent="0.35">
      <c r="F11046"/>
    </row>
    <row r="11047" spans="6:6" x14ac:dyDescent="0.35">
      <c r="F11047"/>
    </row>
    <row r="11048" spans="6:6" x14ac:dyDescent="0.35">
      <c r="F11048"/>
    </row>
    <row r="11049" spans="6:6" x14ac:dyDescent="0.35">
      <c r="F11049"/>
    </row>
    <row r="11050" spans="6:6" x14ac:dyDescent="0.35">
      <c r="F11050"/>
    </row>
    <row r="11051" spans="6:6" x14ac:dyDescent="0.35">
      <c r="F11051"/>
    </row>
    <row r="11052" spans="6:6" x14ac:dyDescent="0.35">
      <c r="F11052"/>
    </row>
    <row r="11053" spans="6:6" x14ac:dyDescent="0.35">
      <c r="F11053"/>
    </row>
    <row r="11054" spans="6:6" x14ac:dyDescent="0.35">
      <c r="F11054"/>
    </row>
    <row r="11055" spans="6:6" x14ac:dyDescent="0.35">
      <c r="F11055"/>
    </row>
    <row r="11056" spans="6:6" x14ac:dyDescent="0.35">
      <c r="F11056"/>
    </row>
    <row r="11057" spans="6:6" x14ac:dyDescent="0.35">
      <c r="F11057"/>
    </row>
    <row r="11058" spans="6:6" x14ac:dyDescent="0.35">
      <c r="F11058"/>
    </row>
    <row r="11059" spans="6:6" x14ac:dyDescent="0.35">
      <c r="F11059"/>
    </row>
    <row r="11060" spans="6:6" x14ac:dyDescent="0.35">
      <c r="F11060"/>
    </row>
    <row r="11061" spans="6:6" x14ac:dyDescent="0.35">
      <c r="F11061"/>
    </row>
    <row r="11062" spans="6:6" x14ac:dyDescent="0.35">
      <c r="F11062"/>
    </row>
    <row r="11063" spans="6:6" x14ac:dyDescent="0.35">
      <c r="F11063"/>
    </row>
    <row r="11064" spans="6:6" x14ac:dyDescent="0.35">
      <c r="F11064"/>
    </row>
    <row r="11065" spans="6:6" x14ac:dyDescent="0.35">
      <c r="F11065"/>
    </row>
    <row r="11066" spans="6:6" x14ac:dyDescent="0.35">
      <c r="F11066"/>
    </row>
    <row r="11067" spans="6:6" x14ac:dyDescent="0.35">
      <c r="F11067"/>
    </row>
    <row r="11068" spans="6:6" x14ac:dyDescent="0.35">
      <c r="F11068"/>
    </row>
    <row r="11069" spans="6:6" x14ac:dyDescent="0.35">
      <c r="F11069"/>
    </row>
    <row r="11070" spans="6:6" x14ac:dyDescent="0.35">
      <c r="F11070"/>
    </row>
    <row r="11071" spans="6:6" x14ac:dyDescent="0.35">
      <c r="F11071"/>
    </row>
    <row r="11072" spans="6:6" x14ac:dyDescent="0.35">
      <c r="F11072"/>
    </row>
    <row r="11073" spans="6:6" x14ac:dyDescent="0.35">
      <c r="F11073"/>
    </row>
    <row r="11074" spans="6:6" x14ac:dyDescent="0.35">
      <c r="F11074"/>
    </row>
    <row r="11075" spans="6:6" x14ac:dyDescent="0.35">
      <c r="F11075"/>
    </row>
    <row r="11076" spans="6:6" x14ac:dyDescent="0.35">
      <c r="F11076"/>
    </row>
    <row r="11077" spans="6:6" x14ac:dyDescent="0.35">
      <c r="F11077"/>
    </row>
    <row r="11078" spans="6:6" x14ac:dyDescent="0.35">
      <c r="F11078"/>
    </row>
    <row r="11079" spans="6:6" x14ac:dyDescent="0.35">
      <c r="F11079"/>
    </row>
    <row r="11080" spans="6:6" x14ac:dyDescent="0.35">
      <c r="F11080"/>
    </row>
    <row r="11081" spans="6:6" x14ac:dyDescent="0.35">
      <c r="F11081"/>
    </row>
    <row r="11082" spans="6:6" x14ac:dyDescent="0.35">
      <c r="F11082"/>
    </row>
    <row r="11083" spans="6:6" x14ac:dyDescent="0.35">
      <c r="F11083"/>
    </row>
    <row r="11084" spans="6:6" x14ac:dyDescent="0.35">
      <c r="F11084"/>
    </row>
    <row r="11085" spans="6:6" x14ac:dyDescent="0.35">
      <c r="F11085"/>
    </row>
    <row r="11086" spans="6:6" x14ac:dyDescent="0.35">
      <c r="F11086"/>
    </row>
    <row r="11087" spans="6:6" x14ac:dyDescent="0.35">
      <c r="F11087"/>
    </row>
    <row r="11088" spans="6:6" x14ac:dyDescent="0.35">
      <c r="F11088"/>
    </row>
    <row r="11089" spans="6:6" x14ac:dyDescent="0.35">
      <c r="F11089"/>
    </row>
    <row r="11090" spans="6:6" x14ac:dyDescent="0.35">
      <c r="F11090"/>
    </row>
    <row r="11091" spans="6:6" x14ac:dyDescent="0.35">
      <c r="F11091"/>
    </row>
    <row r="11092" spans="6:6" x14ac:dyDescent="0.35">
      <c r="F11092"/>
    </row>
    <row r="11093" spans="6:6" x14ac:dyDescent="0.35">
      <c r="F11093"/>
    </row>
    <row r="11094" spans="6:6" x14ac:dyDescent="0.35">
      <c r="F11094"/>
    </row>
    <row r="11095" spans="6:6" x14ac:dyDescent="0.35">
      <c r="F11095"/>
    </row>
    <row r="11096" spans="6:6" x14ac:dyDescent="0.35">
      <c r="F11096"/>
    </row>
    <row r="11097" spans="6:6" x14ac:dyDescent="0.35">
      <c r="F11097"/>
    </row>
    <row r="11098" spans="6:6" x14ac:dyDescent="0.35">
      <c r="F11098"/>
    </row>
    <row r="11099" spans="6:6" x14ac:dyDescent="0.35">
      <c r="F11099"/>
    </row>
    <row r="11100" spans="6:6" x14ac:dyDescent="0.35">
      <c r="F11100"/>
    </row>
    <row r="11101" spans="6:6" x14ac:dyDescent="0.35">
      <c r="F11101"/>
    </row>
    <row r="11102" spans="6:6" x14ac:dyDescent="0.35">
      <c r="F11102"/>
    </row>
    <row r="11103" spans="6:6" x14ac:dyDescent="0.35">
      <c r="F11103"/>
    </row>
    <row r="11104" spans="6:6" x14ac:dyDescent="0.35">
      <c r="F11104"/>
    </row>
    <row r="11105" spans="6:6" x14ac:dyDescent="0.35">
      <c r="F11105"/>
    </row>
    <row r="11106" spans="6:6" x14ac:dyDescent="0.35">
      <c r="F11106"/>
    </row>
    <row r="11107" spans="6:6" x14ac:dyDescent="0.35">
      <c r="F11107"/>
    </row>
    <row r="11108" spans="6:6" x14ac:dyDescent="0.35">
      <c r="F11108"/>
    </row>
    <row r="11109" spans="6:6" x14ac:dyDescent="0.35">
      <c r="F11109"/>
    </row>
    <row r="11110" spans="6:6" x14ac:dyDescent="0.35">
      <c r="F11110"/>
    </row>
    <row r="11111" spans="6:6" x14ac:dyDescent="0.35">
      <c r="F11111"/>
    </row>
    <row r="11112" spans="6:6" x14ac:dyDescent="0.35">
      <c r="F11112"/>
    </row>
    <row r="11113" spans="6:6" x14ac:dyDescent="0.35">
      <c r="F11113"/>
    </row>
    <row r="11114" spans="6:6" x14ac:dyDescent="0.35">
      <c r="F11114"/>
    </row>
    <row r="11115" spans="6:6" x14ac:dyDescent="0.35">
      <c r="F11115"/>
    </row>
    <row r="11116" spans="6:6" x14ac:dyDescent="0.35">
      <c r="F11116"/>
    </row>
    <row r="11117" spans="6:6" x14ac:dyDescent="0.35">
      <c r="F11117"/>
    </row>
    <row r="11118" spans="6:6" x14ac:dyDescent="0.35">
      <c r="F11118"/>
    </row>
    <row r="11119" spans="6:6" x14ac:dyDescent="0.35">
      <c r="F11119"/>
    </row>
    <row r="11120" spans="6:6" x14ac:dyDescent="0.35">
      <c r="F11120"/>
    </row>
    <row r="11121" spans="6:6" x14ac:dyDescent="0.35">
      <c r="F11121"/>
    </row>
    <row r="11122" spans="6:6" x14ac:dyDescent="0.35">
      <c r="F11122"/>
    </row>
    <row r="11123" spans="6:6" x14ac:dyDescent="0.35">
      <c r="F11123"/>
    </row>
    <row r="11124" spans="6:6" x14ac:dyDescent="0.35">
      <c r="F11124"/>
    </row>
    <row r="11125" spans="6:6" x14ac:dyDescent="0.35">
      <c r="F11125"/>
    </row>
    <row r="11126" spans="6:6" x14ac:dyDescent="0.35">
      <c r="F11126"/>
    </row>
    <row r="11127" spans="6:6" x14ac:dyDescent="0.35">
      <c r="F11127"/>
    </row>
    <row r="11128" spans="6:6" x14ac:dyDescent="0.35">
      <c r="F11128"/>
    </row>
    <row r="11129" spans="6:6" x14ac:dyDescent="0.35">
      <c r="F11129"/>
    </row>
    <row r="11130" spans="6:6" x14ac:dyDescent="0.35">
      <c r="F11130"/>
    </row>
    <row r="11131" spans="6:6" x14ac:dyDescent="0.35">
      <c r="F11131"/>
    </row>
    <row r="11132" spans="6:6" x14ac:dyDescent="0.35">
      <c r="F11132"/>
    </row>
    <row r="11133" spans="6:6" x14ac:dyDescent="0.35">
      <c r="F11133"/>
    </row>
    <row r="11134" spans="6:6" x14ac:dyDescent="0.35">
      <c r="F11134"/>
    </row>
    <row r="11135" spans="6:6" x14ac:dyDescent="0.35">
      <c r="F11135"/>
    </row>
    <row r="11136" spans="6:6" x14ac:dyDescent="0.35">
      <c r="F11136"/>
    </row>
    <row r="11137" spans="6:6" x14ac:dyDescent="0.35">
      <c r="F11137"/>
    </row>
    <row r="11138" spans="6:6" x14ac:dyDescent="0.35">
      <c r="F11138"/>
    </row>
    <row r="11139" spans="6:6" x14ac:dyDescent="0.35">
      <c r="F11139"/>
    </row>
    <row r="11140" spans="6:6" x14ac:dyDescent="0.35">
      <c r="F11140"/>
    </row>
    <row r="11141" spans="6:6" x14ac:dyDescent="0.35">
      <c r="F11141"/>
    </row>
    <row r="11142" spans="6:6" x14ac:dyDescent="0.35">
      <c r="F11142"/>
    </row>
    <row r="11143" spans="6:6" x14ac:dyDescent="0.35">
      <c r="F11143"/>
    </row>
    <row r="11144" spans="6:6" x14ac:dyDescent="0.35">
      <c r="F11144"/>
    </row>
    <row r="11145" spans="6:6" x14ac:dyDescent="0.35">
      <c r="F11145"/>
    </row>
    <row r="11146" spans="6:6" x14ac:dyDescent="0.35">
      <c r="F11146"/>
    </row>
    <row r="11147" spans="6:6" x14ac:dyDescent="0.35">
      <c r="F11147"/>
    </row>
    <row r="11148" spans="6:6" x14ac:dyDescent="0.35">
      <c r="F11148"/>
    </row>
    <row r="11149" spans="6:6" x14ac:dyDescent="0.35">
      <c r="F11149"/>
    </row>
    <row r="11150" spans="6:6" x14ac:dyDescent="0.35">
      <c r="F11150"/>
    </row>
    <row r="11151" spans="6:6" x14ac:dyDescent="0.35">
      <c r="F11151"/>
    </row>
    <row r="11152" spans="6:6" x14ac:dyDescent="0.35">
      <c r="F11152"/>
    </row>
    <row r="11153" spans="6:6" x14ac:dyDescent="0.35">
      <c r="F11153"/>
    </row>
    <row r="11154" spans="6:6" x14ac:dyDescent="0.35">
      <c r="F11154"/>
    </row>
    <row r="11155" spans="6:6" x14ac:dyDescent="0.35">
      <c r="F11155"/>
    </row>
    <row r="11156" spans="6:6" x14ac:dyDescent="0.35">
      <c r="F11156"/>
    </row>
    <row r="11157" spans="6:6" x14ac:dyDescent="0.35">
      <c r="F11157"/>
    </row>
    <row r="11158" spans="6:6" x14ac:dyDescent="0.35">
      <c r="F11158"/>
    </row>
    <row r="11159" spans="6:6" x14ac:dyDescent="0.35">
      <c r="F11159"/>
    </row>
    <row r="11160" spans="6:6" x14ac:dyDescent="0.35">
      <c r="F11160"/>
    </row>
    <row r="11161" spans="6:6" x14ac:dyDescent="0.35">
      <c r="F11161"/>
    </row>
    <row r="11162" spans="6:6" x14ac:dyDescent="0.35">
      <c r="F11162"/>
    </row>
    <row r="11163" spans="6:6" x14ac:dyDescent="0.35">
      <c r="F11163"/>
    </row>
    <row r="11164" spans="6:6" x14ac:dyDescent="0.35">
      <c r="F11164"/>
    </row>
    <row r="11165" spans="6:6" x14ac:dyDescent="0.35">
      <c r="F11165"/>
    </row>
    <row r="11166" spans="6:6" x14ac:dyDescent="0.35">
      <c r="F11166"/>
    </row>
    <row r="11167" spans="6:6" x14ac:dyDescent="0.35">
      <c r="F11167"/>
    </row>
    <row r="11168" spans="6:6" x14ac:dyDescent="0.35">
      <c r="F11168"/>
    </row>
    <row r="11169" spans="6:6" x14ac:dyDescent="0.35">
      <c r="F11169"/>
    </row>
    <row r="11170" spans="6:6" x14ac:dyDescent="0.35">
      <c r="F11170"/>
    </row>
    <row r="11171" spans="6:6" x14ac:dyDescent="0.35">
      <c r="F11171"/>
    </row>
    <row r="11172" spans="6:6" x14ac:dyDescent="0.35">
      <c r="F11172"/>
    </row>
    <row r="11173" spans="6:6" x14ac:dyDescent="0.35">
      <c r="F11173"/>
    </row>
    <row r="11174" spans="6:6" x14ac:dyDescent="0.35">
      <c r="F11174"/>
    </row>
    <row r="11175" spans="6:6" x14ac:dyDescent="0.35">
      <c r="F11175"/>
    </row>
    <row r="11176" spans="6:6" x14ac:dyDescent="0.35">
      <c r="F11176"/>
    </row>
    <row r="11177" spans="6:6" x14ac:dyDescent="0.35">
      <c r="F11177"/>
    </row>
    <row r="11178" spans="6:6" x14ac:dyDescent="0.35">
      <c r="F11178"/>
    </row>
    <row r="11179" spans="6:6" x14ac:dyDescent="0.35">
      <c r="F11179"/>
    </row>
    <row r="11180" spans="6:6" x14ac:dyDescent="0.35">
      <c r="F11180"/>
    </row>
    <row r="11181" spans="6:6" x14ac:dyDescent="0.35">
      <c r="F11181"/>
    </row>
    <row r="11182" spans="6:6" x14ac:dyDescent="0.35">
      <c r="F11182"/>
    </row>
    <row r="11183" spans="6:6" x14ac:dyDescent="0.35">
      <c r="F11183"/>
    </row>
    <row r="11184" spans="6:6" x14ac:dyDescent="0.35">
      <c r="F11184"/>
    </row>
    <row r="11185" spans="6:6" x14ac:dyDescent="0.35">
      <c r="F11185"/>
    </row>
    <row r="11186" spans="6:6" x14ac:dyDescent="0.35">
      <c r="F11186"/>
    </row>
    <row r="11187" spans="6:6" x14ac:dyDescent="0.35">
      <c r="F11187"/>
    </row>
    <row r="11188" spans="6:6" x14ac:dyDescent="0.35">
      <c r="F11188"/>
    </row>
    <row r="11189" spans="6:6" x14ac:dyDescent="0.35">
      <c r="F11189"/>
    </row>
    <row r="11190" spans="6:6" x14ac:dyDescent="0.35">
      <c r="F11190"/>
    </row>
    <row r="11191" spans="6:6" x14ac:dyDescent="0.35">
      <c r="F11191"/>
    </row>
    <row r="11192" spans="6:6" x14ac:dyDescent="0.35">
      <c r="F11192"/>
    </row>
    <row r="11193" spans="6:6" x14ac:dyDescent="0.35">
      <c r="F11193"/>
    </row>
    <row r="11194" spans="6:6" x14ac:dyDescent="0.35">
      <c r="F11194"/>
    </row>
    <row r="11195" spans="6:6" x14ac:dyDescent="0.35">
      <c r="F11195"/>
    </row>
    <row r="11196" spans="6:6" x14ac:dyDescent="0.35">
      <c r="F11196"/>
    </row>
    <row r="11197" spans="6:6" x14ac:dyDescent="0.35">
      <c r="F11197"/>
    </row>
    <row r="11198" spans="6:6" x14ac:dyDescent="0.35">
      <c r="F11198"/>
    </row>
    <row r="11199" spans="6:6" x14ac:dyDescent="0.35">
      <c r="F11199"/>
    </row>
    <row r="11200" spans="6:6" x14ac:dyDescent="0.35">
      <c r="F11200"/>
    </row>
    <row r="11201" spans="6:6" x14ac:dyDescent="0.35">
      <c r="F11201"/>
    </row>
    <row r="11202" spans="6:6" x14ac:dyDescent="0.35">
      <c r="F11202"/>
    </row>
    <row r="11203" spans="6:6" x14ac:dyDescent="0.35">
      <c r="F11203"/>
    </row>
    <row r="11204" spans="6:6" x14ac:dyDescent="0.35">
      <c r="F11204"/>
    </row>
    <row r="11205" spans="6:6" x14ac:dyDescent="0.35">
      <c r="F11205"/>
    </row>
    <row r="11206" spans="6:6" x14ac:dyDescent="0.35">
      <c r="F11206"/>
    </row>
    <row r="11207" spans="6:6" x14ac:dyDescent="0.35">
      <c r="F11207"/>
    </row>
    <row r="11208" spans="6:6" x14ac:dyDescent="0.35">
      <c r="F11208"/>
    </row>
    <row r="11209" spans="6:6" x14ac:dyDescent="0.35">
      <c r="F11209"/>
    </row>
    <row r="11210" spans="6:6" x14ac:dyDescent="0.35">
      <c r="F11210"/>
    </row>
    <row r="11211" spans="6:6" x14ac:dyDescent="0.35">
      <c r="F11211"/>
    </row>
    <row r="11212" spans="6:6" x14ac:dyDescent="0.35">
      <c r="F11212"/>
    </row>
    <row r="11213" spans="6:6" x14ac:dyDescent="0.35">
      <c r="F11213"/>
    </row>
    <row r="11214" spans="6:6" x14ac:dyDescent="0.35">
      <c r="F11214"/>
    </row>
    <row r="11215" spans="6:6" x14ac:dyDescent="0.35">
      <c r="F11215"/>
    </row>
    <row r="11216" spans="6:6" x14ac:dyDescent="0.35">
      <c r="F11216"/>
    </row>
    <row r="11217" spans="6:6" x14ac:dyDescent="0.35">
      <c r="F11217"/>
    </row>
    <row r="11218" spans="6:6" x14ac:dyDescent="0.35">
      <c r="F11218"/>
    </row>
    <row r="11219" spans="6:6" x14ac:dyDescent="0.35">
      <c r="F11219"/>
    </row>
    <row r="11220" spans="6:6" x14ac:dyDescent="0.35">
      <c r="F11220"/>
    </row>
    <row r="11221" spans="6:6" x14ac:dyDescent="0.35">
      <c r="F11221"/>
    </row>
    <row r="11222" spans="6:6" x14ac:dyDescent="0.35">
      <c r="F11222"/>
    </row>
    <row r="11223" spans="6:6" x14ac:dyDescent="0.35">
      <c r="F11223"/>
    </row>
    <row r="11224" spans="6:6" x14ac:dyDescent="0.35">
      <c r="F11224"/>
    </row>
    <row r="11225" spans="6:6" x14ac:dyDescent="0.35">
      <c r="F11225"/>
    </row>
    <row r="11226" spans="6:6" x14ac:dyDescent="0.35">
      <c r="F11226"/>
    </row>
    <row r="11227" spans="6:6" x14ac:dyDescent="0.35">
      <c r="F11227"/>
    </row>
    <row r="11228" spans="6:6" x14ac:dyDescent="0.35">
      <c r="F11228"/>
    </row>
    <row r="11229" spans="6:6" x14ac:dyDescent="0.35">
      <c r="F11229"/>
    </row>
    <row r="11230" spans="6:6" x14ac:dyDescent="0.35">
      <c r="F11230"/>
    </row>
    <row r="11231" spans="6:6" x14ac:dyDescent="0.35">
      <c r="F11231"/>
    </row>
    <row r="11232" spans="6:6" x14ac:dyDescent="0.35">
      <c r="F11232"/>
    </row>
    <row r="11233" spans="6:6" x14ac:dyDescent="0.35">
      <c r="F11233"/>
    </row>
    <row r="11234" spans="6:6" x14ac:dyDescent="0.35">
      <c r="F11234"/>
    </row>
    <row r="11235" spans="6:6" x14ac:dyDescent="0.35">
      <c r="F11235"/>
    </row>
    <row r="11236" spans="6:6" x14ac:dyDescent="0.35">
      <c r="F11236"/>
    </row>
    <row r="11237" spans="6:6" x14ac:dyDescent="0.35">
      <c r="F11237"/>
    </row>
    <row r="11238" spans="6:6" x14ac:dyDescent="0.35">
      <c r="F11238"/>
    </row>
    <row r="11239" spans="6:6" x14ac:dyDescent="0.35">
      <c r="F11239"/>
    </row>
    <row r="11240" spans="6:6" x14ac:dyDescent="0.35">
      <c r="F11240"/>
    </row>
    <row r="11241" spans="6:6" x14ac:dyDescent="0.35">
      <c r="F11241"/>
    </row>
    <row r="11242" spans="6:6" x14ac:dyDescent="0.35">
      <c r="F11242"/>
    </row>
    <row r="11243" spans="6:6" x14ac:dyDescent="0.35">
      <c r="F11243"/>
    </row>
    <row r="11244" spans="6:6" x14ac:dyDescent="0.35">
      <c r="F11244"/>
    </row>
    <row r="11245" spans="6:6" x14ac:dyDescent="0.35">
      <c r="F11245"/>
    </row>
    <row r="11246" spans="6:6" x14ac:dyDescent="0.35">
      <c r="F11246"/>
    </row>
    <row r="11247" spans="6:6" x14ac:dyDescent="0.35">
      <c r="F11247"/>
    </row>
    <row r="11248" spans="6:6" x14ac:dyDescent="0.35">
      <c r="F11248"/>
    </row>
    <row r="11249" spans="6:6" x14ac:dyDescent="0.35">
      <c r="F11249"/>
    </row>
    <row r="11250" spans="6:6" x14ac:dyDescent="0.35">
      <c r="F11250"/>
    </row>
    <row r="11251" spans="6:6" x14ac:dyDescent="0.35">
      <c r="F11251"/>
    </row>
    <row r="11252" spans="6:6" x14ac:dyDescent="0.35">
      <c r="F11252"/>
    </row>
    <row r="11253" spans="6:6" x14ac:dyDescent="0.35">
      <c r="F11253"/>
    </row>
    <row r="11254" spans="6:6" x14ac:dyDescent="0.35">
      <c r="F11254"/>
    </row>
    <row r="11255" spans="6:6" x14ac:dyDescent="0.35">
      <c r="F11255"/>
    </row>
    <row r="11256" spans="6:6" x14ac:dyDescent="0.35">
      <c r="F11256"/>
    </row>
    <row r="11257" spans="6:6" x14ac:dyDescent="0.35">
      <c r="F11257"/>
    </row>
    <row r="11258" spans="6:6" x14ac:dyDescent="0.35">
      <c r="F11258"/>
    </row>
    <row r="11259" spans="6:6" x14ac:dyDescent="0.35">
      <c r="F11259"/>
    </row>
    <row r="11260" spans="6:6" x14ac:dyDescent="0.35">
      <c r="F11260"/>
    </row>
    <row r="11261" spans="6:6" x14ac:dyDescent="0.35">
      <c r="F11261"/>
    </row>
    <row r="11262" spans="6:6" x14ac:dyDescent="0.35">
      <c r="F11262"/>
    </row>
    <row r="11263" spans="6:6" x14ac:dyDescent="0.35">
      <c r="F11263"/>
    </row>
    <row r="11264" spans="6:6" x14ac:dyDescent="0.35">
      <c r="F11264"/>
    </row>
    <row r="11265" spans="6:6" x14ac:dyDescent="0.35">
      <c r="F11265"/>
    </row>
    <row r="11266" spans="6:6" x14ac:dyDescent="0.35">
      <c r="F11266"/>
    </row>
    <row r="11267" spans="6:6" x14ac:dyDescent="0.35">
      <c r="F11267"/>
    </row>
    <row r="11268" spans="6:6" x14ac:dyDescent="0.35">
      <c r="F11268"/>
    </row>
    <row r="11269" spans="6:6" x14ac:dyDescent="0.35">
      <c r="F11269"/>
    </row>
    <row r="11270" spans="6:6" x14ac:dyDescent="0.35">
      <c r="F11270"/>
    </row>
    <row r="11271" spans="6:6" x14ac:dyDescent="0.35">
      <c r="F11271"/>
    </row>
    <row r="11272" spans="6:6" x14ac:dyDescent="0.35">
      <c r="F11272"/>
    </row>
    <row r="11273" spans="6:6" x14ac:dyDescent="0.35">
      <c r="F11273"/>
    </row>
    <row r="11274" spans="6:6" x14ac:dyDescent="0.35">
      <c r="F11274"/>
    </row>
    <row r="11275" spans="6:6" x14ac:dyDescent="0.35">
      <c r="F11275"/>
    </row>
    <row r="11276" spans="6:6" x14ac:dyDescent="0.35">
      <c r="F11276"/>
    </row>
    <row r="11277" spans="6:6" x14ac:dyDescent="0.35">
      <c r="F11277"/>
    </row>
    <row r="11278" spans="6:6" x14ac:dyDescent="0.35">
      <c r="F11278"/>
    </row>
    <row r="11279" spans="6:6" x14ac:dyDescent="0.35">
      <c r="F11279"/>
    </row>
    <row r="11280" spans="6:6" x14ac:dyDescent="0.35">
      <c r="F11280"/>
    </row>
    <row r="11281" spans="6:6" x14ac:dyDescent="0.35">
      <c r="F11281"/>
    </row>
    <row r="11282" spans="6:6" x14ac:dyDescent="0.35">
      <c r="F11282"/>
    </row>
    <row r="11283" spans="6:6" x14ac:dyDescent="0.35">
      <c r="F11283"/>
    </row>
    <row r="11284" spans="6:6" x14ac:dyDescent="0.35">
      <c r="F11284"/>
    </row>
    <row r="11285" spans="6:6" x14ac:dyDescent="0.35">
      <c r="F11285"/>
    </row>
    <row r="11286" spans="6:6" x14ac:dyDescent="0.35">
      <c r="F11286"/>
    </row>
    <row r="11287" spans="6:6" x14ac:dyDescent="0.35">
      <c r="F11287"/>
    </row>
    <row r="11288" spans="6:6" x14ac:dyDescent="0.35">
      <c r="F11288"/>
    </row>
    <row r="11289" spans="6:6" x14ac:dyDescent="0.35">
      <c r="F11289"/>
    </row>
    <row r="11290" spans="6:6" x14ac:dyDescent="0.35">
      <c r="F11290"/>
    </row>
    <row r="11291" spans="6:6" x14ac:dyDescent="0.35">
      <c r="F11291"/>
    </row>
    <row r="11292" spans="6:6" x14ac:dyDescent="0.35">
      <c r="F11292"/>
    </row>
    <row r="11293" spans="6:6" x14ac:dyDescent="0.35">
      <c r="F11293"/>
    </row>
    <row r="11294" spans="6:6" x14ac:dyDescent="0.35">
      <c r="F11294"/>
    </row>
    <row r="11295" spans="6:6" x14ac:dyDescent="0.35">
      <c r="F11295"/>
    </row>
    <row r="11296" spans="6:6" x14ac:dyDescent="0.35">
      <c r="F11296"/>
    </row>
    <row r="11297" spans="6:6" x14ac:dyDescent="0.35">
      <c r="F11297"/>
    </row>
    <row r="11298" spans="6:6" x14ac:dyDescent="0.35">
      <c r="F11298"/>
    </row>
    <row r="11299" spans="6:6" x14ac:dyDescent="0.35">
      <c r="F11299"/>
    </row>
    <row r="11300" spans="6:6" x14ac:dyDescent="0.35">
      <c r="F11300"/>
    </row>
    <row r="11301" spans="6:6" x14ac:dyDescent="0.35">
      <c r="F11301"/>
    </row>
    <row r="11302" spans="6:6" x14ac:dyDescent="0.35">
      <c r="F11302"/>
    </row>
    <row r="11303" spans="6:6" x14ac:dyDescent="0.35">
      <c r="F11303"/>
    </row>
    <row r="11304" spans="6:6" x14ac:dyDescent="0.35">
      <c r="F11304"/>
    </row>
    <row r="11305" spans="6:6" x14ac:dyDescent="0.35">
      <c r="F11305"/>
    </row>
    <row r="11306" spans="6:6" x14ac:dyDescent="0.35">
      <c r="F11306"/>
    </row>
    <row r="11307" spans="6:6" x14ac:dyDescent="0.35">
      <c r="F11307"/>
    </row>
    <row r="11308" spans="6:6" x14ac:dyDescent="0.35">
      <c r="F11308"/>
    </row>
    <row r="11309" spans="6:6" x14ac:dyDescent="0.35">
      <c r="F11309"/>
    </row>
    <row r="11310" spans="6:6" x14ac:dyDescent="0.35">
      <c r="F11310"/>
    </row>
    <row r="11311" spans="6:6" x14ac:dyDescent="0.35">
      <c r="F11311"/>
    </row>
    <row r="11312" spans="6:6" x14ac:dyDescent="0.35">
      <c r="F11312"/>
    </row>
    <row r="11313" spans="6:6" x14ac:dyDescent="0.35">
      <c r="F11313"/>
    </row>
    <row r="11314" spans="6:6" x14ac:dyDescent="0.35">
      <c r="F11314"/>
    </row>
    <row r="11315" spans="6:6" x14ac:dyDescent="0.35">
      <c r="F11315"/>
    </row>
    <row r="11316" spans="6:6" x14ac:dyDescent="0.35">
      <c r="F11316"/>
    </row>
    <row r="11317" spans="6:6" x14ac:dyDescent="0.35">
      <c r="F11317"/>
    </row>
    <row r="11318" spans="6:6" x14ac:dyDescent="0.35">
      <c r="F11318"/>
    </row>
    <row r="11319" spans="6:6" x14ac:dyDescent="0.35">
      <c r="F11319"/>
    </row>
    <row r="11320" spans="6:6" x14ac:dyDescent="0.35">
      <c r="F11320"/>
    </row>
    <row r="11321" spans="6:6" x14ac:dyDescent="0.35">
      <c r="F11321"/>
    </row>
    <row r="11322" spans="6:6" x14ac:dyDescent="0.35">
      <c r="F11322"/>
    </row>
    <row r="11323" spans="6:6" x14ac:dyDescent="0.35">
      <c r="F11323"/>
    </row>
    <row r="11324" spans="6:6" x14ac:dyDescent="0.35">
      <c r="F11324"/>
    </row>
    <row r="11325" spans="6:6" x14ac:dyDescent="0.35">
      <c r="F11325"/>
    </row>
    <row r="11326" spans="6:6" x14ac:dyDescent="0.35">
      <c r="F11326"/>
    </row>
    <row r="11327" spans="6:6" x14ac:dyDescent="0.35">
      <c r="F11327"/>
    </row>
    <row r="11328" spans="6:6" x14ac:dyDescent="0.35">
      <c r="F11328"/>
    </row>
    <row r="11329" spans="6:6" x14ac:dyDescent="0.35">
      <c r="F11329"/>
    </row>
    <row r="11330" spans="6:6" x14ac:dyDescent="0.35">
      <c r="F11330"/>
    </row>
    <row r="11331" spans="6:6" x14ac:dyDescent="0.35">
      <c r="F11331"/>
    </row>
    <row r="11332" spans="6:6" x14ac:dyDescent="0.35">
      <c r="F11332"/>
    </row>
    <row r="11333" spans="6:6" x14ac:dyDescent="0.35">
      <c r="F11333"/>
    </row>
    <row r="11334" spans="6:6" x14ac:dyDescent="0.35">
      <c r="F11334"/>
    </row>
    <row r="11335" spans="6:6" x14ac:dyDescent="0.35">
      <c r="F11335"/>
    </row>
    <row r="11336" spans="6:6" x14ac:dyDescent="0.35">
      <c r="F11336"/>
    </row>
    <row r="11337" spans="6:6" x14ac:dyDescent="0.35">
      <c r="F11337"/>
    </row>
    <row r="11338" spans="6:6" x14ac:dyDescent="0.35">
      <c r="F11338"/>
    </row>
    <row r="11339" spans="6:6" x14ac:dyDescent="0.35">
      <c r="F11339"/>
    </row>
    <row r="11340" spans="6:6" x14ac:dyDescent="0.35">
      <c r="F11340"/>
    </row>
    <row r="11341" spans="6:6" x14ac:dyDescent="0.35">
      <c r="F11341"/>
    </row>
    <row r="11342" spans="6:6" x14ac:dyDescent="0.35">
      <c r="F11342"/>
    </row>
    <row r="11343" spans="6:6" x14ac:dyDescent="0.35">
      <c r="F11343"/>
    </row>
    <row r="11344" spans="6:6" x14ac:dyDescent="0.35">
      <c r="F11344"/>
    </row>
    <row r="11345" spans="6:6" x14ac:dyDescent="0.35">
      <c r="F11345"/>
    </row>
    <row r="11346" spans="6:6" x14ac:dyDescent="0.35">
      <c r="F11346"/>
    </row>
    <row r="11347" spans="6:6" x14ac:dyDescent="0.35">
      <c r="F11347"/>
    </row>
    <row r="11348" spans="6:6" x14ac:dyDescent="0.35">
      <c r="F11348"/>
    </row>
    <row r="11349" spans="6:6" x14ac:dyDescent="0.35">
      <c r="F11349"/>
    </row>
    <row r="11350" spans="6:6" x14ac:dyDescent="0.35">
      <c r="F11350"/>
    </row>
    <row r="11351" spans="6:6" x14ac:dyDescent="0.35">
      <c r="F11351"/>
    </row>
    <row r="11352" spans="6:6" x14ac:dyDescent="0.35">
      <c r="F11352"/>
    </row>
    <row r="11353" spans="6:6" x14ac:dyDescent="0.35">
      <c r="F11353"/>
    </row>
    <row r="11354" spans="6:6" x14ac:dyDescent="0.35">
      <c r="F11354"/>
    </row>
    <row r="11355" spans="6:6" x14ac:dyDescent="0.35">
      <c r="F11355"/>
    </row>
    <row r="11356" spans="6:6" x14ac:dyDescent="0.35">
      <c r="F11356"/>
    </row>
    <row r="11357" spans="6:6" x14ac:dyDescent="0.35">
      <c r="F11357"/>
    </row>
    <row r="11358" spans="6:6" x14ac:dyDescent="0.35">
      <c r="F11358"/>
    </row>
    <row r="11359" spans="6:6" x14ac:dyDescent="0.35">
      <c r="F11359"/>
    </row>
    <row r="11360" spans="6:6" x14ac:dyDescent="0.35">
      <c r="F11360"/>
    </row>
    <row r="11361" spans="6:6" x14ac:dyDescent="0.35">
      <c r="F11361"/>
    </row>
    <row r="11362" spans="6:6" x14ac:dyDescent="0.35">
      <c r="F11362"/>
    </row>
    <row r="11363" spans="6:6" x14ac:dyDescent="0.35">
      <c r="F11363"/>
    </row>
    <row r="11364" spans="6:6" x14ac:dyDescent="0.35">
      <c r="F11364"/>
    </row>
    <row r="11365" spans="6:6" x14ac:dyDescent="0.35">
      <c r="F11365"/>
    </row>
    <row r="11366" spans="6:6" x14ac:dyDescent="0.35">
      <c r="F11366"/>
    </row>
    <row r="11367" spans="6:6" x14ac:dyDescent="0.35">
      <c r="F11367"/>
    </row>
    <row r="11368" spans="6:6" x14ac:dyDescent="0.35">
      <c r="F11368"/>
    </row>
    <row r="11369" spans="6:6" x14ac:dyDescent="0.35">
      <c r="F11369"/>
    </row>
    <row r="11370" spans="6:6" x14ac:dyDescent="0.35">
      <c r="F11370"/>
    </row>
    <row r="11371" spans="6:6" x14ac:dyDescent="0.35">
      <c r="F11371"/>
    </row>
    <row r="11372" spans="6:6" x14ac:dyDescent="0.35">
      <c r="F11372"/>
    </row>
    <row r="11373" spans="6:6" x14ac:dyDescent="0.35">
      <c r="F11373"/>
    </row>
    <row r="11374" spans="6:6" x14ac:dyDescent="0.35">
      <c r="F11374"/>
    </row>
    <row r="11375" spans="6:6" x14ac:dyDescent="0.35">
      <c r="F11375"/>
    </row>
    <row r="11376" spans="6:6" x14ac:dyDescent="0.35">
      <c r="F11376"/>
    </row>
    <row r="11377" spans="6:6" x14ac:dyDescent="0.35">
      <c r="F11377"/>
    </row>
    <row r="11378" spans="6:6" x14ac:dyDescent="0.35">
      <c r="F11378"/>
    </row>
    <row r="11379" spans="6:6" x14ac:dyDescent="0.35">
      <c r="F11379"/>
    </row>
    <row r="11380" spans="6:6" x14ac:dyDescent="0.35">
      <c r="F11380"/>
    </row>
    <row r="11381" spans="6:6" x14ac:dyDescent="0.35">
      <c r="F11381"/>
    </row>
    <row r="11382" spans="6:6" x14ac:dyDescent="0.35">
      <c r="F11382"/>
    </row>
    <row r="11383" spans="6:6" x14ac:dyDescent="0.35">
      <c r="F11383"/>
    </row>
    <row r="11384" spans="6:6" x14ac:dyDescent="0.35">
      <c r="F11384"/>
    </row>
    <row r="11385" spans="6:6" x14ac:dyDescent="0.35">
      <c r="F11385"/>
    </row>
    <row r="11386" spans="6:6" x14ac:dyDescent="0.35">
      <c r="F11386"/>
    </row>
    <row r="11387" spans="6:6" x14ac:dyDescent="0.35">
      <c r="F11387"/>
    </row>
    <row r="11388" spans="6:6" x14ac:dyDescent="0.35">
      <c r="F11388"/>
    </row>
    <row r="11389" spans="6:6" x14ac:dyDescent="0.35">
      <c r="F11389"/>
    </row>
    <row r="11390" spans="6:6" x14ac:dyDescent="0.35">
      <c r="F11390"/>
    </row>
    <row r="11391" spans="6:6" x14ac:dyDescent="0.35">
      <c r="F11391"/>
    </row>
    <row r="11392" spans="6:6" x14ac:dyDescent="0.35">
      <c r="F11392"/>
    </row>
    <row r="11393" spans="6:6" x14ac:dyDescent="0.35">
      <c r="F11393"/>
    </row>
    <row r="11394" spans="6:6" x14ac:dyDescent="0.35">
      <c r="F11394"/>
    </row>
    <row r="11395" spans="6:6" x14ac:dyDescent="0.35">
      <c r="F11395"/>
    </row>
    <row r="11396" spans="6:6" x14ac:dyDescent="0.35">
      <c r="F11396"/>
    </row>
    <row r="11397" spans="6:6" x14ac:dyDescent="0.35">
      <c r="F11397"/>
    </row>
    <row r="11398" spans="6:6" x14ac:dyDescent="0.35">
      <c r="F11398"/>
    </row>
    <row r="11399" spans="6:6" x14ac:dyDescent="0.35">
      <c r="F11399"/>
    </row>
    <row r="11400" spans="6:6" x14ac:dyDescent="0.35">
      <c r="F11400"/>
    </row>
    <row r="11401" spans="6:6" x14ac:dyDescent="0.35">
      <c r="F11401"/>
    </row>
    <row r="11402" spans="6:6" x14ac:dyDescent="0.35">
      <c r="F11402"/>
    </row>
    <row r="11403" spans="6:6" x14ac:dyDescent="0.35">
      <c r="F11403"/>
    </row>
    <row r="11404" spans="6:6" x14ac:dyDescent="0.35">
      <c r="F11404"/>
    </row>
    <row r="11405" spans="6:6" x14ac:dyDescent="0.35">
      <c r="F11405"/>
    </row>
    <row r="11406" spans="6:6" x14ac:dyDescent="0.35">
      <c r="F11406"/>
    </row>
    <row r="11407" spans="6:6" x14ac:dyDescent="0.35">
      <c r="F11407"/>
    </row>
    <row r="11408" spans="6:6" x14ac:dyDescent="0.35">
      <c r="F11408"/>
    </row>
    <row r="11409" spans="6:6" x14ac:dyDescent="0.35">
      <c r="F11409"/>
    </row>
    <row r="11410" spans="6:6" x14ac:dyDescent="0.35">
      <c r="F11410"/>
    </row>
    <row r="11411" spans="6:6" x14ac:dyDescent="0.35">
      <c r="F11411"/>
    </row>
    <row r="11412" spans="6:6" x14ac:dyDescent="0.35">
      <c r="F11412"/>
    </row>
    <row r="11413" spans="6:6" x14ac:dyDescent="0.35">
      <c r="F11413"/>
    </row>
    <row r="11414" spans="6:6" x14ac:dyDescent="0.35">
      <c r="F11414"/>
    </row>
    <row r="11415" spans="6:6" x14ac:dyDescent="0.35">
      <c r="F11415"/>
    </row>
    <row r="11416" spans="6:6" x14ac:dyDescent="0.35">
      <c r="F11416"/>
    </row>
    <row r="11417" spans="6:6" x14ac:dyDescent="0.35">
      <c r="F11417"/>
    </row>
    <row r="11418" spans="6:6" x14ac:dyDescent="0.35">
      <c r="F11418"/>
    </row>
    <row r="11419" spans="6:6" x14ac:dyDescent="0.35">
      <c r="F11419"/>
    </row>
    <row r="11420" spans="6:6" x14ac:dyDescent="0.35">
      <c r="F11420"/>
    </row>
    <row r="11421" spans="6:6" x14ac:dyDescent="0.35">
      <c r="F11421"/>
    </row>
    <row r="11422" spans="6:6" x14ac:dyDescent="0.35">
      <c r="F11422"/>
    </row>
    <row r="11423" spans="6:6" x14ac:dyDescent="0.35">
      <c r="F11423"/>
    </row>
    <row r="11424" spans="6:6" x14ac:dyDescent="0.35">
      <c r="F11424"/>
    </row>
    <row r="11425" spans="6:6" x14ac:dyDescent="0.35">
      <c r="F11425"/>
    </row>
    <row r="11426" spans="6:6" x14ac:dyDescent="0.35">
      <c r="F11426"/>
    </row>
    <row r="11427" spans="6:6" x14ac:dyDescent="0.35">
      <c r="F11427"/>
    </row>
    <row r="11428" spans="6:6" x14ac:dyDescent="0.35">
      <c r="F11428"/>
    </row>
    <row r="11429" spans="6:6" x14ac:dyDescent="0.35">
      <c r="F11429"/>
    </row>
    <row r="11430" spans="6:6" x14ac:dyDescent="0.35">
      <c r="F11430"/>
    </row>
    <row r="11431" spans="6:6" x14ac:dyDescent="0.35">
      <c r="F11431"/>
    </row>
    <row r="11432" spans="6:6" x14ac:dyDescent="0.35">
      <c r="F11432"/>
    </row>
    <row r="11433" spans="6:6" x14ac:dyDescent="0.35">
      <c r="F11433"/>
    </row>
    <row r="11434" spans="6:6" x14ac:dyDescent="0.35">
      <c r="F11434"/>
    </row>
    <row r="11435" spans="6:6" x14ac:dyDescent="0.35">
      <c r="F11435"/>
    </row>
    <row r="11436" spans="6:6" x14ac:dyDescent="0.35">
      <c r="F11436"/>
    </row>
    <row r="11437" spans="6:6" x14ac:dyDescent="0.35">
      <c r="F11437"/>
    </row>
    <row r="11438" spans="6:6" x14ac:dyDescent="0.35">
      <c r="F11438"/>
    </row>
    <row r="11439" spans="6:6" x14ac:dyDescent="0.35">
      <c r="F11439"/>
    </row>
    <row r="11440" spans="6:6" x14ac:dyDescent="0.35">
      <c r="F11440"/>
    </row>
    <row r="11441" spans="6:6" x14ac:dyDescent="0.35">
      <c r="F11441"/>
    </row>
    <row r="11442" spans="6:6" x14ac:dyDescent="0.35">
      <c r="F11442"/>
    </row>
    <row r="11443" spans="6:6" x14ac:dyDescent="0.35">
      <c r="F11443"/>
    </row>
    <row r="11444" spans="6:6" x14ac:dyDescent="0.35">
      <c r="F11444"/>
    </row>
    <row r="11445" spans="6:6" x14ac:dyDescent="0.35">
      <c r="F11445"/>
    </row>
    <row r="11446" spans="6:6" x14ac:dyDescent="0.35">
      <c r="F11446"/>
    </row>
    <row r="11447" spans="6:6" x14ac:dyDescent="0.35">
      <c r="F11447"/>
    </row>
    <row r="11448" spans="6:6" x14ac:dyDescent="0.35">
      <c r="F11448"/>
    </row>
    <row r="11449" spans="6:6" x14ac:dyDescent="0.35">
      <c r="F11449"/>
    </row>
    <row r="11450" spans="6:6" x14ac:dyDescent="0.35">
      <c r="F11450"/>
    </row>
    <row r="11451" spans="6:6" x14ac:dyDescent="0.35">
      <c r="F11451"/>
    </row>
    <row r="11452" spans="6:6" x14ac:dyDescent="0.35">
      <c r="F11452"/>
    </row>
    <row r="11453" spans="6:6" x14ac:dyDescent="0.35">
      <c r="F11453"/>
    </row>
    <row r="11454" spans="6:6" x14ac:dyDescent="0.35">
      <c r="F11454"/>
    </row>
    <row r="11455" spans="6:6" x14ac:dyDescent="0.35">
      <c r="F11455"/>
    </row>
    <row r="11456" spans="6:6" x14ac:dyDescent="0.35">
      <c r="F11456"/>
    </row>
    <row r="11457" spans="6:6" x14ac:dyDescent="0.35">
      <c r="F11457"/>
    </row>
    <row r="11458" spans="6:6" x14ac:dyDescent="0.35">
      <c r="F11458"/>
    </row>
    <row r="11459" spans="6:6" x14ac:dyDescent="0.35">
      <c r="F11459"/>
    </row>
    <row r="11460" spans="6:6" x14ac:dyDescent="0.35">
      <c r="F11460"/>
    </row>
    <row r="11461" spans="6:6" x14ac:dyDescent="0.35">
      <c r="F11461"/>
    </row>
    <row r="11462" spans="6:6" x14ac:dyDescent="0.35">
      <c r="F11462"/>
    </row>
    <row r="11463" spans="6:6" x14ac:dyDescent="0.35">
      <c r="F11463"/>
    </row>
    <row r="11464" spans="6:6" x14ac:dyDescent="0.35">
      <c r="F11464"/>
    </row>
    <row r="11465" spans="6:6" x14ac:dyDescent="0.35">
      <c r="F11465"/>
    </row>
    <row r="11466" spans="6:6" x14ac:dyDescent="0.35">
      <c r="F11466"/>
    </row>
    <row r="11467" spans="6:6" x14ac:dyDescent="0.35">
      <c r="F11467"/>
    </row>
    <row r="11468" spans="6:6" x14ac:dyDescent="0.35">
      <c r="F11468"/>
    </row>
    <row r="11469" spans="6:6" x14ac:dyDescent="0.35">
      <c r="F11469"/>
    </row>
    <row r="11470" spans="6:6" x14ac:dyDescent="0.35">
      <c r="F11470"/>
    </row>
    <row r="11471" spans="6:6" x14ac:dyDescent="0.35">
      <c r="F11471"/>
    </row>
    <row r="11472" spans="6:6" x14ac:dyDescent="0.35">
      <c r="F11472"/>
    </row>
    <row r="11473" spans="6:6" x14ac:dyDescent="0.35">
      <c r="F11473"/>
    </row>
    <row r="11474" spans="6:6" x14ac:dyDescent="0.35">
      <c r="F11474"/>
    </row>
    <row r="11475" spans="6:6" x14ac:dyDescent="0.35">
      <c r="F11475"/>
    </row>
    <row r="11476" spans="6:6" x14ac:dyDescent="0.35">
      <c r="F11476"/>
    </row>
    <row r="11477" spans="6:6" x14ac:dyDescent="0.35">
      <c r="F11477"/>
    </row>
    <row r="11478" spans="6:6" x14ac:dyDescent="0.35">
      <c r="F11478"/>
    </row>
    <row r="11479" spans="6:6" x14ac:dyDescent="0.35">
      <c r="F11479"/>
    </row>
    <row r="11480" spans="6:6" x14ac:dyDescent="0.35">
      <c r="F11480"/>
    </row>
    <row r="11481" spans="6:6" x14ac:dyDescent="0.35">
      <c r="F11481"/>
    </row>
    <row r="11482" spans="6:6" x14ac:dyDescent="0.35">
      <c r="F11482"/>
    </row>
    <row r="11483" spans="6:6" x14ac:dyDescent="0.35">
      <c r="F11483"/>
    </row>
    <row r="11484" spans="6:6" x14ac:dyDescent="0.35">
      <c r="F11484"/>
    </row>
    <row r="11485" spans="6:6" x14ac:dyDescent="0.35">
      <c r="F11485"/>
    </row>
    <row r="11486" spans="6:6" x14ac:dyDescent="0.35">
      <c r="F11486"/>
    </row>
    <row r="11487" spans="6:6" x14ac:dyDescent="0.35">
      <c r="F11487"/>
    </row>
    <row r="11488" spans="6:6" x14ac:dyDescent="0.35">
      <c r="F11488"/>
    </row>
    <row r="11489" spans="6:6" x14ac:dyDescent="0.35">
      <c r="F11489"/>
    </row>
    <row r="11490" spans="6:6" x14ac:dyDescent="0.35">
      <c r="F11490"/>
    </row>
    <row r="11491" spans="6:6" x14ac:dyDescent="0.35">
      <c r="F11491"/>
    </row>
    <row r="11492" spans="6:6" x14ac:dyDescent="0.35">
      <c r="F11492"/>
    </row>
    <row r="11493" spans="6:6" x14ac:dyDescent="0.35">
      <c r="F11493"/>
    </row>
    <row r="11494" spans="6:6" x14ac:dyDescent="0.35">
      <c r="F11494"/>
    </row>
    <row r="11495" spans="6:6" x14ac:dyDescent="0.35">
      <c r="F11495"/>
    </row>
    <row r="11496" spans="6:6" x14ac:dyDescent="0.35">
      <c r="F11496"/>
    </row>
    <row r="11497" spans="6:6" x14ac:dyDescent="0.35">
      <c r="F11497"/>
    </row>
    <row r="11498" spans="6:6" x14ac:dyDescent="0.35">
      <c r="F11498"/>
    </row>
    <row r="11499" spans="6:6" x14ac:dyDescent="0.35">
      <c r="F11499"/>
    </row>
    <row r="11500" spans="6:6" x14ac:dyDescent="0.35">
      <c r="F11500"/>
    </row>
    <row r="11501" spans="6:6" x14ac:dyDescent="0.35">
      <c r="F11501"/>
    </row>
    <row r="11502" spans="6:6" x14ac:dyDescent="0.35">
      <c r="F11502"/>
    </row>
    <row r="11503" spans="6:6" x14ac:dyDescent="0.35">
      <c r="F11503"/>
    </row>
    <row r="11504" spans="6:6" x14ac:dyDescent="0.35">
      <c r="F11504"/>
    </row>
    <row r="11505" spans="6:6" x14ac:dyDescent="0.35">
      <c r="F11505"/>
    </row>
    <row r="11506" spans="6:6" x14ac:dyDescent="0.35">
      <c r="F11506"/>
    </row>
    <row r="11507" spans="6:6" x14ac:dyDescent="0.35">
      <c r="F11507"/>
    </row>
    <row r="11508" spans="6:6" x14ac:dyDescent="0.35">
      <c r="F11508"/>
    </row>
    <row r="11509" spans="6:6" x14ac:dyDescent="0.35">
      <c r="F11509"/>
    </row>
    <row r="11510" spans="6:6" x14ac:dyDescent="0.35">
      <c r="F11510"/>
    </row>
    <row r="11511" spans="6:6" x14ac:dyDescent="0.35">
      <c r="F11511"/>
    </row>
    <row r="11512" spans="6:6" x14ac:dyDescent="0.35">
      <c r="F11512"/>
    </row>
    <row r="11513" spans="6:6" x14ac:dyDescent="0.35">
      <c r="F11513"/>
    </row>
    <row r="11514" spans="6:6" x14ac:dyDescent="0.35">
      <c r="F11514"/>
    </row>
    <row r="11515" spans="6:6" x14ac:dyDescent="0.35">
      <c r="F11515"/>
    </row>
    <row r="11516" spans="6:6" x14ac:dyDescent="0.35">
      <c r="F11516"/>
    </row>
    <row r="11517" spans="6:6" x14ac:dyDescent="0.35">
      <c r="F11517"/>
    </row>
    <row r="11518" spans="6:6" x14ac:dyDescent="0.35">
      <c r="F11518"/>
    </row>
    <row r="11519" spans="6:6" x14ac:dyDescent="0.35">
      <c r="F11519"/>
    </row>
    <row r="11520" spans="6:6" x14ac:dyDescent="0.35">
      <c r="F11520"/>
    </row>
    <row r="11521" spans="6:6" x14ac:dyDescent="0.35">
      <c r="F11521"/>
    </row>
    <row r="11522" spans="6:6" x14ac:dyDescent="0.35">
      <c r="F11522"/>
    </row>
    <row r="11523" spans="6:6" x14ac:dyDescent="0.35">
      <c r="F11523"/>
    </row>
    <row r="11524" spans="6:6" x14ac:dyDescent="0.35">
      <c r="F11524"/>
    </row>
    <row r="11525" spans="6:6" x14ac:dyDescent="0.35">
      <c r="F11525"/>
    </row>
    <row r="11526" spans="6:6" x14ac:dyDescent="0.35">
      <c r="F11526"/>
    </row>
    <row r="11527" spans="6:6" x14ac:dyDescent="0.35">
      <c r="F11527"/>
    </row>
    <row r="11528" spans="6:6" x14ac:dyDescent="0.35">
      <c r="F11528"/>
    </row>
    <row r="11529" spans="6:6" x14ac:dyDescent="0.35">
      <c r="F11529"/>
    </row>
    <row r="11530" spans="6:6" x14ac:dyDescent="0.35">
      <c r="F11530"/>
    </row>
    <row r="11531" spans="6:6" x14ac:dyDescent="0.35">
      <c r="F11531"/>
    </row>
    <row r="11532" spans="6:6" x14ac:dyDescent="0.35">
      <c r="F11532"/>
    </row>
    <row r="11533" spans="6:6" x14ac:dyDescent="0.35">
      <c r="F11533"/>
    </row>
    <row r="11534" spans="6:6" x14ac:dyDescent="0.35">
      <c r="F11534"/>
    </row>
    <row r="11535" spans="6:6" x14ac:dyDescent="0.35">
      <c r="F11535"/>
    </row>
    <row r="11536" spans="6:6" x14ac:dyDescent="0.35">
      <c r="F11536"/>
    </row>
    <row r="11537" spans="6:6" x14ac:dyDescent="0.35">
      <c r="F11537"/>
    </row>
    <row r="11538" spans="6:6" x14ac:dyDescent="0.35">
      <c r="F11538"/>
    </row>
    <row r="11539" spans="6:6" x14ac:dyDescent="0.35">
      <c r="F11539"/>
    </row>
    <row r="11540" spans="6:6" x14ac:dyDescent="0.35">
      <c r="F11540"/>
    </row>
    <row r="11541" spans="6:6" x14ac:dyDescent="0.35">
      <c r="F11541"/>
    </row>
    <row r="11542" spans="6:6" x14ac:dyDescent="0.35">
      <c r="F11542"/>
    </row>
    <row r="11543" spans="6:6" x14ac:dyDescent="0.35">
      <c r="F11543"/>
    </row>
    <row r="11544" spans="6:6" x14ac:dyDescent="0.35">
      <c r="F11544"/>
    </row>
    <row r="11545" spans="6:6" x14ac:dyDescent="0.35">
      <c r="F11545"/>
    </row>
    <row r="11546" spans="6:6" x14ac:dyDescent="0.35">
      <c r="F11546"/>
    </row>
    <row r="11547" spans="6:6" x14ac:dyDescent="0.35">
      <c r="F11547"/>
    </row>
    <row r="11548" spans="6:6" x14ac:dyDescent="0.35">
      <c r="F11548"/>
    </row>
    <row r="11549" spans="6:6" x14ac:dyDescent="0.35">
      <c r="F11549"/>
    </row>
    <row r="11550" spans="6:6" x14ac:dyDescent="0.35">
      <c r="F11550"/>
    </row>
    <row r="11551" spans="6:6" x14ac:dyDescent="0.35">
      <c r="F11551"/>
    </row>
    <row r="11552" spans="6:6" x14ac:dyDescent="0.35">
      <c r="F11552"/>
    </row>
    <row r="11553" spans="6:6" x14ac:dyDescent="0.35">
      <c r="F11553"/>
    </row>
    <row r="11554" spans="6:6" x14ac:dyDescent="0.35">
      <c r="F11554"/>
    </row>
    <row r="11555" spans="6:6" x14ac:dyDescent="0.35">
      <c r="F11555"/>
    </row>
    <row r="11556" spans="6:6" x14ac:dyDescent="0.35">
      <c r="F11556"/>
    </row>
    <row r="11557" spans="6:6" x14ac:dyDescent="0.35">
      <c r="F11557"/>
    </row>
    <row r="11558" spans="6:6" x14ac:dyDescent="0.35">
      <c r="F11558"/>
    </row>
    <row r="11559" spans="6:6" x14ac:dyDescent="0.35">
      <c r="F11559"/>
    </row>
    <row r="11560" spans="6:6" x14ac:dyDescent="0.35">
      <c r="F11560"/>
    </row>
    <row r="11561" spans="6:6" x14ac:dyDescent="0.35">
      <c r="F11561"/>
    </row>
    <row r="11562" spans="6:6" x14ac:dyDescent="0.35">
      <c r="F11562"/>
    </row>
    <row r="11563" spans="6:6" x14ac:dyDescent="0.35">
      <c r="F11563"/>
    </row>
    <row r="11564" spans="6:6" x14ac:dyDescent="0.35">
      <c r="F11564"/>
    </row>
    <row r="11565" spans="6:6" x14ac:dyDescent="0.35">
      <c r="F11565"/>
    </row>
    <row r="11566" spans="6:6" x14ac:dyDescent="0.35">
      <c r="F11566"/>
    </row>
    <row r="11567" spans="6:6" x14ac:dyDescent="0.35">
      <c r="F11567"/>
    </row>
    <row r="11568" spans="6:6" x14ac:dyDescent="0.35">
      <c r="F11568"/>
    </row>
    <row r="11569" spans="6:6" x14ac:dyDescent="0.35">
      <c r="F11569"/>
    </row>
    <row r="11570" spans="6:6" x14ac:dyDescent="0.35">
      <c r="F11570"/>
    </row>
    <row r="11571" spans="6:6" x14ac:dyDescent="0.35">
      <c r="F11571"/>
    </row>
    <row r="11572" spans="6:6" x14ac:dyDescent="0.35">
      <c r="F11572"/>
    </row>
    <row r="11573" spans="6:6" x14ac:dyDescent="0.35">
      <c r="F11573"/>
    </row>
    <row r="11574" spans="6:6" x14ac:dyDescent="0.35">
      <c r="F11574"/>
    </row>
    <row r="11575" spans="6:6" x14ac:dyDescent="0.35">
      <c r="F11575"/>
    </row>
    <row r="11576" spans="6:6" x14ac:dyDescent="0.35">
      <c r="F11576"/>
    </row>
    <row r="11577" spans="6:6" x14ac:dyDescent="0.35">
      <c r="F11577"/>
    </row>
    <row r="11578" spans="6:6" x14ac:dyDescent="0.35">
      <c r="F11578"/>
    </row>
    <row r="11579" spans="6:6" x14ac:dyDescent="0.35">
      <c r="F11579"/>
    </row>
    <row r="11580" spans="6:6" x14ac:dyDescent="0.35">
      <c r="F11580"/>
    </row>
    <row r="11581" spans="6:6" x14ac:dyDescent="0.35">
      <c r="F11581"/>
    </row>
    <row r="11582" spans="6:6" x14ac:dyDescent="0.35">
      <c r="F11582"/>
    </row>
    <row r="11583" spans="6:6" x14ac:dyDescent="0.35">
      <c r="F11583"/>
    </row>
    <row r="11584" spans="6:6" x14ac:dyDescent="0.35">
      <c r="F11584"/>
    </row>
    <row r="11585" spans="6:6" x14ac:dyDescent="0.35">
      <c r="F11585"/>
    </row>
    <row r="11586" spans="6:6" x14ac:dyDescent="0.35">
      <c r="F11586"/>
    </row>
    <row r="11587" spans="6:6" x14ac:dyDescent="0.35">
      <c r="F11587"/>
    </row>
    <row r="11588" spans="6:6" x14ac:dyDescent="0.35">
      <c r="F11588"/>
    </row>
    <row r="11589" spans="6:6" x14ac:dyDescent="0.35">
      <c r="F11589"/>
    </row>
    <row r="11590" spans="6:6" x14ac:dyDescent="0.35">
      <c r="F11590"/>
    </row>
    <row r="11591" spans="6:6" x14ac:dyDescent="0.35">
      <c r="F11591"/>
    </row>
    <row r="11592" spans="6:6" x14ac:dyDescent="0.35">
      <c r="F11592"/>
    </row>
    <row r="11593" spans="6:6" x14ac:dyDescent="0.35">
      <c r="F11593"/>
    </row>
    <row r="11594" spans="6:6" x14ac:dyDescent="0.35">
      <c r="F11594"/>
    </row>
    <row r="11595" spans="6:6" x14ac:dyDescent="0.35">
      <c r="F11595"/>
    </row>
    <row r="11596" spans="6:6" x14ac:dyDescent="0.35">
      <c r="F11596"/>
    </row>
    <row r="11597" spans="6:6" x14ac:dyDescent="0.35">
      <c r="F11597"/>
    </row>
    <row r="11598" spans="6:6" x14ac:dyDescent="0.35">
      <c r="F11598"/>
    </row>
    <row r="11599" spans="6:6" x14ac:dyDescent="0.35">
      <c r="F11599"/>
    </row>
    <row r="11600" spans="6:6" x14ac:dyDescent="0.35">
      <c r="F11600"/>
    </row>
    <row r="11601" spans="6:6" x14ac:dyDescent="0.35">
      <c r="F11601"/>
    </row>
    <row r="11602" spans="6:6" x14ac:dyDescent="0.35">
      <c r="F11602"/>
    </row>
    <row r="11603" spans="6:6" x14ac:dyDescent="0.35">
      <c r="F11603"/>
    </row>
    <row r="11604" spans="6:6" x14ac:dyDescent="0.35">
      <c r="F11604"/>
    </row>
    <row r="11605" spans="6:6" x14ac:dyDescent="0.35">
      <c r="F11605"/>
    </row>
    <row r="11606" spans="6:6" x14ac:dyDescent="0.35">
      <c r="F11606"/>
    </row>
    <row r="11607" spans="6:6" x14ac:dyDescent="0.35">
      <c r="F11607"/>
    </row>
    <row r="11608" spans="6:6" x14ac:dyDescent="0.35">
      <c r="F11608"/>
    </row>
    <row r="11609" spans="6:6" x14ac:dyDescent="0.35">
      <c r="F11609"/>
    </row>
    <row r="11610" spans="6:6" x14ac:dyDescent="0.35">
      <c r="F11610"/>
    </row>
    <row r="11611" spans="6:6" x14ac:dyDescent="0.35">
      <c r="F11611"/>
    </row>
    <row r="11612" spans="6:6" x14ac:dyDescent="0.35">
      <c r="F11612"/>
    </row>
    <row r="11613" spans="6:6" x14ac:dyDescent="0.35">
      <c r="F11613"/>
    </row>
    <row r="11614" spans="6:6" x14ac:dyDescent="0.35">
      <c r="F11614"/>
    </row>
    <row r="11615" spans="6:6" x14ac:dyDescent="0.35">
      <c r="F11615"/>
    </row>
    <row r="11616" spans="6:6" x14ac:dyDescent="0.35">
      <c r="F11616"/>
    </row>
    <row r="11617" spans="6:6" x14ac:dyDescent="0.35">
      <c r="F11617"/>
    </row>
    <row r="11618" spans="6:6" x14ac:dyDescent="0.35">
      <c r="F11618"/>
    </row>
    <row r="11619" spans="6:6" x14ac:dyDescent="0.35">
      <c r="F11619"/>
    </row>
    <row r="11620" spans="6:6" x14ac:dyDescent="0.35">
      <c r="F11620"/>
    </row>
    <row r="11621" spans="6:6" x14ac:dyDescent="0.35">
      <c r="F11621"/>
    </row>
    <row r="11622" spans="6:6" x14ac:dyDescent="0.35">
      <c r="F11622"/>
    </row>
    <row r="11623" spans="6:6" x14ac:dyDescent="0.35">
      <c r="F11623"/>
    </row>
    <row r="11624" spans="6:6" x14ac:dyDescent="0.35">
      <c r="F11624"/>
    </row>
    <row r="11625" spans="6:6" x14ac:dyDescent="0.35">
      <c r="F11625"/>
    </row>
    <row r="11626" spans="6:6" x14ac:dyDescent="0.35">
      <c r="F11626"/>
    </row>
    <row r="11627" spans="6:6" x14ac:dyDescent="0.35">
      <c r="F11627"/>
    </row>
    <row r="11628" spans="6:6" x14ac:dyDescent="0.35">
      <c r="F11628"/>
    </row>
    <row r="11629" spans="6:6" x14ac:dyDescent="0.35">
      <c r="F11629"/>
    </row>
    <row r="11630" spans="6:6" x14ac:dyDescent="0.35">
      <c r="F11630"/>
    </row>
    <row r="11631" spans="6:6" x14ac:dyDescent="0.35">
      <c r="F11631"/>
    </row>
    <row r="11632" spans="6:6" x14ac:dyDescent="0.35">
      <c r="F11632"/>
    </row>
    <row r="11633" spans="6:6" x14ac:dyDescent="0.35">
      <c r="F11633"/>
    </row>
    <row r="11634" spans="6:6" x14ac:dyDescent="0.35">
      <c r="F11634"/>
    </row>
    <row r="11635" spans="6:6" x14ac:dyDescent="0.35">
      <c r="F11635"/>
    </row>
    <row r="11636" spans="6:6" x14ac:dyDescent="0.35">
      <c r="F11636"/>
    </row>
    <row r="11637" spans="6:6" x14ac:dyDescent="0.35">
      <c r="F11637"/>
    </row>
    <row r="11638" spans="6:6" x14ac:dyDescent="0.35">
      <c r="F11638"/>
    </row>
    <row r="11639" spans="6:6" x14ac:dyDescent="0.35">
      <c r="F11639"/>
    </row>
    <row r="11640" spans="6:6" x14ac:dyDescent="0.35">
      <c r="F11640"/>
    </row>
    <row r="11641" spans="6:6" x14ac:dyDescent="0.35">
      <c r="F11641"/>
    </row>
    <row r="11642" spans="6:6" x14ac:dyDescent="0.35">
      <c r="F11642"/>
    </row>
    <row r="11643" spans="6:6" x14ac:dyDescent="0.35">
      <c r="F11643"/>
    </row>
    <row r="11644" spans="6:6" x14ac:dyDescent="0.35">
      <c r="F11644"/>
    </row>
    <row r="11645" spans="6:6" x14ac:dyDescent="0.35">
      <c r="F11645"/>
    </row>
    <row r="11646" spans="6:6" x14ac:dyDescent="0.35">
      <c r="F11646"/>
    </row>
    <row r="11647" spans="6:6" x14ac:dyDescent="0.35">
      <c r="F11647"/>
    </row>
    <row r="11648" spans="6:6" x14ac:dyDescent="0.35">
      <c r="F11648"/>
    </row>
    <row r="11649" spans="6:6" x14ac:dyDescent="0.35">
      <c r="F11649"/>
    </row>
    <row r="11650" spans="6:6" x14ac:dyDescent="0.35">
      <c r="F11650"/>
    </row>
    <row r="11651" spans="6:6" x14ac:dyDescent="0.35">
      <c r="F11651"/>
    </row>
    <row r="11652" spans="6:6" x14ac:dyDescent="0.35">
      <c r="F11652"/>
    </row>
    <row r="11653" spans="6:6" x14ac:dyDescent="0.35">
      <c r="F11653"/>
    </row>
    <row r="11654" spans="6:6" x14ac:dyDescent="0.35">
      <c r="F11654"/>
    </row>
    <row r="11655" spans="6:6" x14ac:dyDescent="0.35">
      <c r="F11655"/>
    </row>
    <row r="11656" spans="6:6" x14ac:dyDescent="0.35">
      <c r="F11656"/>
    </row>
    <row r="11657" spans="6:6" x14ac:dyDescent="0.35">
      <c r="F11657"/>
    </row>
    <row r="11658" spans="6:6" x14ac:dyDescent="0.35">
      <c r="F11658"/>
    </row>
    <row r="11659" spans="6:6" x14ac:dyDescent="0.35">
      <c r="F11659"/>
    </row>
    <row r="11660" spans="6:6" x14ac:dyDescent="0.35">
      <c r="F11660"/>
    </row>
    <row r="11661" spans="6:6" x14ac:dyDescent="0.35">
      <c r="F11661"/>
    </row>
    <row r="11662" spans="6:6" x14ac:dyDescent="0.35">
      <c r="F11662"/>
    </row>
    <row r="11663" spans="6:6" x14ac:dyDescent="0.35">
      <c r="F11663"/>
    </row>
    <row r="11664" spans="6:6" x14ac:dyDescent="0.35">
      <c r="F11664"/>
    </row>
    <row r="11665" spans="6:6" x14ac:dyDescent="0.35">
      <c r="F11665"/>
    </row>
    <row r="11666" spans="6:6" x14ac:dyDescent="0.35">
      <c r="F11666"/>
    </row>
    <row r="11667" spans="6:6" x14ac:dyDescent="0.35">
      <c r="F11667"/>
    </row>
    <row r="11668" spans="6:6" x14ac:dyDescent="0.35">
      <c r="F11668"/>
    </row>
    <row r="11669" spans="6:6" x14ac:dyDescent="0.35">
      <c r="F11669"/>
    </row>
    <row r="11670" spans="6:6" x14ac:dyDescent="0.35">
      <c r="F11670"/>
    </row>
    <row r="11671" spans="6:6" x14ac:dyDescent="0.35">
      <c r="F11671"/>
    </row>
    <row r="11672" spans="6:6" x14ac:dyDescent="0.35">
      <c r="F11672"/>
    </row>
    <row r="11673" spans="6:6" x14ac:dyDescent="0.35">
      <c r="F11673"/>
    </row>
    <row r="11674" spans="6:6" x14ac:dyDescent="0.35">
      <c r="F11674"/>
    </row>
    <row r="11675" spans="6:6" x14ac:dyDescent="0.35">
      <c r="F11675"/>
    </row>
    <row r="11676" spans="6:6" x14ac:dyDescent="0.35">
      <c r="F11676"/>
    </row>
    <row r="11677" spans="6:6" x14ac:dyDescent="0.35">
      <c r="F11677"/>
    </row>
    <row r="11678" spans="6:6" x14ac:dyDescent="0.35">
      <c r="F11678"/>
    </row>
    <row r="11679" spans="6:6" x14ac:dyDescent="0.35">
      <c r="F11679"/>
    </row>
    <row r="11680" spans="6:6" x14ac:dyDescent="0.35">
      <c r="F11680"/>
    </row>
    <row r="11681" spans="6:6" x14ac:dyDescent="0.35">
      <c r="F11681"/>
    </row>
    <row r="11682" spans="6:6" x14ac:dyDescent="0.35">
      <c r="F11682"/>
    </row>
    <row r="11683" spans="6:6" x14ac:dyDescent="0.35">
      <c r="F11683"/>
    </row>
    <row r="11684" spans="6:6" x14ac:dyDescent="0.35">
      <c r="F11684"/>
    </row>
    <row r="11685" spans="6:6" x14ac:dyDescent="0.35">
      <c r="F11685"/>
    </row>
    <row r="11686" spans="6:6" x14ac:dyDescent="0.35">
      <c r="F11686"/>
    </row>
    <row r="11687" spans="6:6" x14ac:dyDescent="0.35">
      <c r="F11687"/>
    </row>
    <row r="11688" spans="6:6" x14ac:dyDescent="0.35">
      <c r="F11688"/>
    </row>
    <row r="11689" spans="6:6" x14ac:dyDescent="0.35">
      <c r="F11689"/>
    </row>
    <row r="11690" spans="6:6" x14ac:dyDescent="0.35">
      <c r="F11690"/>
    </row>
    <row r="11691" spans="6:6" x14ac:dyDescent="0.35">
      <c r="F11691"/>
    </row>
    <row r="11692" spans="6:6" x14ac:dyDescent="0.35">
      <c r="F11692"/>
    </row>
    <row r="11693" spans="6:6" x14ac:dyDescent="0.35">
      <c r="F11693"/>
    </row>
    <row r="11694" spans="6:6" x14ac:dyDescent="0.35">
      <c r="F11694"/>
    </row>
    <row r="11695" spans="6:6" x14ac:dyDescent="0.35">
      <c r="F11695"/>
    </row>
    <row r="11696" spans="6:6" x14ac:dyDescent="0.35">
      <c r="F11696"/>
    </row>
    <row r="11697" spans="6:6" x14ac:dyDescent="0.35">
      <c r="F11697"/>
    </row>
    <row r="11698" spans="6:6" x14ac:dyDescent="0.35">
      <c r="F11698"/>
    </row>
    <row r="11699" spans="6:6" x14ac:dyDescent="0.35">
      <c r="F11699"/>
    </row>
    <row r="11700" spans="6:6" x14ac:dyDescent="0.35">
      <c r="F11700"/>
    </row>
    <row r="11701" spans="6:6" x14ac:dyDescent="0.35">
      <c r="F11701"/>
    </row>
    <row r="11702" spans="6:6" x14ac:dyDescent="0.35">
      <c r="F11702"/>
    </row>
    <row r="11703" spans="6:6" x14ac:dyDescent="0.35">
      <c r="F11703"/>
    </row>
    <row r="11704" spans="6:6" x14ac:dyDescent="0.35">
      <c r="F11704"/>
    </row>
    <row r="11705" spans="6:6" x14ac:dyDescent="0.35">
      <c r="F11705"/>
    </row>
    <row r="11706" spans="6:6" x14ac:dyDescent="0.35">
      <c r="F11706"/>
    </row>
    <row r="11707" spans="6:6" x14ac:dyDescent="0.35">
      <c r="F11707"/>
    </row>
    <row r="11708" spans="6:6" x14ac:dyDescent="0.35">
      <c r="F11708"/>
    </row>
    <row r="11709" spans="6:6" x14ac:dyDescent="0.35">
      <c r="F11709"/>
    </row>
    <row r="11710" spans="6:6" x14ac:dyDescent="0.35">
      <c r="F11710"/>
    </row>
    <row r="11711" spans="6:6" x14ac:dyDescent="0.35">
      <c r="F11711"/>
    </row>
    <row r="11712" spans="6:6" x14ac:dyDescent="0.35">
      <c r="F11712"/>
    </row>
    <row r="11713" spans="6:6" x14ac:dyDescent="0.35">
      <c r="F11713"/>
    </row>
    <row r="11714" spans="6:6" x14ac:dyDescent="0.35">
      <c r="F11714"/>
    </row>
    <row r="11715" spans="6:6" x14ac:dyDescent="0.35">
      <c r="F11715"/>
    </row>
    <row r="11716" spans="6:6" x14ac:dyDescent="0.35">
      <c r="F11716"/>
    </row>
    <row r="11717" spans="6:6" x14ac:dyDescent="0.35">
      <c r="F11717"/>
    </row>
    <row r="11718" spans="6:6" x14ac:dyDescent="0.35">
      <c r="F11718"/>
    </row>
    <row r="11719" spans="6:6" x14ac:dyDescent="0.35">
      <c r="F11719"/>
    </row>
    <row r="11720" spans="6:6" x14ac:dyDescent="0.35">
      <c r="F11720"/>
    </row>
    <row r="11721" spans="6:6" x14ac:dyDescent="0.35">
      <c r="F11721"/>
    </row>
    <row r="11722" spans="6:6" x14ac:dyDescent="0.35">
      <c r="F11722"/>
    </row>
    <row r="11723" spans="6:6" x14ac:dyDescent="0.35">
      <c r="F11723"/>
    </row>
    <row r="11724" spans="6:6" x14ac:dyDescent="0.35">
      <c r="F11724"/>
    </row>
    <row r="11725" spans="6:6" x14ac:dyDescent="0.35">
      <c r="F11725"/>
    </row>
    <row r="11726" spans="6:6" x14ac:dyDescent="0.35">
      <c r="F11726"/>
    </row>
    <row r="11727" spans="6:6" x14ac:dyDescent="0.35">
      <c r="F11727"/>
    </row>
    <row r="11728" spans="6:6" x14ac:dyDescent="0.35">
      <c r="F11728"/>
    </row>
    <row r="11729" spans="6:6" x14ac:dyDescent="0.35">
      <c r="F11729"/>
    </row>
    <row r="11730" spans="6:6" x14ac:dyDescent="0.35">
      <c r="F11730"/>
    </row>
    <row r="11731" spans="6:6" x14ac:dyDescent="0.35">
      <c r="F11731"/>
    </row>
    <row r="11732" spans="6:6" x14ac:dyDescent="0.35">
      <c r="F11732"/>
    </row>
    <row r="11733" spans="6:6" x14ac:dyDescent="0.35">
      <c r="F11733"/>
    </row>
    <row r="11734" spans="6:6" x14ac:dyDescent="0.35">
      <c r="F11734"/>
    </row>
    <row r="11735" spans="6:6" x14ac:dyDescent="0.35">
      <c r="F11735"/>
    </row>
    <row r="11736" spans="6:6" x14ac:dyDescent="0.35">
      <c r="F11736"/>
    </row>
    <row r="11737" spans="6:6" x14ac:dyDescent="0.35">
      <c r="F11737"/>
    </row>
    <row r="11738" spans="6:6" x14ac:dyDescent="0.35">
      <c r="F11738"/>
    </row>
    <row r="11739" spans="6:6" x14ac:dyDescent="0.35">
      <c r="F11739"/>
    </row>
    <row r="11740" spans="6:6" x14ac:dyDescent="0.35">
      <c r="F11740"/>
    </row>
    <row r="11741" spans="6:6" x14ac:dyDescent="0.35">
      <c r="F11741"/>
    </row>
    <row r="11742" spans="6:6" x14ac:dyDescent="0.35">
      <c r="F11742"/>
    </row>
    <row r="11743" spans="6:6" x14ac:dyDescent="0.35">
      <c r="F11743"/>
    </row>
    <row r="11744" spans="6:6" x14ac:dyDescent="0.35">
      <c r="F11744"/>
    </row>
    <row r="11745" spans="6:6" x14ac:dyDescent="0.35">
      <c r="F11745"/>
    </row>
    <row r="11746" spans="6:6" x14ac:dyDescent="0.35">
      <c r="F11746"/>
    </row>
    <row r="11747" spans="6:6" x14ac:dyDescent="0.35">
      <c r="F11747"/>
    </row>
    <row r="11748" spans="6:6" x14ac:dyDescent="0.35">
      <c r="F11748"/>
    </row>
    <row r="11749" spans="6:6" x14ac:dyDescent="0.35">
      <c r="F11749"/>
    </row>
    <row r="11750" spans="6:6" x14ac:dyDescent="0.35">
      <c r="F11750"/>
    </row>
    <row r="11751" spans="6:6" x14ac:dyDescent="0.35">
      <c r="F11751"/>
    </row>
    <row r="11752" spans="6:6" x14ac:dyDescent="0.35">
      <c r="F11752"/>
    </row>
    <row r="11753" spans="6:6" x14ac:dyDescent="0.35">
      <c r="F11753"/>
    </row>
    <row r="11754" spans="6:6" x14ac:dyDescent="0.35">
      <c r="F11754"/>
    </row>
    <row r="11755" spans="6:6" x14ac:dyDescent="0.35">
      <c r="F11755"/>
    </row>
    <row r="11756" spans="6:6" x14ac:dyDescent="0.35">
      <c r="F11756"/>
    </row>
    <row r="11757" spans="6:6" x14ac:dyDescent="0.35">
      <c r="F11757"/>
    </row>
    <row r="11758" spans="6:6" x14ac:dyDescent="0.35">
      <c r="F11758"/>
    </row>
    <row r="11759" spans="6:6" x14ac:dyDescent="0.35">
      <c r="F11759"/>
    </row>
    <row r="11760" spans="6:6" x14ac:dyDescent="0.35">
      <c r="F11760"/>
    </row>
    <row r="11761" spans="6:6" x14ac:dyDescent="0.35">
      <c r="F11761"/>
    </row>
    <row r="11762" spans="6:6" x14ac:dyDescent="0.35">
      <c r="F11762"/>
    </row>
    <row r="11763" spans="6:6" x14ac:dyDescent="0.35">
      <c r="F11763"/>
    </row>
    <row r="11764" spans="6:6" x14ac:dyDescent="0.35">
      <c r="F11764"/>
    </row>
    <row r="11765" spans="6:6" x14ac:dyDescent="0.35">
      <c r="F11765"/>
    </row>
    <row r="11766" spans="6:6" x14ac:dyDescent="0.35">
      <c r="F11766"/>
    </row>
    <row r="11767" spans="6:6" x14ac:dyDescent="0.35">
      <c r="F11767"/>
    </row>
    <row r="11768" spans="6:6" x14ac:dyDescent="0.35">
      <c r="F11768"/>
    </row>
    <row r="11769" spans="6:6" x14ac:dyDescent="0.35">
      <c r="F11769"/>
    </row>
    <row r="11770" spans="6:6" x14ac:dyDescent="0.35">
      <c r="F11770"/>
    </row>
    <row r="11771" spans="6:6" x14ac:dyDescent="0.35">
      <c r="F11771"/>
    </row>
    <row r="11772" spans="6:6" x14ac:dyDescent="0.35">
      <c r="F11772"/>
    </row>
    <row r="11773" spans="6:6" x14ac:dyDescent="0.35">
      <c r="F11773"/>
    </row>
    <row r="11774" spans="6:6" x14ac:dyDescent="0.35">
      <c r="F11774"/>
    </row>
    <row r="11775" spans="6:6" x14ac:dyDescent="0.35">
      <c r="F11775"/>
    </row>
    <row r="11776" spans="6:6" x14ac:dyDescent="0.35">
      <c r="F11776"/>
    </row>
    <row r="11777" spans="6:6" x14ac:dyDescent="0.35">
      <c r="F11777"/>
    </row>
    <row r="11778" spans="6:6" x14ac:dyDescent="0.35">
      <c r="F11778"/>
    </row>
    <row r="11779" spans="6:6" x14ac:dyDescent="0.35">
      <c r="F11779"/>
    </row>
    <row r="11780" spans="6:6" x14ac:dyDescent="0.35">
      <c r="F11780"/>
    </row>
    <row r="11781" spans="6:6" x14ac:dyDescent="0.35">
      <c r="F11781"/>
    </row>
    <row r="11782" spans="6:6" x14ac:dyDescent="0.35">
      <c r="F11782"/>
    </row>
    <row r="11783" spans="6:6" x14ac:dyDescent="0.35">
      <c r="F11783"/>
    </row>
    <row r="11784" spans="6:6" x14ac:dyDescent="0.35">
      <c r="F11784"/>
    </row>
    <row r="11785" spans="6:6" x14ac:dyDescent="0.35">
      <c r="F11785"/>
    </row>
    <row r="11786" spans="6:6" x14ac:dyDescent="0.35">
      <c r="F11786"/>
    </row>
    <row r="11787" spans="6:6" x14ac:dyDescent="0.35">
      <c r="F11787"/>
    </row>
    <row r="11788" spans="6:6" x14ac:dyDescent="0.35">
      <c r="F11788"/>
    </row>
    <row r="11789" spans="6:6" x14ac:dyDescent="0.35">
      <c r="F11789"/>
    </row>
    <row r="11790" spans="6:6" x14ac:dyDescent="0.35">
      <c r="F11790"/>
    </row>
    <row r="11791" spans="6:6" x14ac:dyDescent="0.35">
      <c r="F11791"/>
    </row>
    <row r="11792" spans="6:6" x14ac:dyDescent="0.35">
      <c r="F11792"/>
    </row>
    <row r="11793" spans="6:6" x14ac:dyDescent="0.35">
      <c r="F11793"/>
    </row>
    <row r="11794" spans="6:6" x14ac:dyDescent="0.35">
      <c r="F11794"/>
    </row>
    <row r="11795" spans="6:6" x14ac:dyDescent="0.35">
      <c r="F11795"/>
    </row>
    <row r="11796" spans="6:6" x14ac:dyDescent="0.35">
      <c r="F11796"/>
    </row>
    <row r="11797" spans="6:6" x14ac:dyDescent="0.35">
      <c r="F11797"/>
    </row>
    <row r="11798" spans="6:6" x14ac:dyDescent="0.35">
      <c r="F11798"/>
    </row>
    <row r="11799" spans="6:6" x14ac:dyDescent="0.35">
      <c r="F11799"/>
    </row>
    <row r="11800" spans="6:6" x14ac:dyDescent="0.35">
      <c r="F11800"/>
    </row>
    <row r="11801" spans="6:6" x14ac:dyDescent="0.35">
      <c r="F11801"/>
    </row>
    <row r="11802" spans="6:6" x14ac:dyDescent="0.35">
      <c r="F11802"/>
    </row>
    <row r="11803" spans="6:6" x14ac:dyDescent="0.35">
      <c r="F11803"/>
    </row>
    <row r="11804" spans="6:6" x14ac:dyDescent="0.35">
      <c r="F11804"/>
    </row>
    <row r="11805" spans="6:6" x14ac:dyDescent="0.35">
      <c r="F11805"/>
    </row>
    <row r="11806" spans="6:6" x14ac:dyDescent="0.35">
      <c r="F11806"/>
    </row>
    <row r="11807" spans="6:6" x14ac:dyDescent="0.35">
      <c r="F11807"/>
    </row>
    <row r="11808" spans="6:6" x14ac:dyDescent="0.35">
      <c r="F11808"/>
    </row>
    <row r="11809" spans="6:6" x14ac:dyDescent="0.35">
      <c r="F11809"/>
    </row>
    <row r="11810" spans="6:6" x14ac:dyDescent="0.35">
      <c r="F11810"/>
    </row>
    <row r="11811" spans="6:6" x14ac:dyDescent="0.35">
      <c r="F11811"/>
    </row>
    <row r="11812" spans="6:6" x14ac:dyDescent="0.35">
      <c r="F11812"/>
    </row>
    <row r="11813" spans="6:6" x14ac:dyDescent="0.35">
      <c r="F11813"/>
    </row>
    <row r="11814" spans="6:6" x14ac:dyDescent="0.35">
      <c r="F11814"/>
    </row>
    <row r="11815" spans="6:6" x14ac:dyDescent="0.35">
      <c r="F11815"/>
    </row>
    <row r="11816" spans="6:6" x14ac:dyDescent="0.35">
      <c r="F11816"/>
    </row>
    <row r="11817" spans="6:6" x14ac:dyDescent="0.35">
      <c r="F11817"/>
    </row>
    <row r="11818" spans="6:6" x14ac:dyDescent="0.35">
      <c r="F11818"/>
    </row>
    <row r="11819" spans="6:6" x14ac:dyDescent="0.35">
      <c r="F11819"/>
    </row>
    <row r="11820" spans="6:6" x14ac:dyDescent="0.35">
      <c r="F11820"/>
    </row>
    <row r="11821" spans="6:6" x14ac:dyDescent="0.35">
      <c r="F11821"/>
    </row>
    <row r="11822" spans="6:6" x14ac:dyDescent="0.35">
      <c r="F11822"/>
    </row>
    <row r="11823" spans="6:6" x14ac:dyDescent="0.35">
      <c r="F11823"/>
    </row>
    <row r="11824" spans="6:6" x14ac:dyDescent="0.35">
      <c r="F11824"/>
    </row>
    <row r="11825" spans="6:6" x14ac:dyDescent="0.35">
      <c r="F11825"/>
    </row>
    <row r="11826" spans="6:6" x14ac:dyDescent="0.35">
      <c r="F11826"/>
    </row>
    <row r="11827" spans="6:6" x14ac:dyDescent="0.35">
      <c r="F11827"/>
    </row>
    <row r="11828" spans="6:6" x14ac:dyDescent="0.35">
      <c r="F11828"/>
    </row>
    <row r="11829" spans="6:6" x14ac:dyDescent="0.35">
      <c r="F11829"/>
    </row>
    <row r="11830" spans="6:6" x14ac:dyDescent="0.35">
      <c r="F11830"/>
    </row>
    <row r="11831" spans="6:6" x14ac:dyDescent="0.35">
      <c r="F11831"/>
    </row>
    <row r="11832" spans="6:6" x14ac:dyDescent="0.35">
      <c r="F11832"/>
    </row>
    <row r="11833" spans="6:6" x14ac:dyDescent="0.35">
      <c r="F11833"/>
    </row>
    <row r="11834" spans="6:6" x14ac:dyDescent="0.35">
      <c r="F11834"/>
    </row>
    <row r="11835" spans="6:6" x14ac:dyDescent="0.35">
      <c r="F11835"/>
    </row>
    <row r="11836" spans="6:6" x14ac:dyDescent="0.35">
      <c r="F11836"/>
    </row>
    <row r="11837" spans="6:6" x14ac:dyDescent="0.35">
      <c r="F11837"/>
    </row>
    <row r="11838" spans="6:6" x14ac:dyDescent="0.35">
      <c r="F11838"/>
    </row>
    <row r="11839" spans="6:6" x14ac:dyDescent="0.35">
      <c r="F11839"/>
    </row>
    <row r="11840" spans="6:6" x14ac:dyDescent="0.35">
      <c r="F11840"/>
    </row>
    <row r="11841" spans="6:6" x14ac:dyDescent="0.35">
      <c r="F11841"/>
    </row>
    <row r="11842" spans="6:6" x14ac:dyDescent="0.35">
      <c r="F11842"/>
    </row>
    <row r="11843" spans="6:6" x14ac:dyDescent="0.35">
      <c r="F11843"/>
    </row>
    <row r="11844" spans="6:6" x14ac:dyDescent="0.35">
      <c r="F11844"/>
    </row>
    <row r="11845" spans="6:6" x14ac:dyDescent="0.35">
      <c r="F11845"/>
    </row>
    <row r="11846" spans="6:6" x14ac:dyDescent="0.35">
      <c r="F11846"/>
    </row>
    <row r="11847" spans="6:6" x14ac:dyDescent="0.35">
      <c r="F11847"/>
    </row>
    <row r="11848" spans="6:6" x14ac:dyDescent="0.35">
      <c r="F11848"/>
    </row>
    <row r="11849" spans="6:6" x14ac:dyDescent="0.35">
      <c r="F11849"/>
    </row>
    <row r="11850" spans="6:6" x14ac:dyDescent="0.35">
      <c r="F11850"/>
    </row>
    <row r="11851" spans="6:6" x14ac:dyDescent="0.35">
      <c r="F11851"/>
    </row>
    <row r="11852" spans="6:6" x14ac:dyDescent="0.35">
      <c r="F11852"/>
    </row>
    <row r="11853" spans="6:6" x14ac:dyDescent="0.35">
      <c r="F11853"/>
    </row>
    <row r="11854" spans="6:6" x14ac:dyDescent="0.35">
      <c r="F11854"/>
    </row>
    <row r="11855" spans="6:6" x14ac:dyDescent="0.35">
      <c r="F11855"/>
    </row>
    <row r="11856" spans="6:6" x14ac:dyDescent="0.35">
      <c r="F11856"/>
    </row>
    <row r="11857" spans="6:6" x14ac:dyDescent="0.35">
      <c r="F11857"/>
    </row>
    <row r="11858" spans="6:6" x14ac:dyDescent="0.35">
      <c r="F11858"/>
    </row>
    <row r="11859" spans="6:6" x14ac:dyDescent="0.35">
      <c r="F11859"/>
    </row>
    <row r="11860" spans="6:6" x14ac:dyDescent="0.35">
      <c r="F11860"/>
    </row>
    <row r="11861" spans="6:6" x14ac:dyDescent="0.35">
      <c r="F11861"/>
    </row>
    <row r="11862" spans="6:6" x14ac:dyDescent="0.35">
      <c r="F11862"/>
    </row>
    <row r="11863" spans="6:6" x14ac:dyDescent="0.35">
      <c r="F11863"/>
    </row>
    <row r="11864" spans="6:6" x14ac:dyDescent="0.35">
      <c r="F11864"/>
    </row>
    <row r="11865" spans="6:6" x14ac:dyDescent="0.35">
      <c r="F11865"/>
    </row>
    <row r="11866" spans="6:6" x14ac:dyDescent="0.35">
      <c r="F11866"/>
    </row>
    <row r="11867" spans="6:6" x14ac:dyDescent="0.35">
      <c r="F11867"/>
    </row>
    <row r="11868" spans="6:6" x14ac:dyDescent="0.35">
      <c r="F11868"/>
    </row>
    <row r="11869" spans="6:6" x14ac:dyDescent="0.35">
      <c r="F11869"/>
    </row>
    <row r="11870" spans="6:6" x14ac:dyDescent="0.35">
      <c r="F11870"/>
    </row>
    <row r="11871" spans="6:6" x14ac:dyDescent="0.35">
      <c r="F11871"/>
    </row>
    <row r="11872" spans="6:6" x14ac:dyDescent="0.35">
      <c r="F11872"/>
    </row>
    <row r="11873" spans="6:6" x14ac:dyDescent="0.35">
      <c r="F11873"/>
    </row>
    <row r="11874" spans="6:6" x14ac:dyDescent="0.35">
      <c r="F11874"/>
    </row>
    <row r="11875" spans="6:6" x14ac:dyDescent="0.35">
      <c r="F11875"/>
    </row>
    <row r="11876" spans="6:6" x14ac:dyDescent="0.35">
      <c r="F11876"/>
    </row>
    <row r="11877" spans="6:6" x14ac:dyDescent="0.35">
      <c r="F11877"/>
    </row>
    <row r="11878" spans="6:6" x14ac:dyDescent="0.35">
      <c r="F11878"/>
    </row>
    <row r="11879" spans="6:6" x14ac:dyDescent="0.35">
      <c r="F11879"/>
    </row>
    <row r="11880" spans="6:6" x14ac:dyDescent="0.35">
      <c r="F11880"/>
    </row>
    <row r="11881" spans="6:6" x14ac:dyDescent="0.35">
      <c r="F11881"/>
    </row>
    <row r="11882" spans="6:6" x14ac:dyDescent="0.35">
      <c r="F11882"/>
    </row>
    <row r="11883" spans="6:6" x14ac:dyDescent="0.35">
      <c r="F11883"/>
    </row>
    <row r="11884" spans="6:6" x14ac:dyDescent="0.35">
      <c r="F11884"/>
    </row>
    <row r="11885" spans="6:6" x14ac:dyDescent="0.35">
      <c r="F11885"/>
    </row>
    <row r="11886" spans="6:6" x14ac:dyDescent="0.35">
      <c r="F11886"/>
    </row>
    <row r="11887" spans="6:6" x14ac:dyDescent="0.35">
      <c r="F11887"/>
    </row>
    <row r="11888" spans="6:6" x14ac:dyDescent="0.35">
      <c r="F11888"/>
    </row>
    <row r="11889" spans="6:6" x14ac:dyDescent="0.35">
      <c r="F11889"/>
    </row>
    <row r="11890" spans="6:6" x14ac:dyDescent="0.35">
      <c r="F11890"/>
    </row>
    <row r="11891" spans="6:6" x14ac:dyDescent="0.35">
      <c r="F11891"/>
    </row>
    <row r="11892" spans="6:6" x14ac:dyDescent="0.35">
      <c r="F11892"/>
    </row>
    <row r="11893" spans="6:6" x14ac:dyDescent="0.35">
      <c r="F11893"/>
    </row>
    <row r="11894" spans="6:6" x14ac:dyDescent="0.35">
      <c r="F11894"/>
    </row>
    <row r="11895" spans="6:6" x14ac:dyDescent="0.35">
      <c r="F11895"/>
    </row>
    <row r="11896" spans="6:6" x14ac:dyDescent="0.35">
      <c r="F11896"/>
    </row>
    <row r="11897" spans="6:6" x14ac:dyDescent="0.35">
      <c r="F11897"/>
    </row>
    <row r="11898" spans="6:6" x14ac:dyDescent="0.35">
      <c r="F11898"/>
    </row>
    <row r="11899" spans="6:6" x14ac:dyDescent="0.35">
      <c r="F11899"/>
    </row>
    <row r="11900" spans="6:6" x14ac:dyDescent="0.35">
      <c r="F11900"/>
    </row>
    <row r="11901" spans="6:6" x14ac:dyDescent="0.35">
      <c r="F11901"/>
    </row>
    <row r="11902" spans="6:6" x14ac:dyDescent="0.35">
      <c r="F11902"/>
    </row>
    <row r="11903" spans="6:6" x14ac:dyDescent="0.35">
      <c r="F11903"/>
    </row>
    <row r="11904" spans="6:6" x14ac:dyDescent="0.35">
      <c r="F11904"/>
    </row>
    <row r="11905" spans="6:6" x14ac:dyDescent="0.35">
      <c r="F11905"/>
    </row>
    <row r="11906" spans="6:6" x14ac:dyDescent="0.35">
      <c r="F11906"/>
    </row>
    <row r="11907" spans="6:6" x14ac:dyDescent="0.35">
      <c r="F11907"/>
    </row>
    <row r="11908" spans="6:6" x14ac:dyDescent="0.35">
      <c r="F11908"/>
    </row>
    <row r="11909" spans="6:6" x14ac:dyDescent="0.35">
      <c r="F11909"/>
    </row>
    <row r="11910" spans="6:6" x14ac:dyDescent="0.35">
      <c r="F11910"/>
    </row>
    <row r="11911" spans="6:6" x14ac:dyDescent="0.35">
      <c r="F11911"/>
    </row>
    <row r="11912" spans="6:6" x14ac:dyDescent="0.35">
      <c r="F11912"/>
    </row>
    <row r="11913" spans="6:6" x14ac:dyDescent="0.35">
      <c r="F11913"/>
    </row>
    <row r="11914" spans="6:6" x14ac:dyDescent="0.35">
      <c r="F11914"/>
    </row>
    <row r="11915" spans="6:6" x14ac:dyDescent="0.35">
      <c r="F11915"/>
    </row>
    <row r="11916" spans="6:6" x14ac:dyDescent="0.35">
      <c r="F11916"/>
    </row>
    <row r="11917" spans="6:6" x14ac:dyDescent="0.35">
      <c r="F11917"/>
    </row>
    <row r="11918" spans="6:6" x14ac:dyDescent="0.35">
      <c r="F11918"/>
    </row>
    <row r="11919" spans="6:6" x14ac:dyDescent="0.35">
      <c r="F11919"/>
    </row>
    <row r="11920" spans="6:6" x14ac:dyDescent="0.35">
      <c r="F11920"/>
    </row>
    <row r="11921" spans="6:6" x14ac:dyDescent="0.35">
      <c r="F11921"/>
    </row>
    <row r="11922" spans="6:6" x14ac:dyDescent="0.35">
      <c r="F11922"/>
    </row>
    <row r="11923" spans="6:6" x14ac:dyDescent="0.35">
      <c r="F11923"/>
    </row>
    <row r="11924" spans="6:6" x14ac:dyDescent="0.35">
      <c r="F11924"/>
    </row>
    <row r="11925" spans="6:6" x14ac:dyDescent="0.35">
      <c r="F11925"/>
    </row>
    <row r="11926" spans="6:6" x14ac:dyDescent="0.35">
      <c r="F11926"/>
    </row>
    <row r="11927" spans="6:6" x14ac:dyDescent="0.35">
      <c r="F11927"/>
    </row>
    <row r="11928" spans="6:6" x14ac:dyDescent="0.35">
      <c r="F11928"/>
    </row>
    <row r="11929" spans="6:6" x14ac:dyDescent="0.35">
      <c r="F11929"/>
    </row>
    <row r="11930" spans="6:6" x14ac:dyDescent="0.35">
      <c r="F11930"/>
    </row>
    <row r="11931" spans="6:6" x14ac:dyDescent="0.35">
      <c r="F11931"/>
    </row>
    <row r="11932" spans="6:6" x14ac:dyDescent="0.35">
      <c r="F11932"/>
    </row>
    <row r="11933" spans="6:6" x14ac:dyDescent="0.35">
      <c r="F11933"/>
    </row>
    <row r="11934" spans="6:6" x14ac:dyDescent="0.35">
      <c r="F11934"/>
    </row>
    <row r="11935" spans="6:6" x14ac:dyDescent="0.35">
      <c r="F11935"/>
    </row>
    <row r="11936" spans="6:6" x14ac:dyDescent="0.35">
      <c r="F11936"/>
    </row>
    <row r="11937" spans="6:6" x14ac:dyDescent="0.35">
      <c r="F11937"/>
    </row>
    <row r="11938" spans="6:6" x14ac:dyDescent="0.35">
      <c r="F11938"/>
    </row>
    <row r="11939" spans="6:6" x14ac:dyDescent="0.35">
      <c r="F11939"/>
    </row>
    <row r="11940" spans="6:6" x14ac:dyDescent="0.35">
      <c r="F11940"/>
    </row>
    <row r="11941" spans="6:6" x14ac:dyDescent="0.35">
      <c r="F11941"/>
    </row>
    <row r="11942" spans="6:6" x14ac:dyDescent="0.35">
      <c r="F11942"/>
    </row>
    <row r="11943" spans="6:6" x14ac:dyDescent="0.35">
      <c r="F11943"/>
    </row>
    <row r="11944" spans="6:6" x14ac:dyDescent="0.35">
      <c r="F11944"/>
    </row>
    <row r="11945" spans="6:6" x14ac:dyDescent="0.35">
      <c r="F11945"/>
    </row>
    <row r="11946" spans="6:6" x14ac:dyDescent="0.35">
      <c r="F11946"/>
    </row>
    <row r="11947" spans="6:6" x14ac:dyDescent="0.35">
      <c r="F11947"/>
    </row>
    <row r="11948" spans="6:6" x14ac:dyDescent="0.35">
      <c r="F11948"/>
    </row>
    <row r="11949" spans="6:6" x14ac:dyDescent="0.35">
      <c r="F11949"/>
    </row>
    <row r="11950" spans="6:6" x14ac:dyDescent="0.35">
      <c r="F11950"/>
    </row>
    <row r="11951" spans="6:6" x14ac:dyDescent="0.35">
      <c r="F11951"/>
    </row>
    <row r="11952" spans="6:6" x14ac:dyDescent="0.35">
      <c r="F11952"/>
    </row>
    <row r="11953" spans="6:6" x14ac:dyDescent="0.35">
      <c r="F11953"/>
    </row>
    <row r="11954" spans="6:6" x14ac:dyDescent="0.35">
      <c r="F11954"/>
    </row>
    <row r="11955" spans="6:6" x14ac:dyDescent="0.35">
      <c r="F11955"/>
    </row>
    <row r="11956" spans="6:6" x14ac:dyDescent="0.35">
      <c r="F11956"/>
    </row>
    <row r="11957" spans="6:6" x14ac:dyDescent="0.35">
      <c r="F11957"/>
    </row>
    <row r="11958" spans="6:6" x14ac:dyDescent="0.35">
      <c r="F11958"/>
    </row>
    <row r="11959" spans="6:6" x14ac:dyDescent="0.35">
      <c r="F11959"/>
    </row>
    <row r="11960" spans="6:6" x14ac:dyDescent="0.35">
      <c r="F11960"/>
    </row>
    <row r="11961" spans="6:6" x14ac:dyDescent="0.35">
      <c r="F11961"/>
    </row>
    <row r="11962" spans="6:6" x14ac:dyDescent="0.35">
      <c r="F11962"/>
    </row>
    <row r="11963" spans="6:6" x14ac:dyDescent="0.35">
      <c r="F11963"/>
    </row>
    <row r="11964" spans="6:6" x14ac:dyDescent="0.35">
      <c r="F11964"/>
    </row>
    <row r="11965" spans="6:6" x14ac:dyDescent="0.35">
      <c r="F11965"/>
    </row>
    <row r="11966" spans="6:6" x14ac:dyDescent="0.35">
      <c r="F11966"/>
    </row>
    <row r="11967" spans="6:6" x14ac:dyDescent="0.35">
      <c r="F11967"/>
    </row>
    <row r="11968" spans="6:6" x14ac:dyDescent="0.35">
      <c r="F11968"/>
    </row>
    <row r="11969" spans="6:6" x14ac:dyDescent="0.35">
      <c r="F11969"/>
    </row>
    <row r="11970" spans="6:6" x14ac:dyDescent="0.35">
      <c r="F11970"/>
    </row>
    <row r="11971" spans="6:6" x14ac:dyDescent="0.35">
      <c r="F11971"/>
    </row>
    <row r="11972" spans="6:6" x14ac:dyDescent="0.35">
      <c r="F11972"/>
    </row>
    <row r="11973" spans="6:6" x14ac:dyDescent="0.35">
      <c r="F11973"/>
    </row>
    <row r="11974" spans="6:6" x14ac:dyDescent="0.35">
      <c r="F11974"/>
    </row>
    <row r="11975" spans="6:6" x14ac:dyDescent="0.35">
      <c r="F11975"/>
    </row>
    <row r="11976" spans="6:6" x14ac:dyDescent="0.35">
      <c r="F11976"/>
    </row>
    <row r="11977" spans="6:6" x14ac:dyDescent="0.35">
      <c r="F11977"/>
    </row>
    <row r="11978" spans="6:6" x14ac:dyDescent="0.35">
      <c r="F11978"/>
    </row>
    <row r="11979" spans="6:6" x14ac:dyDescent="0.35">
      <c r="F11979"/>
    </row>
    <row r="11980" spans="6:6" x14ac:dyDescent="0.35">
      <c r="F11980"/>
    </row>
    <row r="11981" spans="6:6" x14ac:dyDescent="0.35">
      <c r="F11981"/>
    </row>
    <row r="11982" spans="6:6" x14ac:dyDescent="0.35">
      <c r="F11982"/>
    </row>
    <row r="11983" spans="6:6" x14ac:dyDescent="0.35">
      <c r="F11983"/>
    </row>
    <row r="11984" spans="6:6" x14ac:dyDescent="0.35">
      <c r="F11984"/>
    </row>
    <row r="11985" spans="6:6" x14ac:dyDescent="0.35">
      <c r="F11985"/>
    </row>
    <row r="11986" spans="6:6" x14ac:dyDescent="0.35">
      <c r="F11986"/>
    </row>
    <row r="11987" spans="6:6" x14ac:dyDescent="0.35">
      <c r="F11987"/>
    </row>
    <row r="11988" spans="6:6" x14ac:dyDescent="0.35">
      <c r="F11988"/>
    </row>
    <row r="11989" spans="6:6" x14ac:dyDescent="0.35">
      <c r="F11989"/>
    </row>
    <row r="11990" spans="6:6" x14ac:dyDescent="0.35">
      <c r="F11990"/>
    </row>
    <row r="11991" spans="6:6" x14ac:dyDescent="0.35">
      <c r="F11991"/>
    </row>
    <row r="11992" spans="6:6" x14ac:dyDescent="0.35">
      <c r="F11992"/>
    </row>
    <row r="11993" spans="6:6" x14ac:dyDescent="0.35">
      <c r="F11993"/>
    </row>
    <row r="11994" spans="6:6" x14ac:dyDescent="0.35">
      <c r="F11994"/>
    </row>
    <row r="11995" spans="6:6" x14ac:dyDescent="0.35">
      <c r="F11995"/>
    </row>
    <row r="11996" spans="6:6" x14ac:dyDescent="0.35">
      <c r="F11996"/>
    </row>
    <row r="11997" spans="6:6" x14ac:dyDescent="0.35">
      <c r="F11997"/>
    </row>
    <row r="11998" spans="6:6" x14ac:dyDescent="0.35">
      <c r="F11998"/>
    </row>
    <row r="11999" spans="6:6" x14ac:dyDescent="0.35">
      <c r="F11999"/>
    </row>
    <row r="12000" spans="6:6" x14ac:dyDescent="0.35">
      <c r="F12000"/>
    </row>
    <row r="12001" spans="6:6" x14ac:dyDescent="0.35">
      <c r="F12001"/>
    </row>
    <row r="12002" spans="6:6" x14ac:dyDescent="0.35">
      <c r="F12002"/>
    </row>
    <row r="12003" spans="6:6" x14ac:dyDescent="0.35">
      <c r="F12003"/>
    </row>
    <row r="12004" spans="6:6" x14ac:dyDescent="0.35">
      <c r="F12004"/>
    </row>
    <row r="12005" spans="6:6" x14ac:dyDescent="0.35">
      <c r="F12005"/>
    </row>
    <row r="12006" spans="6:6" x14ac:dyDescent="0.35">
      <c r="F12006"/>
    </row>
    <row r="12007" spans="6:6" x14ac:dyDescent="0.35">
      <c r="F12007"/>
    </row>
    <row r="12008" spans="6:6" x14ac:dyDescent="0.35">
      <c r="F12008"/>
    </row>
    <row r="12009" spans="6:6" x14ac:dyDescent="0.35">
      <c r="F12009"/>
    </row>
    <row r="12010" spans="6:6" x14ac:dyDescent="0.35">
      <c r="F12010"/>
    </row>
    <row r="12011" spans="6:6" x14ac:dyDescent="0.35">
      <c r="F12011"/>
    </row>
    <row r="12012" spans="6:6" x14ac:dyDescent="0.35">
      <c r="F12012"/>
    </row>
    <row r="12013" spans="6:6" x14ac:dyDescent="0.35">
      <c r="F12013"/>
    </row>
    <row r="12014" spans="6:6" x14ac:dyDescent="0.35">
      <c r="F12014"/>
    </row>
    <row r="12015" spans="6:6" x14ac:dyDescent="0.35">
      <c r="F12015"/>
    </row>
    <row r="12016" spans="6:6" x14ac:dyDescent="0.35">
      <c r="F12016"/>
    </row>
    <row r="12017" spans="6:6" x14ac:dyDescent="0.35">
      <c r="F12017"/>
    </row>
    <row r="12018" spans="6:6" x14ac:dyDescent="0.35">
      <c r="F12018"/>
    </row>
    <row r="12019" spans="6:6" x14ac:dyDescent="0.35">
      <c r="F12019"/>
    </row>
    <row r="12020" spans="6:6" x14ac:dyDescent="0.35">
      <c r="F12020"/>
    </row>
    <row r="12021" spans="6:6" x14ac:dyDescent="0.35">
      <c r="F12021"/>
    </row>
    <row r="12022" spans="6:6" x14ac:dyDescent="0.35">
      <c r="F12022"/>
    </row>
    <row r="12023" spans="6:6" x14ac:dyDescent="0.35">
      <c r="F12023"/>
    </row>
    <row r="12024" spans="6:6" x14ac:dyDescent="0.35">
      <c r="F12024"/>
    </row>
    <row r="12025" spans="6:6" x14ac:dyDescent="0.35">
      <c r="F12025"/>
    </row>
    <row r="12026" spans="6:6" x14ac:dyDescent="0.35">
      <c r="F12026"/>
    </row>
    <row r="12027" spans="6:6" x14ac:dyDescent="0.35">
      <c r="F12027"/>
    </row>
    <row r="12028" spans="6:6" x14ac:dyDescent="0.35">
      <c r="F12028"/>
    </row>
    <row r="12029" spans="6:6" x14ac:dyDescent="0.35">
      <c r="F12029"/>
    </row>
    <row r="12030" spans="6:6" x14ac:dyDescent="0.35">
      <c r="F12030"/>
    </row>
    <row r="12031" spans="6:6" x14ac:dyDescent="0.35">
      <c r="F12031"/>
    </row>
    <row r="12032" spans="6:6" x14ac:dyDescent="0.35">
      <c r="F12032"/>
    </row>
    <row r="12033" spans="6:6" x14ac:dyDescent="0.35">
      <c r="F12033"/>
    </row>
    <row r="12034" spans="6:6" x14ac:dyDescent="0.35">
      <c r="F12034"/>
    </row>
    <row r="12035" spans="6:6" x14ac:dyDescent="0.35">
      <c r="F12035"/>
    </row>
    <row r="12036" spans="6:6" x14ac:dyDescent="0.35">
      <c r="F12036"/>
    </row>
    <row r="12037" spans="6:6" x14ac:dyDescent="0.35">
      <c r="F12037"/>
    </row>
    <row r="12038" spans="6:6" x14ac:dyDescent="0.35">
      <c r="F12038"/>
    </row>
    <row r="12039" spans="6:6" x14ac:dyDescent="0.35">
      <c r="F12039"/>
    </row>
    <row r="12040" spans="6:6" x14ac:dyDescent="0.35">
      <c r="F12040"/>
    </row>
    <row r="12041" spans="6:6" x14ac:dyDescent="0.35">
      <c r="F12041"/>
    </row>
    <row r="12042" spans="6:6" x14ac:dyDescent="0.35">
      <c r="F12042"/>
    </row>
    <row r="12043" spans="6:6" x14ac:dyDescent="0.35">
      <c r="F12043"/>
    </row>
    <row r="12044" spans="6:6" x14ac:dyDescent="0.35">
      <c r="F12044"/>
    </row>
    <row r="12045" spans="6:6" x14ac:dyDescent="0.35">
      <c r="F12045"/>
    </row>
    <row r="12046" spans="6:6" x14ac:dyDescent="0.35">
      <c r="F12046"/>
    </row>
    <row r="12047" spans="6:6" x14ac:dyDescent="0.35">
      <c r="F12047"/>
    </row>
    <row r="12048" spans="6:6" x14ac:dyDescent="0.35">
      <c r="F12048"/>
    </row>
    <row r="12049" spans="6:6" x14ac:dyDescent="0.35">
      <c r="F12049"/>
    </row>
    <row r="12050" spans="6:6" x14ac:dyDescent="0.35">
      <c r="F12050"/>
    </row>
    <row r="12051" spans="6:6" x14ac:dyDescent="0.35">
      <c r="F12051"/>
    </row>
    <row r="12052" spans="6:6" x14ac:dyDescent="0.35">
      <c r="F12052"/>
    </row>
    <row r="12053" spans="6:6" x14ac:dyDescent="0.35">
      <c r="F12053"/>
    </row>
    <row r="12054" spans="6:6" x14ac:dyDescent="0.35">
      <c r="F12054"/>
    </row>
    <row r="12055" spans="6:6" x14ac:dyDescent="0.35">
      <c r="F12055"/>
    </row>
    <row r="12056" spans="6:6" x14ac:dyDescent="0.35">
      <c r="F12056"/>
    </row>
    <row r="12057" spans="6:6" x14ac:dyDescent="0.35">
      <c r="F12057"/>
    </row>
    <row r="12058" spans="6:6" x14ac:dyDescent="0.35">
      <c r="F12058"/>
    </row>
    <row r="12059" spans="6:6" x14ac:dyDescent="0.35">
      <c r="F12059"/>
    </row>
    <row r="12060" spans="6:6" x14ac:dyDescent="0.35">
      <c r="F12060"/>
    </row>
    <row r="12061" spans="6:6" x14ac:dyDescent="0.35">
      <c r="F12061"/>
    </row>
    <row r="12062" spans="6:6" x14ac:dyDescent="0.35">
      <c r="F12062"/>
    </row>
    <row r="12063" spans="6:6" x14ac:dyDescent="0.35">
      <c r="F12063"/>
    </row>
    <row r="12064" spans="6:6" x14ac:dyDescent="0.35">
      <c r="F12064"/>
    </row>
    <row r="12065" spans="6:6" x14ac:dyDescent="0.35">
      <c r="F12065"/>
    </row>
    <row r="12066" spans="6:6" x14ac:dyDescent="0.35">
      <c r="F12066"/>
    </row>
    <row r="12067" spans="6:6" x14ac:dyDescent="0.35">
      <c r="F12067"/>
    </row>
    <row r="12068" spans="6:6" x14ac:dyDescent="0.35">
      <c r="F12068"/>
    </row>
    <row r="12069" spans="6:6" x14ac:dyDescent="0.35">
      <c r="F12069"/>
    </row>
    <row r="12070" spans="6:6" x14ac:dyDescent="0.35">
      <c r="F12070"/>
    </row>
    <row r="12071" spans="6:6" x14ac:dyDescent="0.35">
      <c r="F12071"/>
    </row>
    <row r="12072" spans="6:6" x14ac:dyDescent="0.35">
      <c r="F12072"/>
    </row>
    <row r="12073" spans="6:6" x14ac:dyDescent="0.35">
      <c r="F12073"/>
    </row>
    <row r="12074" spans="6:6" x14ac:dyDescent="0.35">
      <c r="F12074"/>
    </row>
    <row r="12075" spans="6:6" x14ac:dyDescent="0.35">
      <c r="F12075"/>
    </row>
    <row r="12076" spans="6:6" x14ac:dyDescent="0.35">
      <c r="F12076"/>
    </row>
    <row r="12077" spans="6:6" x14ac:dyDescent="0.35">
      <c r="F12077"/>
    </row>
    <row r="12078" spans="6:6" x14ac:dyDescent="0.35">
      <c r="F12078"/>
    </row>
    <row r="12079" spans="6:6" x14ac:dyDescent="0.35">
      <c r="F12079"/>
    </row>
    <row r="12080" spans="6:6" x14ac:dyDescent="0.35">
      <c r="F12080"/>
    </row>
    <row r="12081" spans="6:6" x14ac:dyDescent="0.35">
      <c r="F12081"/>
    </row>
    <row r="12082" spans="6:6" x14ac:dyDescent="0.35">
      <c r="F12082"/>
    </row>
    <row r="12083" spans="6:6" x14ac:dyDescent="0.35">
      <c r="F12083"/>
    </row>
    <row r="12084" spans="6:6" x14ac:dyDescent="0.35">
      <c r="F12084"/>
    </row>
    <row r="12085" spans="6:6" x14ac:dyDescent="0.35">
      <c r="F12085"/>
    </row>
    <row r="12086" spans="6:6" x14ac:dyDescent="0.35">
      <c r="F12086"/>
    </row>
    <row r="12087" spans="6:6" x14ac:dyDescent="0.35">
      <c r="F12087"/>
    </row>
    <row r="12088" spans="6:6" x14ac:dyDescent="0.35">
      <c r="F12088"/>
    </row>
    <row r="12089" spans="6:6" x14ac:dyDescent="0.35">
      <c r="F12089"/>
    </row>
    <row r="12090" spans="6:6" x14ac:dyDescent="0.35">
      <c r="F12090"/>
    </row>
    <row r="12091" spans="6:6" x14ac:dyDescent="0.35">
      <c r="F12091"/>
    </row>
    <row r="12092" spans="6:6" x14ac:dyDescent="0.35">
      <c r="F12092"/>
    </row>
    <row r="12093" spans="6:6" x14ac:dyDescent="0.35">
      <c r="F12093"/>
    </row>
    <row r="12094" spans="6:6" x14ac:dyDescent="0.35">
      <c r="F12094"/>
    </row>
    <row r="12095" spans="6:6" x14ac:dyDescent="0.35">
      <c r="F12095"/>
    </row>
    <row r="12096" spans="6:6" x14ac:dyDescent="0.35">
      <c r="F12096"/>
    </row>
    <row r="12097" spans="6:6" x14ac:dyDescent="0.35">
      <c r="F12097"/>
    </row>
    <row r="12098" spans="6:6" x14ac:dyDescent="0.35">
      <c r="F12098"/>
    </row>
    <row r="12099" spans="6:6" x14ac:dyDescent="0.35">
      <c r="F12099"/>
    </row>
    <row r="12100" spans="6:6" x14ac:dyDescent="0.35">
      <c r="F12100"/>
    </row>
    <row r="12101" spans="6:6" x14ac:dyDescent="0.35">
      <c r="F12101"/>
    </row>
    <row r="12102" spans="6:6" x14ac:dyDescent="0.35">
      <c r="F12102"/>
    </row>
    <row r="12103" spans="6:6" x14ac:dyDescent="0.35">
      <c r="F12103"/>
    </row>
    <row r="12104" spans="6:6" x14ac:dyDescent="0.35">
      <c r="F12104"/>
    </row>
    <row r="12105" spans="6:6" x14ac:dyDescent="0.35">
      <c r="F12105"/>
    </row>
    <row r="12106" spans="6:6" x14ac:dyDescent="0.35">
      <c r="F12106"/>
    </row>
    <row r="12107" spans="6:6" x14ac:dyDescent="0.35">
      <c r="F12107"/>
    </row>
    <row r="12108" spans="6:6" x14ac:dyDescent="0.35">
      <c r="F12108"/>
    </row>
    <row r="12109" spans="6:6" x14ac:dyDescent="0.35">
      <c r="F12109"/>
    </row>
    <row r="12110" spans="6:6" x14ac:dyDescent="0.35">
      <c r="F12110"/>
    </row>
    <row r="12111" spans="6:6" x14ac:dyDescent="0.35">
      <c r="F12111"/>
    </row>
    <row r="12112" spans="6:6" x14ac:dyDescent="0.35">
      <c r="F12112"/>
    </row>
    <row r="12113" spans="6:6" x14ac:dyDescent="0.35">
      <c r="F12113"/>
    </row>
    <row r="12114" spans="6:6" x14ac:dyDescent="0.35">
      <c r="F12114"/>
    </row>
    <row r="12115" spans="6:6" x14ac:dyDescent="0.35">
      <c r="F12115"/>
    </row>
    <row r="12116" spans="6:6" x14ac:dyDescent="0.35">
      <c r="F12116"/>
    </row>
    <row r="12117" spans="6:6" x14ac:dyDescent="0.35">
      <c r="F12117"/>
    </row>
    <row r="12118" spans="6:6" x14ac:dyDescent="0.35">
      <c r="F12118"/>
    </row>
    <row r="12119" spans="6:6" x14ac:dyDescent="0.35">
      <c r="F12119"/>
    </row>
    <row r="12120" spans="6:6" x14ac:dyDescent="0.35">
      <c r="F12120"/>
    </row>
    <row r="12121" spans="6:6" x14ac:dyDescent="0.35">
      <c r="F12121"/>
    </row>
    <row r="12122" spans="6:6" x14ac:dyDescent="0.35">
      <c r="F12122"/>
    </row>
    <row r="12123" spans="6:6" x14ac:dyDescent="0.35">
      <c r="F12123"/>
    </row>
    <row r="12124" spans="6:6" x14ac:dyDescent="0.35">
      <c r="F12124"/>
    </row>
    <row r="12125" spans="6:6" x14ac:dyDescent="0.35">
      <c r="F12125"/>
    </row>
    <row r="12126" spans="6:6" x14ac:dyDescent="0.35">
      <c r="F12126"/>
    </row>
    <row r="12127" spans="6:6" x14ac:dyDescent="0.35">
      <c r="F12127"/>
    </row>
    <row r="12128" spans="6:6" x14ac:dyDescent="0.35">
      <c r="F12128"/>
    </row>
    <row r="12129" spans="6:6" x14ac:dyDescent="0.35">
      <c r="F12129"/>
    </row>
    <row r="12130" spans="6:6" x14ac:dyDescent="0.35">
      <c r="F12130"/>
    </row>
    <row r="12131" spans="6:6" x14ac:dyDescent="0.35">
      <c r="F12131"/>
    </row>
    <row r="12132" spans="6:6" x14ac:dyDescent="0.35">
      <c r="F12132"/>
    </row>
    <row r="12133" spans="6:6" x14ac:dyDescent="0.35">
      <c r="F12133"/>
    </row>
    <row r="12134" spans="6:6" x14ac:dyDescent="0.35">
      <c r="F12134"/>
    </row>
    <row r="12135" spans="6:6" x14ac:dyDescent="0.35">
      <c r="F12135"/>
    </row>
    <row r="12136" spans="6:6" x14ac:dyDescent="0.35">
      <c r="F12136"/>
    </row>
    <row r="12137" spans="6:6" x14ac:dyDescent="0.35">
      <c r="F12137"/>
    </row>
    <row r="12138" spans="6:6" x14ac:dyDescent="0.35">
      <c r="F12138"/>
    </row>
    <row r="12139" spans="6:6" x14ac:dyDescent="0.35">
      <c r="F12139"/>
    </row>
    <row r="12140" spans="6:6" x14ac:dyDescent="0.35">
      <c r="F12140"/>
    </row>
    <row r="12141" spans="6:6" x14ac:dyDescent="0.35">
      <c r="F12141"/>
    </row>
    <row r="12142" spans="6:6" x14ac:dyDescent="0.35">
      <c r="F12142"/>
    </row>
    <row r="12143" spans="6:6" x14ac:dyDescent="0.35">
      <c r="F12143"/>
    </row>
    <row r="12144" spans="6:6" x14ac:dyDescent="0.35">
      <c r="F12144"/>
    </row>
    <row r="12145" spans="6:6" x14ac:dyDescent="0.35">
      <c r="F12145"/>
    </row>
    <row r="12146" spans="6:6" x14ac:dyDescent="0.35">
      <c r="F12146"/>
    </row>
    <row r="12147" spans="6:6" x14ac:dyDescent="0.35">
      <c r="F12147"/>
    </row>
    <row r="12148" spans="6:6" x14ac:dyDescent="0.35">
      <c r="F12148"/>
    </row>
    <row r="12149" spans="6:6" x14ac:dyDescent="0.35">
      <c r="F12149"/>
    </row>
    <row r="12150" spans="6:6" x14ac:dyDescent="0.35">
      <c r="F12150"/>
    </row>
    <row r="12151" spans="6:6" x14ac:dyDescent="0.35">
      <c r="F12151"/>
    </row>
    <row r="12152" spans="6:6" x14ac:dyDescent="0.35">
      <c r="F12152"/>
    </row>
    <row r="12153" spans="6:6" x14ac:dyDescent="0.35">
      <c r="F12153"/>
    </row>
    <row r="12154" spans="6:6" x14ac:dyDescent="0.35">
      <c r="F12154"/>
    </row>
    <row r="12155" spans="6:6" x14ac:dyDescent="0.35">
      <c r="F12155"/>
    </row>
    <row r="12156" spans="6:6" x14ac:dyDescent="0.35">
      <c r="F12156"/>
    </row>
    <row r="12157" spans="6:6" x14ac:dyDescent="0.35">
      <c r="F12157"/>
    </row>
    <row r="12158" spans="6:6" x14ac:dyDescent="0.35">
      <c r="F12158"/>
    </row>
    <row r="12159" spans="6:6" x14ac:dyDescent="0.35">
      <c r="F12159"/>
    </row>
    <row r="12160" spans="6:6" x14ac:dyDescent="0.35">
      <c r="F12160"/>
    </row>
    <row r="12161" spans="6:6" x14ac:dyDescent="0.35">
      <c r="F12161"/>
    </row>
    <row r="12162" spans="6:6" x14ac:dyDescent="0.35">
      <c r="F12162"/>
    </row>
    <row r="12163" spans="6:6" x14ac:dyDescent="0.35">
      <c r="F12163"/>
    </row>
    <row r="12164" spans="6:6" x14ac:dyDescent="0.35">
      <c r="F12164"/>
    </row>
    <row r="12165" spans="6:6" x14ac:dyDescent="0.35">
      <c r="F12165"/>
    </row>
    <row r="12166" spans="6:6" x14ac:dyDescent="0.35">
      <c r="F12166"/>
    </row>
    <row r="12167" spans="6:6" x14ac:dyDescent="0.35">
      <c r="F12167"/>
    </row>
    <row r="12168" spans="6:6" x14ac:dyDescent="0.35">
      <c r="F12168"/>
    </row>
    <row r="12169" spans="6:6" x14ac:dyDescent="0.35">
      <c r="F12169"/>
    </row>
    <row r="12170" spans="6:6" x14ac:dyDescent="0.35">
      <c r="F12170"/>
    </row>
    <row r="12171" spans="6:6" x14ac:dyDescent="0.35">
      <c r="F12171"/>
    </row>
    <row r="12172" spans="6:6" x14ac:dyDescent="0.35">
      <c r="F12172"/>
    </row>
    <row r="12173" spans="6:6" x14ac:dyDescent="0.35">
      <c r="F12173"/>
    </row>
    <row r="12174" spans="6:6" x14ac:dyDescent="0.35">
      <c r="F12174"/>
    </row>
    <row r="12175" spans="6:6" x14ac:dyDescent="0.35">
      <c r="F12175"/>
    </row>
    <row r="12176" spans="6:6" x14ac:dyDescent="0.35">
      <c r="F12176"/>
    </row>
    <row r="12177" spans="6:6" x14ac:dyDescent="0.35">
      <c r="F12177"/>
    </row>
    <row r="12178" spans="6:6" x14ac:dyDescent="0.35">
      <c r="F12178"/>
    </row>
    <row r="12179" spans="6:6" x14ac:dyDescent="0.35">
      <c r="F12179"/>
    </row>
    <row r="12180" spans="6:6" x14ac:dyDescent="0.35">
      <c r="F12180"/>
    </row>
    <row r="12181" spans="6:6" x14ac:dyDescent="0.35">
      <c r="F12181"/>
    </row>
    <row r="12182" spans="6:6" x14ac:dyDescent="0.35">
      <c r="F12182"/>
    </row>
    <row r="12183" spans="6:6" x14ac:dyDescent="0.35">
      <c r="F12183"/>
    </row>
    <row r="12184" spans="6:6" x14ac:dyDescent="0.35">
      <c r="F12184"/>
    </row>
    <row r="12185" spans="6:6" x14ac:dyDescent="0.35">
      <c r="F12185"/>
    </row>
    <row r="12186" spans="6:6" x14ac:dyDescent="0.35">
      <c r="F12186"/>
    </row>
    <row r="12187" spans="6:6" x14ac:dyDescent="0.35">
      <c r="F12187"/>
    </row>
    <row r="12188" spans="6:6" x14ac:dyDescent="0.35">
      <c r="F12188"/>
    </row>
    <row r="12189" spans="6:6" x14ac:dyDescent="0.35">
      <c r="F12189"/>
    </row>
    <row r="12190" spans="6:6" x14ac:dyDescent="0.35">
      <c r="F12190"/>
    </row>
    <row r="12191" spans="6:6" x14ac:dyDescent="0.35">
      <c r="F12191"/>
    </row>
    <row r="12192" spans="6:6" x14ac:dyDescent="0.35">
      <c r="F12192"/>
    </row>
    <row r="12193" spans="6:6" x14ac:dyDescent="0.35">
      <c r="F12193"/>
    </row>
    <row r="12194" spans="6:6" x14ac:dyDescent="0.35">
      <c r="F12194"/>
    </row>
    <row r="12195" spans="6:6" x14ac:dyDescent="0.35">
      <c r="F12195"/>
    </row>
    <row r="12196" spans="6:6" x14ac:dyDescent="0.35">
      <c r="F12196"/>
    </row>
    <row r="12197" spans="6:6" x14ac:dyDescent="0.35">
      <c r="F12197"/>
    </row>
    <row r="12198" spans="6:6" x14ac:dyDescent="0.35">
      <c r="F12198"/>
    </row>
    <row r="12199" spans="6:6" x14ac:dyDescent="0.35">
      <c r="F12199"/>
    </row>
    <row r="12200" spans="6:6" x14ac:dyDescent="0.35">
      <c r="F12200"/>
    </row>
    <row r="12201" spans="6:6" x14ac:dyDescent="0.35">
      <c r="F12201"/>
    </row>
    <row r="12202" spans="6:6" x14ac:dyDescent="0.35">
      <c r="F12202"/>
    </row>
    <row r="12203" spans="6:6" x14ac:dyDescent="0.35">
      <c r="F12203"/>
    </row>
    <row r="12204" spans="6:6" x14ac:dyDescent="0.35">
      <c r="F12204"/>
    </row>
    <row r="12205" spans="6:6" x14ac:dyDescent="0.35">
      <c r="F12205"/>
    </row>
    <row r="12206" spans="6:6" x14ac:dyDescent="0.35">
      <c r="F12206"/>
    </row>
    <row r="12207" spans="6:6" x14ac:dyDescent="0.35">
      <c r="F12207"/>
    </row>
    <row r="12208" spans="6:6" x14ac:dyDescent="0.35">
      <c r="F12208"/>
    </row>
    <row r="12209" spans="6:6" x14ac:dyDescent="0.35">
      <c r="F12209"/>
    </row>
    <row r="12210" spans="6:6" x14ac:dyDescent="0.35">
      <c r="F12210"/>
    </row>
    <row r="12211" spans="6:6" x14ac:dyDescent="0.35">
      <c r="F12211"/>
    </row>
    <row r="12212" spans="6:6" x14ac:dyDescent="0.35">
      <c r="F12212"/>
    </row>
    <row r="12213" spans="6:6" x14ac:dyDescent="0.35">
      <c r="F12213"/>
    </row>
    <row r="12214" spans="6:6" x14ac:dyDescent="0.35">
      <c r="F12214"/>
    </row>
    <row r="12215" spans="6:6" x14ac:dyDescent="0.35">
      <c r="F12215"/>
    </row>
    <row r="12216" spans="6:6" x14ac:dyDescent="0.35">
      <c r="F12216"/>
    </row>
    <row r="12217" spans="6:6" x14ac:dyDescent="0.35">
      <c r="F12217"/>
    </row>
    <row r="12218" spans="6:6" x14ac:dyDescent="0.35">
      <c r="F12218"/>
    </row>
    <row r="12219" spans="6:6" x14ac:dyDescent="0.35">
      <c r="F12219"/>
    </row>
    <row r="12220" spans="6:6" x14ac:dyDescent="0.35">
      <c r="F12220"/>
    </row>
    <row r="12221" spans="6:6" x14ac:dyDescent="0.35">
      <c r="F12221"/>
    </row>
    <row r="12222" spans="6:6" x14ac:dyDescent="0.35">
      <c r="F12222"/>
    </row>
    <row r="12223" spans="6:6" x14ac:dyDescent="0.35">
      <c r="F12223"/>
    </row>
    <row r="12224" spans="6:6" x14ac:dyDescent="0.35">
      <c r="F12224"/>
    </row>
    <row r="12225" spans="6:6" x14ac:dyDescent="0.35">
      <c r="F12225"/>
    </row>
    <row r="12226" spans="6:6" x14ac:dyDescent="0.35">
      <c r="F12226"/>
    </row>
    <row r="12227" spans="6:6" x14ac:dyDescent="0.35">
      <c r="F12227"/>
    </row>
    <row r="12228" spans="6:6" x14ac:dyDescent="0.35">
      <c r="F12228"/>
    </row>
    <row r="12229" spans="6:6" x14ac:dyDescent="0.35">
      <c r="F12229"/>
    </row>
    <row r="12230" spans="6:6" x14ac:dyDescent="0.35">
      <c r="F12230"/>
    </row>
    <row r="12231" spans="6:6" x14ac:dyDescent="0.35">
      <c r="F12231"/>
    </row>
    <row r="12232" spans="6:6" x14ac:dyDescent="0.35">
      <c r="F12232"/>
    </row>
    <row r="12233" spans="6:6" x14ac:dyDescent="0.35">
      <c r="F12233"/>
    </row>
    <row r="12234" spans="6:6" x14ac:dyDescent="0.35">
      <c r="F12234"/>
    </row>
    <row r="12235" spans="6:6" x14ac:dyDescent="0.35">
      <c r="F12235"/>
    </row>
    <row r="12236" spans="6:6" x14ac:dyDescent="0.35">
      <c r="F12236"/>
    </row>
    <row r="12237" spans="6:6" x14ac:dyDescent="0.35">
      <c r="F12237"/>
    </row>
    <row r="12238" spans="6:6" x14ac:dyDescent="0.35">
      <c r="F12238"/>
    </row>
    <row r="12239" spans="6:6" x14ac:dyDescent="0.35">
      <c r="F12239"/>
    </row>
    <row r="12240" spans="6:6" x14ac:dyDescent="0.35">
      <c r="F12240"/>
    </row>
    <row r="12241" spans="6:6" x14ac:dyDescent="0.35">
      <c r="F12241"/>
    </row>
    <row r="12242" spans="6:6" x14ac:dyDescent="0.35">
      <c r="F12242"/>
    </row>
    <row r="12243" spans="6:6" x14ac:dyDescent="0.35">
      <c r="F12243"/>
    </row>
    <row r="12244" spans="6:6" x14ac:dyDescent="0.35">
      <c r="F12244"/>
    </row>
    <row r="12245" spans="6:6" x14ac:dyDescent="0.35">
      <c r="F12245"/>
    </row>
    <row r="12246" spans="6:6" x14ac:dyDescent="0.35">
      <c r="F12246"/>
    </row>
    <row r="12247" spans="6:6" x14ac:dyDescent="0.35">
      <c r="F12247"/>
    </row>
    <row r="12248" spans="6:6" x14ac:dyDescent="0.35">
      <c r="F12248"/>
    </row>
    <row r="12249" spans="6:6" x14ac:dyDescent="0.35">
      <c r="F12249"/>
    </row>
    <row r="12250" spans="6:6" x14ac:dyDescent="0.35">
      <c r="F12250"/>
    </row>
    <row r="12251" spans="6:6" x14ac:dyDescent="0.35">
      <c r="F12251"/>
    </row>
    <row r="12252" spans="6:6" x14ac:dyDescent="0.35">
      <c r="F12252"/>
    </row>
    <row r="12253" spans="6:6" x14ac:dyDescent="0.35">
      <c r="F12253"/>
    </row>
    <row r="12254" spans="6:6" x14ac:dyDescent="0.35">
      <c r="F12254"/>
    </row>
    <row r="12255" spans="6:6" x14ac:dyDescent="0.35">
      <c r="F12255"/>
    </row>
    <row r="12256" spans="6:6" x14ac:dyDescent="0.35">
      <c r="F12256"/>
    </row>
    <row r="12257" spans="6:6" x14ac:dyDescent="0.35">
      <c r="F12257"/>
    </row>
    <row r="12258" spans="6:6" x14ac:dyDescent="0.35">
      <c r="F12258"/>
    </row>
    <row r="12259" spans="6:6" x14ac:dyDescent="0.35">
      <c r="F12259"/>
    </row>
    <row r="12260" spans="6:6" x14ac:dyDescent="0.35">
      <c r="F12260"/>
    </row>
    <row r="12261" spans="6:6" x14ac:dyDescent="0.35">
      <c r="F12261"/>
    </row>
    <row r="12262" spans="6:6" x14ac:dyDescent="0.35">
      <c r="F12262"/>
    </row>
    <row r="12263" spans="6:6" x14ac:dyDescent="0.35">
      <c r="F12263"/>
    </row>
    <row r="12264" spans="6:6" x14ac:dyDescent="0.35">
      <c r="F12264"/>
    </row>
    <row r="12265" spans="6:6" x14ac:dyDescent="0.35">
      <c r="F12265"/>
    </row>
    <row r="12266" spans="6:6" x14ac:dyDescent="0.35">
      <c r="F12266"/>
    </row>
    <row r="12267" spans="6:6" x14ac:dyDescent="0.35">
      <c r="F12267"/>
    </row>
    <row r="12268" spans="6:6" x14ac:dyDescent="0.35">
      <c r="F12268"/>
    </row>
    <row r="12269" spans="6:6" x14ac:dyDescent="0.35">
      <c r="F12269"/>
    </row>
    <row r="12270" spans="6:6" x14ac:dyDescent="0.35">
      <c r="F12270"/>
    </row>
    <row r="12271" spans="6:6" x14ac:dyDescent="0.35">
      <c r="F12271"/>
    </row>
    <row r="12272" spans="6:6" x14ac:dyDescent="0.35">
      <c r="F12272"/>
    </row>
    <row r="12273" spans="6:6" x14ac:dyDescent="0.35">
      <c r="F12273"/>
    </row>
    <row r="12274" spans="6:6" x14ac:dyDescent="0.35">
      <c r="F12274"/>
    </row>
    <row r="12275" spans="6:6" x14ac:dyDescent="0.35">
      <c r="F12275"/>
    </row>
    <row r="12276" spans="6:6" x14ac:dyDescent="0.35">
      <c r="F12276"/>
    </row>
    <row r="12277" spans="6:6" x14ac:dyDescent="0.35">
      <c r="F12277"/>
    </row>
    <row r="12278" spans="6:6" x14ac:dyDescent="0.35">
      <c r="F12278"/>
    </row>
    <row r="12279" spans="6:6" x14ac:dyDescent="0.35">
      <c r="F12279"/>
    </row>
    <row r="12280" spans="6:6" x14ac:dyDescent="0.35">
      <c r="F12280"/>
    </row>
    <row r="12281" spans="6:6" x14ac:dyDescent="0.35">
      <c r="F12281"/>
    </row>
    <row r="12282" spans="6:6" x14ac:dyDescent="0.35">
      <c r="F12282"/>
    </row>
    <row r="12283" spans="6:6" x14ac:dyDescent="0.35">
      <c r="F12283"/>
    </row>
    <row r="12284" spans="6:6" x14ac:dyDescent="0.35">
      <c r="F12284"/>
    </row>
    <row r="12285" spans="6:6" x14ac:dyDescent="0.35">
      <c r="F12285"/>
    </row>
    <row r="12286" spans="6:6" x14ac:dyDescent="0.35">
      <c r="F12286"/>
    </row>
    <row r="12287" spans="6:6" x14ac:dyDescent="0.35">
      <c r="F12287"/>
    </row>
    <row r="12288" spans="6:6" x14ac:dyDescent="0.35">
      <c r="F12288"/>
    </row>
    <row r="12289" spans="6:6" x14ac:dyDescent="0.35">
      <c r="F12289"/>
    </row>
    <row r="12290" spans="6:6" x14ac:dyDescent="0.35">
      <c r="F12290"/>
    </row>
    <row r="12291" spans="6:6" x14ac:dyDescent="0.35">
      <c r="F12291"/>
    </row>
    <row r="12292" spans="6:6" x14ac:dyDescent="0.35">
      <c r="F12292"/>
    </row>
    <row r="12293" spans="6:6" x14ac:dyDescent="0.35">
      <c r="F12293"/>
    </row>
    <row r="12294" spans="6:6" x14ac:dyDescent="0.35">
      <c r="F12294"/>
    </row>
    <row r="12295" spans="6:6" x14ac:dyDescent="0.35">
      <c r="F12295"/>
    </row>
    <row r="12296" spans="6:6" x14ac:dyDescent="0.35">
      <c r="F12296"/>
    </row>
    <row r="12297" spans="6:6" x14ac:dyDescent="0.35">
      <c r="F12297"/>
    </row>
    <row r="12298" spans="6:6" x14ac:dyDescent="0.35">
      <c r="F12298"/>
    </row>
    <row r="12299" spans="6:6" x14ac:dyDescent="0.35">
      <c r="F12299"/>
    </row>
    <row r="12300" spans="6:6" x14ac:dyDescent="0.35">
      <c r="F12300"/>
    </row>
    <row r="12301" spans="6:6" x14ac:dyDescent="0.35">
      <c r="F12301"/>
    </row>
    <row r="12302" spans="6:6" x14ac:dyDescent="0.35">
      <c r="F12302"/>
    </row>
    <row r="12303" spans="6:6" x14ac:dyDescent="0.35">
      <c r="F12303"/>
    </row>
    <row r="12304" spans="6:6" x14ac:dyDescent="0.35">
      <c r="F12304"/>
    </row>
    <row r="12305" spans="6:6" x14ac:dyDescent="0.35">
      <c r="F12305"/>
    </row>
    <row r="12306" spans="6:6" x14ac:dyDescent="0.35">
      <c r="F12306"/>
    </row>
    <row r="12307" spans="6:6" x14ac:dyDescent="0.35">
      <c r="F12307"/>
    </row>
    <row r="12308" spans="6:6" x14ac:dyDescent="0.35">
      <c r="F12308"/>
    </row>
    <row r="12309" spans="6:6" x14ac:dyDescent="0.35">
      <c r="F12309"/>
    </row>
    <row r="12310" spans="6:6" x14ac:dyDescent="0.35">
      <c r="F12310"/>
    </row>
    <row r="12311" spans="6:6" x14ac:dyDescent="0.35">
      <c r="F12311"/>
    </row>
    <row r="12312" spans="6:6" x14ac:dyDescent="0.35">
      <c r="F12312"/>
    </row>
    <row r="12313" spans="6:6" x14ac:dyDescent="0.35">
      <c r="F12313"/>
    </row>
    <row r="12314" spans="6:6" x14ac:dyDescent="0.35">
      <c r="F12314"/>
    </row>
    <row r="12315" spans="6:6" x14ac:dyDescent="0.35">
      <c r="F12315"/>
    </row>
    <row r="12316" spans="6:6" x14ac:dyDescent="0.35">
      <c r="F12316"/>
    </row>
    <row r="12317" spans="6:6" x14ac:dyDescent="0.35">
      <c r="F12317"/>
    </row>
    <row r="12318" spans="6:6" x14ac:dyDescent="0.35">
      <c r="F12318"/>
    </row>
    <row r="12319" spans="6:6" x14ac:dyDescent="0.35">
      <c r="F12319"/>
    </row>
    <row r="12320" spans="6:6" x14ac:dyDescent="0.35">
      <c r="F12320"/>
    </row>
    <row r="12321" spans="6:6" x14ac:dyDescent="0.35">
      <c r="F12321"/>
    </row>
    <row r="12322" spans="6:6" x14ac:dyDescent="0.35">
      <c r="F12322"/>
    </row>
    <row r="12323" spans="6:6" x14ac:dyDescent="0.35">
      <c r="F12323"/>
    </row>
    <row r="12324" spans="6:6" x14ac:dyDescent="0.35">
      <c r="F12324"/>
    </row>
    <row r="12325" spans="6:6" x14ac:dyDescent="0.35">
      <c r="F12325"/>
    </row>
    <row r="12326" spans="6:6" x14ac:dyDescent="0.35">
      <c r="F12326"/>
    </row>
    <row r="12327" spans="6:6" x14ac:dyDescent="0.35">
      <c r="F12327"/>
    </row>
    <row r="12328" spans="6:6" x14ac:dyDescent="0.35">
      <c r="F12328"/>
    </row>
    <row r="12329" spans="6:6" x14ac:dyDescent="0.35">
      <c r="F12329"/>
    </row>
    <row r="12330" spans="6:6" x14ac:dyDescent="0.35">
      <c r="F12330"/>
    </row>
    <row r="12331" spans="6:6" x14ac:dyDescent="0.35">
      <c r="F12331"/>
    </row>
    <row r="12332" spans="6:6" x14ac:dyDescent="0.35">
      <c r="F12332"/>
    </row>
    <row r="12333" spans="6:6" x14ac:dyDescent="0.35">
      <c r="F12333"/>
    </row>
    <row r="12334" spans="6:6" x14ac:dyDescent="0.35">
      <c r="F12334"/>
    </row>
    <row r="12335" spans="6:6" x14ac:dyDescent="0.35">
      <c r="F12335"/>
    </row>
    <row r="12336" spans="6:6" x14ac:dyDescent="0.35">
      <c r="F12336"/>
    </row>
    <row r="12337" spans="6:6" x14ac:dyDescent="0.35">
      <c r="F12337"/>
    </row>
    <row r="12338" spans="6:6" x14ac:dyDescent="0.35">
      <c r="F12338"/>
    </row>
    <row r="12339" spans="6:6" x14ac:dyDescent="0.35">
      <c r="F12339"/>
    </row>
    <row r="12340" spans="6:6" x14ac:dyDescent="0.35">
      <c r="F12340"/>
    </row>
    <row r="12341" spans="6:6" x14ac:dyDescent="0.35">
      <c r="F12341"/>
    </row>
    <row r="12342" spans="6:6" x14ac:dyDescent="0.35">
      <c r="F12342"/>
    </row>
    <row r="12343" spans="6:6" x14ac:dyDescent="0.35">
      <c r="F12343"/>
    </row>
    <row r="12344" spans="6:6" x14ac:dyDescent="0.35">
      <c r="F12344"/>
    </row>
    <row r="12345" spans="6:6" x14ac:dyDescent="0.35">
      <c r="F12345"/>
    </row>
    <row r="12346" spans="6:6" x14ac:dyDescent="0.35">
      <c r="F12346"/>
    </row>
    <row r="12347" spans="6:6" x14ac:dyDescent="0.35">
      <c r="F12347"/>
    </row>
    <row r="12348" spans="6:6" x14ac:dyDescent="0.35">
      <c r="F12348"/>
    </row>
    <row r="12349" spans="6:6" x14ac:dyDescent="0.35">
      <c r="F12349"/>
    </row>
    <row r="12350" spans="6:6" x14ac:dyDescent="0.35">
      <c r="F12350"/>
    </row>
    <row r="12351" spans="6:6" x14ac:dyDescent="0.35">
      <c r="F12351"/>
    </row>
    <row r="12352" spans="6:6" x14ac:dyDescent="0.35">
      <c r="F12352"/>
    </row>
    <row r="12353" spans="6:6" x14ac:dyDescent="0.35">
      <c r="F12353"/>
    </row>
    <row r="12354" spans="6:6" x14ac:dyDescent="0.35">
      <c r="F12354"/>
    </row>
    <row r="12355" spans="6:6" x14ac:dyDescent="0.35">
      <c r="F12355"/>
    </row>
    <row r="12356" spans="6:6" x14ac:dyDescent="0.35">
      <c r="F12356"/>
    </row>
    <row r="12357" spans="6:6" x14ac:dyDescent="0.35">
      <c r="F12357"/>
    </row>
    <row r="12358" spans="6:6" x14ac:dyDescent="0.35">
      <c r="F12358"/>
    </row>
    <row r="12359" spans="6:6" x14ac:dyDescent="0.35">
      <c r="F12359"/>
    </row>
    <row r="12360" spans="6:6" x14ac:dyDescent="0.35">
      <c r="F12360"/>
    </row>
    <row r="12361" spans="6:6" x14ac:dyDescent="0.35">
      <c r="F12361"/>
    </row>
    <row r="12362" spans="6:6" x14ac:dyDescent="0.35">
      <c r="F12362"/>
    </row>
    <row r="12363" spans="6:6" x14ac:dyDescent="0.35">
      <c r="F12363"/>
    </row>
    <row r="12364" spans="6:6" x14ac:dyDescent="0.35">
      <c r="F12364"/>
    </row>
    <row r="12365" spans="6:6" x14ac:dyDescent="0.35">
      <c r="F12365"/>
    </row>
    <row r="12366" spans="6:6" x14ac:dyDescent="0.35">
      <c r="F12366"/>
    </row>
    <row r="12367" spans="6:6" x14ac:dyDescent="0.35">
      <c r="F12367"/>
    </row>
    <row r="12368" spans="6:6" x14ac:dyDescent="0.35">
      <c r="F12368"/>
    </row>
    <row r="12369" spans="6:6" x14ac:dyDescent="0.35">
      <c r="F12369"/>
    </row>
    <row r="12370" spans="6:6" x14ac:dyDescent="0.35">
      <c r="F12370"/>
    </row>
    <row r="12371" spans="6:6" x14ac:dyDescent="0.35">
      <c r="F12371"/>
    </row>
    <row r="12372" spans="6:6" x14ac:dyDescent="0.35">
      <c r="F12372"/>
    </row>
    <row r="12373" spans="6:6" x14ac:dyDescent="0.35">
      <c r="F12373"/>
    </row>
    <row r="12374" spans="6:6" x14ac:dyDescent="0.35">
      <c r="F12374"/>
    </row>
    <row r="12375" spans="6:6" x14ac:dyDescent="0.35">
      <c r="F12375"/>
    </row>
    <row r="12376" spans="6:6" x14ac:dyDescent="0.35">
      <c r="F12376"/>
    </row>
    <row r="12377" spans="6:6" x14ac:dyDescent="0.35">
      <c r="F12377"/>
    </row>
    <row r="12378" spans="6:6" x14ac:dyDescent="0.35">
      <c r="F12378"/>
    </row>
    <row r="12379" spans="6:6" x14ac:dyDescent="0.35">
      <c r="F12379"/>
    </row>
    <row r="12380" spans="6:6" x14ac:dyDescent="0.35">
      <c r="F12380"/>
    </row>
    <row r="12381" spans="6:6" x14ac:dyDescent="0.35">
      <c r="F12381"/>
    </row>
    <row r="12382" spans="6:6" x14ac:dyDescent="0.35">
      <c r="F12382"/>
    </row>
    <row r="12383" spans="6:6" x14ac:dyDescent="0.35">
      <c r="F12383"/>
    </row>
    <row r="12384" spans="6:6" x14ac:dyDescent="0.35">
      <c r="F12384"/>
    </row>
    <row r="12385" spans="6:6" x14ac:dyDescent="0.35">
      <c r="F12385"/>
    </row>
    <row r="12386" spans="6:6" x14ac:dyDescent="0.35">
      <c r="F12386"/>
    </row>
    <row r="12387" spans="6:6" x14ac:dyDescent="0.35">
      <c r="F12387"/>
    </row>
    <row r="12388" spans="6:6" x14ac:dyDescent="0.35">
      <c r="F12388"/>
    </row>
    <row r="12389" spans="6:6" x14ac:dyDescent="0.35">
      <c r="F12389"/>
    </row>
    <row r="12390" spans="6:6" x14ac:dyDescent="0.35">
      <c r="F12390"/>
    </row>
    <row r="12391" spans="6:6" x14ac:dyDescent="0.35">
      <c r="F12391"/>
    </row>
    <row r="12392" spans="6:6" x14ac:dyDescent="0.35">
      <c r="F12392"/>
    </row>
    <row r="12393" spans="6:6" x14ac:dyDescent="0.35">
      <c r="F12393"/>
    </row>
    <row r="12394" spans="6:6" x14ac:dyDescent="0.35">
      <c r="F12394"/>
    </row>
    <row r="12395" spans="6:6" x14ac:dyDescent="0.35">
      <c r="F12395"/>
    </row>
    <row r="12396" spans="6:6" x14ac:dyDescent="0.35">
      <c r="F12396"/>
    </row>
    <row r="12397" spans="6:6" x14ac:dyDescent="0.35">
      <c r="F12397"/>
    </row>
    <row r="12398" spans="6:6" x14ac:dyDescent="0.35">
      <c r="F12398"/>
    </row>
    <row r="12399" spans="6:6" x14ac:dyDescent="0.35">
      <c r="F12399"/>
    </row>
    <row r="12400" spans="6:6" x14ac:dyDescent="0.35">
      <c r="F12400"/>
    </row>
    <row r="12401" spans="6:6" x14ac:dyDescent="0.35">
      <c r="F12401"/>
    </row>
    <row r="12402" spans="6:6" x14ac:dyDescent="0.35">
      <c r="F12402"/>
    </row>
    <row r="12403" spans="6:6" x14ac:dyDescent="0.35">
      <c r="F12403"/>
    </row>
    <row r="12404" spans="6:6" x14ac:dyDescent="0.35">
      <c r="F12404"/>
    </row>
    <row r="12405" spans="6:6" x14ac:dyDescent="0.35">
      <c r="F12405"/>
    </row>
    <row r="12406" spans="6:6" x14ac:dyDescent="0.35">
      <c r="F12406"/>
    </row>
    <row r="12407" spans="6:6" x14ac:dyDescent="0.35">
      <c r="F12407"/>
    </row>
    <row r="12408" spans="6:6" x14ac:dyDescent="0.35">
      <c r="F12408"/>
    </row>
    <row r="12409" spans="6:6" x14ac:dyDescent="0.35">
      <c r="F12409"/>
    </row>
    <row r="12410" spans="6:6" x14ac:dyDescent="0.35">
      <c r="F12410"/>
    </row>
    <row r="12411" spans="6:6" x14ac:dyDescent="0.35">
      <c r="F12411"/>
    </row>
    <row r="12412" spans="6:6" x14ac:dyDescent="0.35">
      <c r="F12412"/>
    </row>
    <row r="12413" spans="6:6" x14ac:dyDescent="0.35">
      <c r="F12413"/>
    </row>
    <row r="12414" spans="6:6" x14ac:dyDescent="0.35">
      <c r="F12414"/>
    </row>
    <row r="12415" spans="6:6" x14ac:dyDescent="0.35">
      <c r="F12415"/>
    </row>
    <row r="12416" spans="6:6" x14ac:dyDescent="0.35">
      <c r="F12416"/>
    </row>
    <row r="12417" spans="6:6" x14ac:dyDescent="0.35">
      <c r="F12417"/>
    </row>
    <row r="12418" spans="6:6" x14ac:dyDescent="0.35">
      <c r="F12418"/>
    </row>
    <row r="12419" spans="6:6" x14ac:dyDescent="0.35">
      <c r="F12419"/>
    </row>
    <row r="12420" spans="6:6" x14ac:dyDescent="0.35">
      <c r="F12420"/>
    </row>
    <row r="12421" spans="6:6" x14ac:dyDescent="0.35">
      <c r="F12421"/>
    </row>
    <row r="12422" spans="6:6" x14ac:dyDescent="0.35">
      <c r="F12422"/>
    </row>
    <row r="12423" spans="6:6" x14ac:dyDescent="0.35">
      <c r="F12423"/>
    </row>
    <row r="12424" spans="6:6" x14ac:dyDescent="0.35">
      <c r="F12424"/>
    </row>
    <row r="12425" spans="6:6" x14ac:dyDescent="0.35">
      <c r="F12425"/>
    </row>
    <row r="12426" spans="6:6" x14ac:dyDescent="0.35">
      <c r="F12426"/>
    </row>
    <row r="12427" spans="6:6" x14ac:dyDescent="0.35">
      <c r="F12427"/>
    </row>
    <row r="12428" spans="6:6" x14ac:dyDescent="0.35">
      <c r="F12428"/>
    </row>
    <row r="12429" spans="6:6" x14ac:dyDescent="0.35">
      <c r="F12429"/>
    </row>
    <row r="12430" spans="6:6" x14ac:dyDescent="0.35">
      <c r="F12430"/>
    </row>
    <row r="12431" spans="6:6" x14ac:dyDescent="0.35">
      <c r="F12431"/>
    </row>
    <row r="12432" spans="6:6" x14ac:dyDescent="0.35">
      <c r="F12432"/>
    </row>
    <row r="12433" spans="6:6" x14ac:dyDescent="0.35">
      <c r="F12433"/>
    </row>
    <row r="12434" spans="6:6" x14ac:dyDescent="0.35">
      <c r="F12434"/>
    </row>
    <row r="12435" spans="6:6" x14ac:dyDescent="0.35">
      <c r="F12435"/>
    </row>
    <row r="12436" spans="6:6" x14ac:dyDescent="0.35">
      <c r="F12436"/>
    </row>
    <row r="12437" spans="6:6" x14ac:dyDescent="0.35">
      <c r="F12437"/>
    </row>
    <row r="12438" spans="6:6" x14ac:dyDescent="0.35">
      <c r="F12438"/>
    </row>
    <row r="12439" spans="6:6" x14ac:dyDescent="0.35">
      <c r="F12439"/>
    </row>
    <row r="12440" spans="6:6" x14ac:dyDescent="0.35">
      <c r="F12440"/>
    </row>
    <row r="12441" spans="6:6" x14ac:dyDescent="0.35">
      <c r="F12441"/>
    </row>
    <row r="12442" spans="6:6" x14ac:dyDescent="0.35">
      <c r="F12442"/>
    </row>
    <row r="12443" spans="6:6" x14ac:dyDescent="0.35">
      <c r="F12443"/>
    </row>
    <row r="12444" spans="6:6" x14ac:dyDescent="0.35">
      <c r="F12444"/>
    </row>
    <row r="12445" spans="6:6" x14ac:dyDescent="0.35">
      <c r="F12445"/>
    </row>
    <row r="12446" spans="6:6" x14ac:dyDescent="0.35">
      <c r="F12446"/>
    </row>
    <row r="12447" spans="6:6" x14ac:dyDescent="0.35">
      <c r="F12447"/>
    </row>
    <row r="12448" spans="6:6" x14ac:dyDescent="0.35">
      <c r="F12448"/>
    </row>
    <row r="12449" spans="6:6" x14ac:dyDescent="0.35">
      <c r="F12449"/>
    </row>
    <row r="12450" spans="6:6" x14ac:dyDescent="0.35">
      <c r="F12450"/>
    </row>
    <row r="12451" spans="6:6" x14ac:dyDescent="0.35">
      <c r="F12451"/>
    </row>
    <row r="12452" spans="6:6" x14ac:dyDescent="0.35">
      <c r="F12452"/>
    </row>
    <row r="12453" spans="6:6" x14ac:dyDescent="0.35">
      <c r="F12453"/>
    </row>
    <row r="12454" spans="6:6" x14ac:dyDescent="0.35">
      <c r="F12454"/>
    </row>
    <row r="12455" spans="6:6" x14ac:dyDescent="0.35">
      <c r="F12455"/>
    </row>
    <row r="12456" spans="6:6" x14ac:dyDescent="0.35">
      <c r="F12456"/>
    </row>
    <row r="12457" spans="6:6" x14ac:dyDescent="0.35">
      <c r="F12457"/>
    </row>
    <row r="12458" spans="6:6" x14ac:dyDescent="0.35">
      <c r="F12458"/>
    </row>
    <row r="12459" spans="6:6" x14ac:dyDescent="0.35">
      <c r="F12459"/>
    </row>
    <row r="12460" spans="6:6" x14ac:dyDescent="0.35">
      <c r="F12460"/>
    </row>
    <row r="12461" spans="6:6" x14ac:dyDescent="0.35">
      <c r="F12461"/>
    </row>
    <row r="12462" spans="6:6" x14ac:dyDescent="0.35">
      <c r="F12462"/>
    </row>
    <row r="12463" spans="6:6" x14ac:dyDescent="0.35">
      <c r="F12463"/>
    </row>
    <row r="12464" spans="6:6" x14ac:dyDescent="0.35">
      <c r="F12464"/>
    </row>
    <row r="12465" spans="6:6" x14ac:dyDescent="0.35">
      <c r="F12465"/>
    </row>
    <row r="12466" spans="6:6" x14ac:dyDescent="0.35">
      <c r="F12466"/>
    </row>
    <row r="12467" spans="6:6" x14ac:dyDescent="0.35">
      <c r="F12467"/>
    </row>
    <row r="12468" spans="6:6" x14ac:dyDescent="0.35">
      <c r="F12468"/>
    </row>
    <row r="12469" spans="6:6" x14ac:dyDescent="0.35">
      <c r="F12469"/>
    </row>
    <row r="12470" spans="6:6" x14ac:dyDescent="0.35">
      <c r="F12470"/>
    </row>
    <row r="12471" spans="6:6" x14ac:dyDescent="0.35">
      <c r="F12471"/>
    </row>
    <row r="12472" spans="6:6" x14ac:dyDescent="0.35">
      <c r="F12472"/>
    </row>
    <row r="12473" spans="6:6" x14ac:dyDescent="0.35">
      <c r="F12473"/>
    </row>
    <row r="12474" spans="6:6" x14ac:dyDescent="0.35">
      <c r="F12474"/>
    </row>
    <row r="12475" spans="6:6" x14ac:dyDescent="0.35">
      <c r="F12475"/>
    </row>
    <row r="12476" spans="6:6" x14ac:dyDescent="0.35">
      <c r="F12476"/>
    </row>
    <row r="12477" spans="6:6" x14ac:dyDescent="0.35">
      <c r="F12477"/>
    </row>
    <row r="12478" spans="6:6" x14ac:dyDescent="0.35">
      <c r="F12478"/>
    </row>
    <row r="12479" spans="6:6" x14ac:dyDescent="0.35">
      <c r="F12479"/>
    </row>
    <row r="12480" spans="6:6" x14ac:dyDescent="0.35">
      <c r="F12480"/>
    </row>
    <row r="12481" spans="6:6" x14ac:dyDescent="0.35">
      <c r="F12481"/>
    </row>
    <row r="12482" spans="6:6" x14ac:dyDescent="0.35">
      <c r="F12482"/>
    </row>
    <row r="12483" spans="6:6" x14ac:dyDescent="0.35">
      <c r="F12483"/>
    </row>
    <row r="12484" spans="6:6" x14ac:dyDescent="0.35">
      <c r="F12484"/>
    </row>
    <row r="12485" spans="6:6" x14ac:dyDescent="0.35">
      <c r="F12485"/>
    </row>
    <row r="12486" spans="6:6" x14ac:dyDescent="0.35">
      <c r="F12486"/>
    </row>
    <row r="12487" spans="6:6" x14ac:dyDescent="0.35">
      <c r="F12487"/>
    </row>
    <row r="12488" spans="6:6" x14ac:dyDescent="0.35">
      <c r="F12488"/>
    </row>
    <row r="12489" spans="6:6" x14ac:dyDescent="0.35">
      <c r="F12489"/>
    </row>
    <row r="12490" spans="6:6" x14ac:dyDescent="0.35">
      <c r="F12490"/>
    </row>
    <row r="12491" spans="6:6" x14ac:dyDescent="0.35">
      <c r="F12491"/>
    </row>
    <row r="12492" spans="6:6" x14ac:dyDescent="0.35">
      <c r="F12492"/>
    </row>
    <row r="12493" spans="6:6" x14ac:dyDescent="0.35">
      <c r="F12493"/>
    </row>
    <row r="12494" spans="6:6" x14ac:dyDescent="0.35">
      <c r="F12494"/>
    </row>
    <row r="12495" spans="6:6" x14ac:dyDescent="0.35">
      <c r="F12495"/>
    </row>
    <row r="12496" spans="6:6" x14ac:dyDescent="0.35">
      <c r="F12496"/>
    </row>
    <row r="12497" spans="6:6" x14ac:dyDescent="0.35">
      <c r="F12497"/>
    </row>
    <row r="12498" spans="6:6" x14ac:dyDescent="0.35">
      <c r="F12498"/>
    </row>
    <row r="12499" spans="6:6" x14ac:dyDescent="0.35">
      <c r="F12499"/>
    </row>
    <row r="12500" spans="6:6" x14ac:dyDescent="0.35">
      <c r="F12500"/>
    </row>
    <row r="12501" spans="6:6" x14ac:dyDescent="0.35">
      <c r="F12501"/>
    </row>
    <row r="12502" spans="6:6" x14ac:dyDescent="0.35">
      <c r="F12502"/>
    </row>
    <row r="12503" spans="6:6" x14ac:dyDescent="0.35">
      <c r="F12503"/>
    </row>
    <row r="12504" spans="6:6" x14ac:dyDescent="0.35">
      <c r="F12504"/>
    </row>
    <row r="12505" spans="6:6" x14ac:dyDescent="0.35">
      <c r="F12505"/>
    </row>
    <row r="12506" spans="6:6" x14ac:dyDescent="0.35">
      <c r="F12506"/>
    </row>
    <row r="12507" spans="6:6" x14ac:dyDescent="0.35">
      <c r="F12507"/>
    </row>
    <row r="12508" spans="6:6" x14ac:dyDescent="0.35">
      <c r="F12508"/>
    </row>
    <row r="12509" spans="6:6" x14ac:dyDescent="0.35">
      <c r="F12509"/>
    </row>
    <row r="12510" spans="6:6" x14ac:dyDescent="0.35">
      <c r="F12510"/>
    </row>
    <row r="12511" spans="6:6" x14ac:dyDescent="0.35">
      <c r="F12511"/>
    </row>
    <row r="12512" spans="6:6" x14ac:dyDescent="0.35">
      <c r="F12512"/>
    </row>
    <row r="12513" spans="6:6" x14ac:dyDescent="0.35">
      <c r="F12513"/>
    </row>
    <row r="12514" spans="6:6" x14ac:dyDescent="0.35">
      <c r="F12514"/>
    </row>
    <row r="12515" spans="6:6" x14ac:dyDescent="0.35">
      <c r="F12515"/>
    </row>
    <row r="12516" spans="6:6" x14ac:dyDescent="0.35">
      <c r="F12516"/>
    </row>
    <row r="12517" spans="6:6" x14ac:dyDescent="0.35">
      <c r="F12517"/>
    </row>
    <row r="12518" spans="6:6" x14ac:dyDescent="0.35">
      <c r="F12518"/>
    </row>
    <row r="12519" spans="6:6" x14ac:dyDescent="0.35">
      <c r="F12519"/>
    </row>
    <row r="12520" spans="6:6" x14ac:dyDescent="0.35">
      <c r="F12520"/>
    </row>
    <row r="12521" spans="6:6" x14ac:dyDescent="0.35">
      <c r="F12521"/>
    </row>
    <row r="12522" spans="6:6" x14ac:dyDescent="0.35">
      <c r="F12522"/>
    </row>
    <row r="12523" spans="6:6" x14ac:dyDescent="0.35">
      <c r="F12523"/>
    </row>
    <row r="12524" spans="6:6" x14ac:dyDescent="0.35">
      <c r="F12524"/>
    </row>
    <row r="12525" spans="6:6" x14ac:dyDescent="0.35">
      <c r="F12525"/>
    </row>
    <row r="12526" spans="6:6" x14ac:dyDescent="0.35">
      <c r="F12526"/>
    </row>
    <row r="12527" spans="6:6" x14ac:dyDescent="0.35">
      <c r="F12527"/>
    </row>
    <row r="12528" spans="6:6" x14ac:dyDescent="0.35">
      <c r="F12528"/>
    </row>
    <row r="12529" spans="6:6" x14ac:dyDescent="0.35">
      <c r="F12529"/>
    </row>
    <row r="12530" spans="6:6" x14ac:dyDescent="0.35">
      <c r="F12530"/>
    </row>
    <row r="12531" spans="6:6" x14ac:dyDescent="0.35">
      <c r="F12531"/>
    </row>
    <row r="12532" spans="6:6" x14ac:dyDescent="0.35">
      <c r="F12532"/>
    </row>
    <row r="12533" spans="6:6" x14ac:dyDescent="0.35">
      <c r="F12533"/>
    </row>
    <row r="12534" spans="6:6" x14ac:dyDescent="0.35">
      <c r="F12534"/>
    </row>
    <row r="12535" spans="6:6" x14ac:dyDescent="0.35">
      <c r="F12535"/>
    </row>
    <row r="12536" spans="6:6" x14ac:dyDescent="0.35">
      <c r="F12536"/>
    </row>
    <row r="12537" spans="6:6" x14ac:dyDescent="0.35">
      <c r="F12537"/>
    </row>
    <row r="12538" spans="6:6" x14ac:dyDescent="0.35">
      <c r="F12538"/>
    </row>
    <row r="12539" spans="6:6" x14ac:dyDescent="0.35">
      <c r="F12539"/>
    </row>
    <row r="12540" spans="6:6" x14ac:dyDescent="0.35">
      <c r="F12540"/>
    </row>
    <row r="12541" spans="6:6" x14ac:dyDescent="0.35">
      <c r="F12541"/>
    </row>
    <row r="12542" spans="6:6" x14ac:dyDescent="0.35">
      <c r="F12542"/>
    </row>
    <row r="12543" spans="6:6" x14ac:dyDescent="0.35">
      <c r="F12543"/>
    </row>
    <row r="12544" spans="6:6" x14ac:dyDescent="0.35">
      <c r="F12544"/>
    </row>
    <row r="12545" spans="6:6" x14ac:dyDescent="0.35">
      <c r="F12545"/>
    </row>
    <row r="12546" spans="6:6" x14ac:dyDescent="0.35">
      <c r="F12546"/>
    </row>
    <row r="12547" spans="6:6" x14ac:dyDescent="0.35">
      <c r="F12547"/>
    </row>
    <row r="12548" spans="6:6" x14ac:dyDescent="0.35">
      <c r="F12548"/>
    </row>
    <row r="12549" spans="6:6" x14ac:dyDescent="0.35">
      <c r="F12549"/>
    </row>
    <row r="12550" spans="6:6" x14ac:dyDescent="0.35">
      <c r="F12550"/>
    </row>
    <row r="12551" spans="6:6" x14ac:dyDescent="0.35">
      <c r="F12551"/>
    </row>
    <row r="12552" spans="6:6" x14ac:dyDescent="0.35">
      <c r="F12552"/>
    </row>
    <row r="12553" spans="6:6" x14ac:dyDescent="0.35">
      <c r="F12553"/>
    </row>
    <row r="12554" spans="6:6" x14ac:dyDescent="0.35">
      <c r="F12554"/>
    </row>
    <row r="12555" spans="6:6" x14ac:dyDescent="0.35">
      <c r="F12555"/>
    </row>
    <row r="12556" spans="6:6" x14ac:dyDescent="0.35">
      <c r="F12556"/>
    </row>
    <row r="12557" spans="6:6" x14ac:dyDescent="0.35">
      <c r="F12557"/>
    </row>
    <row r="12558" spans="6:6" x14ac:dyDescent="0.35">
      <c r="F12558"/>
    </row>
    <row r="12559" spans="6:6" x14ac:dyDescent="0.35">
      <c r="F12559"/>
    </row>
    <row r="12560" spans="6:6" x14ac:dyDescent="0.35">
      <c r="F12560"/>
    </row>
    <row r="12561" spans="6:6" x14ac:dyDescent="0.35">
      <c r="F12561"/>
    </row>
    <row r="12562" spans="6:6" x14ac:dyDescent="0.35">
      <c r="F12562"/>
    </row>
    <row r="12563" spans="6:6" x14ac:dyDescent="0.35">
      <c r="F12563"/>
    </row>
    <row r="12564" spans="6:6" x14ac:dyDescent="0.35">
      <c r="F12564"/>
    </row>
    <row r="12565" spans="6:6" x14ac:dyDescent="0.35">
      <c r="F12565"/>
    </row>
    <row r="12566" spans="6:6" x14ac:dyDescent="0.35">
      <c r="F12566"/>
    </row>
    <row r="12567" spans="6:6" x14ac:dyDescent="0.35">
      <c r="F12567"/>
    </row>
    <row r="12568" spans="6:6" x14ac:dyDescent="0.35">
      <c r="F12568"/>
    </row>
    <row r="12569" spans="6:6" x14ac:dyDescent="0.35">
      <c r="F12569"/>
    </row>
    <row r="12570" spans="6:6" x14ac:dyDescent="0.35">
      <c r="F12570"/>
    </row>
    <row r="12571" spans="6:6" x14ac:dyDescent="0.35">
      <c r="F12571"/>
    </row>
    <row r="12572" spans="6:6" x14ac:dyDescent="0.35">
      <c r="F12572"/>
    </row>
    <row r="12573" spans="6:6" x14ac:dyDescent="0.35">
      <c r="F12573"/>
    </row>
    <row r="12574" spans="6:6" x14ac:dyDescent="0.35">
      <c r="F12574"/>
    </row>
    <row r="12575" spans="6:6" x14ac:dyDescent="0.35">
      <c r="F12575"/>
    </row>
    <row r="12576" spans="6:6" x14ac:dyDescent="0.35">
      <c r="F12576"/>
    </row>
    <row r="12577" spans="6:6" x14ac:dyDescent="0.35">
      <c r="F12577"/>
    </row>
    <row r="12578" spans="6:6" x14ac:dyDescent="0.35">
      <c r="F12578"/>
    </row>
    <row r="12579" spans="6:6" x14ac:dyDescent="0.35">
      <c r="F12579"/>
    </row>
    <row r="12580" spans="6:6" x14ac:dyDescent="0.35">
      <c r="F12580"/>
    </row>
    <row r="12581" spans="6:6" x14ac:dyDescent="0.35">
      <c r="F12581"/>
    </row>
    <row r="12582" spans="6:6" x14ac:dyDescent="0.35">
      <c r="F12582"/>
    </row>
    <row r="12583" spans="6:6" x14ac:dyDescent="0.35">
      <c r="F12583"/>
    </row>
    <row r="12584" spans="6:6" x14ac:dyDescent="0.35">
      <c r="F12584"/>
    </row>
    <row r="12585" spans="6:6" x14ac:dyDescent="0.35">
      <c r="F12585"/>
    </row>
    <row r="12586" spans="6:6" x14ac:dyDescent="0.35">
      <c r="F12586"/>
    </row>
    <row r="12587" spans="6:6" x14ac:dyDescent="0.35">
      <c r="F12587"/>
    </row>
    <row r="12588" spans="6:6" x14ac:dyDescent="0.35">
      <c r="F12588"/>
    </row>
    <row r="12589" spans="6:6" x14ac:dyDescent="0.35">
      <c r="F12589"/>
    </row>
    <row r="12590" spans="6:6" x14ac:dyDescent="0.35">
      <c r="F12590"/>
    </row>
    <row r="12591" spans="6:6" x14ac:dyDescent="0.35">
      <c r="F12591"/>
    </row>
    <row r="12592" spans="6:6" x14ac:dyDescent="0.35">
      <c r="F12592"/>
    </row>
    <row r="12593" spans="6:6" x14ac:dyDescent="0.35">
      <c r="F12593"/>
    </row>
    <row r="12594" spans="6:6" x14ac:dyDescent="0.35">
      <c r="F12594"/>
    </row>
    <row r="12595" spans="6:6" x14ac:dyDescent="0.35">
      <c r="F12595"/>
    </row>
    <row r="12596" spans="6:6" x14ac:dyDescent="0.35">
      <c r="F12596"/>
    </row>
    <row r="12597" spans="6:6" x14ac:dyDescent="0.35">
      <c r="F12597"/>
    </row>
    <row r="12598" spans="6:6" x14ac:dyDescent="0.35">
      <c r="F12598"/>
    </row>
    <row r="12599" spans="6:6" x14ac:dyDescent="0.35">
      <c r="F12599"/>
    </row>
    <row r="12600" spans="6:6" x14ac:dyDescent="0.35">
      <c r="F12600"/>
    </row>
    <row r="12601" spans="6:6" x14ac:dyDescent="0.35">
      <c r="F12601"/>
    </row>
    <row r="12602" spans="6:6" x14ac:dyDescent="0.35">
      <c r="F12602"/>
    </row>
    <row r="12603" spans="6:6" x14ac:dyDescent="0.35">
      <c r="F12603"/>
    </row>
    <row r="12604" spans="6:6" x14ac:dyDescent="0.35">
      <c r="F12604"/>
    </row>
    <row r="12605" spans="6:6" x14ac:dyDescent="0.35">
      <c r="F12605"/>
    </row>
    <row r="12606" spans="6:6" x14ac:dyDescent="0.35">
      <c r="F12606"/>
    </row>
    <row r="12607" spans="6:6" x14ac:dyDescent="0.35">
      <c r="F12607"/>
    </row>
    <row r="12608" spans="6:6" x14ac:dyDescent="0.35">
      <c r="F12608"/>
    </row>
    <row r="12609" spans="6:6" x14ac:dyDescent="0.35">
      <c r="F12609"/>
    </row>
    <row r="12610" spans="6:6" x14ac:dyDescent="0.35">
      <c r="F12610"/>
    </row>
    <row r="12611" spans="6:6" x14ac:dyDescent="0.35">
      <c r="F12611"/>
    </row>
    <row r="12612" spans="6:6" x14ac:dyDescent="0.35">
      <c r="F12612"/>
    </row>
    <row r="12613" spans="6:6" x14ac:dyDescent="0.35">
      <c r="F12613"/>
    </row>
    <row r="12614" spans="6:6" x14ac:dyDescent="0.35">
      <c r="F12614"/>
    </row>
    <row r="12615" spans="6:6" x14ac:dyDescent="0.35">
      <c r="F12615"/>
    </row>
    <row r="12616" spans="6:6" x14ac:dyDescent="0.35">
      <c r="F12616"/>
    </row>
    <row r="12617" spans="6:6" x14ac:dyDescent="0.35">
      <c r="F12617"/>
    </row>
    <row r="12618" spans="6:6" x14ac:dyDescent="0.35">
      <c r="F12618"/>
    </row>
    <row r="12619" spans="6:6" x14ac:dyDescent="0.35">
      <c r="F12619"/>
    </row>
    <row r="12620" spans="6:6" x14ac:dyDescent="0.35">
      <c r="F12620"/>
    </row>
    <row r="12621" spans="6:6" x14ac:dyDescent="0.35">
      <c r="F12621"/>
    </row>
    <row r="12622" spans="6:6" x14ac:dyDescent="0.35">
      <c r="F12622"/>
    </row>
    <row r="12623" spans="6:6" x14ac:dyDescent="0.35">
      <c r="F12623"/>
    </row>
    <row r="12624" spans="6:6" x14ac:dyDescent="0.35">
      <c r="F12624"/>
    </row>
    <row r="12625" spans="6:6" x14ac:dyDescent="0.35">
      <c r="F12625"/>
    </row>
    <row r="12626" spans="6:6" x14ac:dyDescent="0.35">
      <c r="F12626"/>
    </row>
    <row r="12627" spans="6:6" x14ac:dyDescent="0.35">
      <c r="F12627"/>
    </row>
    <row r="12628" spans="6:6" x14ac:dyDescent="0.35">
      <c r="F12628"/>
    </row>
    <row r="12629" spans="6:6" x14ac:dyDescent="0.35">
      <c r="F12629"/>
    </row>
    <row r="12630" spans="6:6" x14ac:dyDescent="0.35">
      <c r="F12630"/>
    </row>
    <row r="12631" spans="6:6" x14ac:dyDescent="0.35">
      <c r="F12631"/>
    </row>
    <row r="12632" spans="6:6" x14ac:dyDescent="0.35">
      <c r="F12632"/>
    </row>
    <row r="12633" spans="6:6" x14ac:dyDescent="0.35">
      <c r="F12633"/>
    </row>
    <row r="12634" spans="6:6" x14ac:dyDescent="0.35">
      <c r="F12634"/>
    </row>
    <row r="12635" spans="6:6" x14ac:dyDescent="0.35">
      <c r="F12635"/>
    </row>
    <row r="12636" spans="6:6" x14ac:dyDescent="0.35">
      <c r="F12636"/>
    </row>
    <row r="12637" spans="6:6" x14ac:dyDescent="0.35">
      <c r="F12637"/>
    </row>
    <row r="12638" spans="6:6" x14ac:dyDescent="0.35">
      <c r="F12638"/>
    </row>
    <row r="12639" spans="6:6" x14ac:dyDescent="0.35">
      <c r="F12639"/>
    </row>
    <row r="12640" spans="6:6" x14ac:dyDescent="0.35">
      <c r="F12640"/>
    </row>
    <row r="12641" spans="6:6" x14ac:dyDescent="0.35">
      <c r="F12641"/>
    </row>
    <row r="12642" spans="6:6" x14ac:dyDescent="0.35">
      <c r="F12642"/>
    </row>
    <row r="12643" spans="6:6" x14ac:dyDescent="0.35">
      <c r="F12643"/>
    </row>
    <row r="12644" spans="6:6" x14ac:dyDescent="0.35">
      <c r="F12644"/>
    </row>
    <row r="12645" spans="6:6" x14ac:dyDescent="0.35">
      <c r="F12645"/>
    </row>
    <row r="12646" spans="6:6" x14ac:dyDescent="0.35">
      <c r="F12646"/>
    </row>
    <row r="12647" spans="6:6" x14ac:dyDescent="0.35">
      <c r="F12647"/>
    </row>
    <row r="12648" spans="6:6" x14ac:dyDescent="0.35">
      <c r="F12648"/>
    </row>
    <row r="12649" spans="6:6" x14ac:dyDescent="0.35">
      <c r="F12649"/>
    </row>
    <row r="12650" spans="6:6" x14ac:dyDescent="0.35">
      <c r="F12650"/>
    </row>
    <row r="12651" spans="6:6" x14ac:dyDescent="0.35">
      <c r="F12651"/>
    </row>
    <row r="12652" spans="6:6" x14ac:dyDescent="0.35">
      <c r="F12652"/>
    </row>
    <row r="12653" spans="6:6" x14ac:dyDescent="0.35">
      <c r="F12653"/>
    </row>
    <row r="12654" spans="6:6" x14ac:dyDescent="0.35">
      <c r="F12654"/>
    </row>
    <row r="12655" spans="6:6" x14ac:dyDescent="0.35">
      <c r="F12655"/>
    </row>
    <row r="12656" spans="6:6" x14ac:dyDescent="0.35">
      <c r="F12656"/>
    </row>
    <row r="12657" spans="6:6" x14ac:dyDescent="0.35">
      <c r="F12657"/>
    </row>
    <row r="12658" spans="6:6" x14ac:dyDescent="0.35">
      <c r="F12658"/>
    </row>
    <row r="12659" spans="6:6" x14ac:dyDescent="0.35">
      <c r="F12659"/>
    </row>
    <row r="12660" spans="6:6" x14ac:dyDescent="0.35">
      <c r="F12660"/>
    </row>
    <row r="12661" spans="6:6" x14ac:dyDescent="0.35">
      <c r="F12661"/>
    </row>
    <row r="12662" spans="6:6" x14ac:dyDescent="0.35">
      <c r="F12662"/>
    </row>
    <row r="12663" spans="6:6" x14ac:dyDescent="0.35">
      <c r="F12663"/>
    </row>
    <row r="12664" spans="6:6" x14ac:dyDescent="0.35">
      <c r="F12664"/>
    </row>
    <row r="12665" spans="6:6" x14ac:dyDescent="0.35">
      <c r="F12665"/>
    </row>
    <row r="12666" spans="6:6" x14ac:dyDescent="0.35">
      <c r="F12666"/>
    </row>
    <row r="12667" spans="6:6" x14ac:dyDescent="0.35">
      <c r="F12667"/>
    </row>
    <row r="12668" spans="6:6" x14ac:dyDescent="0.35">
      <c r="F12668"/>
    </row>
    <row r="12669" spans="6:6" x14ac:dyDescent="0.35">
      <c r="F12669"/>
    </row>
    <row r="12670" spans="6:6" x14ac:dyDescent="0.35">
      <c r="F12670"/>
    </row>
    <row r="12671" spans="6:6" x14ac:dyDescent="0.35">
      <c r="F12671"/>
    </row>
    <row r="12672" spans="6:6" x14ac:dyDescent="0.35">
      <c r="F12672"/>
    </row>
    <row r="12673" spans="6:6" x14ac:dyDescent="0.35">
      <c r="F12673"/>
    </row>
    <row r="12674" spans="6:6" x14ac:dyDescent="0.35">
      <c r="F12674"/>
    </row>
    <row r="12675" spans="6:6" x14ac:dyDescent="0.35">
      <c r="F12675"/>
    </row>
    <row r="12676" spans="6:6" x14ac:dyDescent="0.35">
      <c r="F12676"/>
    </row>
    <row r="12677" spans="6:6" x14ac:dyDescent="0.35">
      <c r="F12677"/>
    </row>
    <row r="12678" spans="6:6" x14ac:dyDescent="0.35">
      <c r="F12678"/>
    </row>
    <row r="12679" spans="6:6" x14ac:dyDescent="0.35">
      <c r="F12679"/>
    </row>
    <row r="12680" spans="6:6" x14ac:dyDescent="0.35">
      <c r="F12680"/>
    </row>
    <row r="12681" spans="6:6" x14ac:dyDescent="0.35">
      <c r="F12681"/>
    </row>
    <row r="12682" spans="6:6" x14ac:dyDescent="0.35">
      <c r="F12682"/>
    </row>
    <row r="12683" spans="6:6" x14ac:dyDescent="0.35">
      <c r="F12683"/>
    </row>
    <row r="12684" spans="6:6" x14ac:dyDescent="0.35">
      <c r="F12684"/>
    </row>
    <row r="12685" spans="6:6" x14ac:dyDescent="0.35">
      <c r="F12685"/>
    </row>
    <row r="12686" spans="6:6" x14ac:dyDescent="0.35">
      <c r="F12686"/>
    </row>
    <row r="12687" spans="6:6" x14ac:dyDescent="0.35">
      <c r="F12687"/>
    </row>
    <row r="12688" spans="6:6" x14ac:dyDescent="0.35">
      <c r="F12688"/>
    </row>
    <row r="12689" spans="6:6" x14ac:dyDescent="0.35">
      <c r="F12689"/>
    </row>
    <row r="12690" spans="6:6" x14ac:dyDescent="0.35">
      <c r="F12690"/>
    </row>
    <row r="12691" spans="6:6" x14ac:dyDescent="0.35">
      <c r="F12691"/>
    </row>
    <row r="12692" spans="6:6" x14ac:dyDescent="0.35">
      <c r="F12692"/>
    </row>
    <row r="12693" spans="6:6" x14ac:dyDescent="0.35">
      <c r="F12693"/>
    </row>
    <row r="12694" spans="6:6" x14ac:dyDescent="0.35">
      <c r="F12694"/>
    </row>
    <row r="12695" spans="6:6" x14ac:dyDescent="0.35">
      <c r="F12695"/>
    </row>
    <row r="12696" spans="6:6" x14ac:dyDescent="0.35">
      <c r="F12696"/>
    </row>
    <row r="12697" spans="6:6" x14ac:dyDescent="0.35">
      <c r="F12697"/>
    </row>
    <row r="12698" spans="6:6" x14ac:dyDescent="0.35">
      <c r="F12698"/>
    </row>
    <row r="12699" spans="6:6" x14ac:dyDescent="0.35">
      <c r="F12699"/>
    </row>
    <row r="12700" spans="6:6" x14ac:dyDescent="0.35">
      <c r="F12700"/>
    </row>
    <row r="12701" spans="6:6" x14ac:dyDescent="0.35">
      <c r="F12701"/>
    </row>
    <row r="12702" spans="6:6" x14ac:dyDescent="0.35">
      <c r="F12702"/>
    </row>
    <row r="12703" spans="6:6" x14ac:dyDescent="0.35">
      <c r="F12703"/>
    </row>
    <row r="12704" spans="6:6" x14ac:dyDescent="0.35">
      <c r="F12704"/>
    </row>
    <row r="12705" spans="6:6" x14ac:dyDescent="0.35">
      <c r="F12705"/>
    </row>
    <row r="12706" spans="6:6" x14ac:dyDescent="0.35">
      <c r="F12706"/>
    </row>
    <row r="12707" spans="6:6" x14ac:dyDescent="0.35">
      <c r="F12707"/>
    </row>
    <row r="12708" spans="6:6" x14ac:dyDescent="0.35">
      <c r="F12708"/>
    </row>
    <row r="12709" spans="6:6" x14ac:dyDescent="0.35">
      <c r="F12709"/>
    </row>
    <row r="12710" spans="6:6" x14ac:dyDescent="0.35">
      <c r="F12710"/>
    </row>
    <row r="12711" spans="6:6" x14ac:dyDescent="0.35">
      <c r="F12711"/>
    </row>
    <row r="12712" spans="6:6" x14ac:dyDescent="0.35">
      <c r="F12712"/>
    </row>
    <row r="12713" spans="6:6" x14ac:dyDescent="0.35">
      <c r="F12713"/>
    </row>
    <row r="12714" spans="6:6" x14ac:dyDescent="0.35">
      <c r="F12714"/>
    </row>
    <row r="12715" spans="6:6" x14ac:dyDescent="0.35">
      <c r="F12715"/>
    </row>
    <row r="12716" spans="6:6" x14ac:dyDescent="0.35">
      <c r="F12716"/>
    </row>
    <row r="12717" spans="6:6" x14ac:dyDescent="0.35">
      <c r="F12717"/>
    </row>
    <row r="12718" spans="6:6" x14ac:dyDescent="0.35">
      <c r="F12718"/>
    </row>
    <row r="12719" spans="6:6" x14ac:dyDescent="0.35">
      <c r="F12719"/>
    </row>
    <row r="12720" spans="6:6" x14ac:dyDescent="0.35">
      <c r="F12720"/>
    </row>
    <row r="12721" spans="6:6" x14ac:dyDescent="0.35">
      <c r="F12721"/>
    </row>
    <row r="12722" spans="6:6" x14ac:dyDescent="0.35">
      <c r="F12722"/>
    </row>
    <row r="12723" spans="6:6" x14ac:dyDescent="0.35">
      <c r="F12723"/>
    </row>
    <row r="12724" spans="6:6" x14ac:dyDescent="0.35">
      <c r="F12724"/>
    </row>
    <row r="12725" spans="6:6" x14ac:dyDescent="0.35">
      <c r="F12725"/>
    </row>
    <row r="12726" spans="6:6" x14ac:dyDescent="0.35">
      <c r="F12726"/>
    </row>
    <row r="12727" spans="6:6" x14ac:dyDescent="0.35">
      <c r="F12727"/>
    </row>
    <row r="12728" spans="6:6" x14ac:dyDescent="0.35">
      <c r="F12728"/>
    </row>
    <row r="12729" spans="6:6" x14ac:dyDescent="0.35">
      <c r="F12729"/>
    </row>
    <row r="12730" spans="6:6" x14ac:dyDescent="0.35">
      <c r="F12730"/>
    </row>
    <row r="12731" spans="6:6" x14ac:dyDescent="0.35">
      <c r="F12731"/>
    </row>
    <row r="12732" spans="6:6" x14ac:dyDescent="0.35">
      <c r="F12732"/>
    </row>
    <row r="12733" spans="6:6" x14ac:dyDescent="0.35">
      <c r="F12733"/>
    </row>
    <row r="12734" spans="6:6" x14ac:dyDescent="0.35">
      <c r="F12734"/>
    </row>
    <row r="12735" spans="6:6" x14ac:dyDescent="0.35">
      <c r="F12735"/>
    </row>
    <row r="12736" spans="6:6" x14ac:dyDescent="0.35">
      <c r="F12736"/>
    </row>
    <row r="12737" spans="6:6" x14ac:dyDescent="0.35">
      <c r="F12737"/>
    </row>
    <row r="12738" spans="6:6" x14ac:dyDescent="0.35">
      <c r="F12738"/>
    </row>
    <row r="12739" spans="6:6" x14ac:dyDescent="0.35">
      <c r="F12739"/>
    </row>
    <row r="12740" spans="6:6" x14ac:dyDescent="0.35">
      <c r="F12740"/>
    </row>
    <row r="12741" spans="6:6" x14ac:dyDescent="0.35">
      <c r="F12741"/>
    </row>
    <row r="12742" spans="6:6" x14ac:dyDescent="0.35">
      <c r="F12742"/>
    </row>
    <row r="12743" spans="6:6" x14ac:dyDescent="0.35">
      <c r="F12743"/>
    </row>
    <row r="12744" spans="6:6" x14ac:dyDescent="0.35">
      <c r="F12744"/>
    </row>
    <row r="12745" spans="6:6" x14ac:dyDescent="0.35">
      <c r="F12745"/>
    </row>
    <row r="12746" spans="6:6" x14ac:dyDescent="0.35">
      <c r="F12746"/>
    </row>
    <row r="12747" spans="6:6" x14ac:dyDescent="0.35">
      <c r="F12747"/>
    </row>
    <row r="12748" spans="6:6" x14ac:dyDescent="0.35">
      <c r="F12748"/>
    </row>
    <row r="12749" spans="6:6" x14ac:dyDescent="0.35">
      <c r="F12749"/>
    </row>
    <row r="12750" spans="6:6" x14ac:dyDescent="0.35">
      <c r="F12750"/>
    </row>
    <row r="12751" spans="6:6" x14ac:dyDescent="0.35">
      <c r="F12751"/>
    </row>
    <row r="12752" spans="6:6" x14ac:dyDescent="0.35">
      <c r="F12752"/>
    </row>
    <row r="12753" spans="6:6" x14ac:dyDescent="0.35">
      <c r="F12753"/>
    </row>
    <row r="12754" spans="6:6" x14ac:dyDescent="0.35">
      <c r="F12754"/>
    </row>
    <row r="12755" spans="6:6" x14ac:dyDescent="0.35">
      <c r="F12755"/>
    </row>
    <row r="12756" spans="6:6" x14ac:dyDescent="0.35">
      <c r="F12756"/>
    </row>
    <row r="12757" spans="6:6" x14ac:dyDescent="0.35">
      <c r="F12757"/>
    </row>
    <row r="12758" spans="6:6" x14ac:dyDescent="0.35">
      <c r="F12758"/>
    </row>
    <row r="12759" spans="6:6" x14ac:dyDescent="0.35">
      <c r="F12759"/>
    </row>
    <row r="12760" spans="6:6" x14ac:dyDescent="0.35">
      <c r="F12760"/>
    </row>
    <row r="12761" spans="6:6" x14ac:dyDescent="0.35">
      <c r="F12761"/>
    </row>
    <row r="12762" spans="6:6" x14ac:dyDescent="0.35">
      <c r="F12762"/>
    </row>
    <row r="12763" spans="6:6" x14ac:dyDescent="0.35">
      <c r="F12763"/>
    </row>
    <row r="12764" spans="6:6" x14ac:dyDescent="0.35">
      <c r="F12764"/>
    </row>
    <row r="12765" spans="6:6" x14ac:dyDescent="0.35">
      <c r="F12765"/>
    </row>
    <row r="12766" spans="6:6" x14ac:dyDescent="0.35">
      <c r="F12766"/>
    </row>
    <row r="12767" spans="6:6" x14ac:dyDescent="0.35">
      <c r="F12767"/>
    </row>
    <row r="12768" spans="6:6" x14ac:dyDescent="0.35">
      <c r="F12768"/>
    </row>
    <row r="12769" spans="6:6" x14ac:dyDescent="0.35">
      <c r="F12769"/>
    </row>
    <row r="12770" spans="6:6" x14ac:dyDescent="0.35">
      <c r="F12770"/>
    </row>
    <row r="12771" spans="6:6" x14ac:dyDescent="0.35">
      <c r="F12771"/>
    </row>
    <row r="12772" spans="6:6" x14ac:dyDescent="0.35">
      <c r="F12772"/>
    </row>
    <row r="12773" spans="6:6" x14ac:dyDescent="0.35">
      <c r="F12773"/>
    </row>
    <row r="12774" spans="6:6" x14ac:dyDescent="0.35">
      <c r="F12774"/>
    </row>
    <row r="12775" spans="6:6" x14ac:dyDescent="0.35">
      <c r="F12775"/>
    </row>
    <row r="12776" spans="6:6" x14ac:dyDescent="0.35">
      <c r="F12776"/>
    </row>
    <row r="12777" spans="6:6" x14ac:dyDescent="0.35">
      <c r="F12777"/>
    </row>
    <row r="12778" spans="6:6" x14ac:dyDescent="0.35">
      <c r="F12778"/>
    </row>
    <row r="12779" spans="6:6" x14ac:dyDescent="0.35">
      <c r="F12779"/>
    </row>
    <row r="12780" spans="6:6" x14ac:dyDescent="0.35">
      <c r="F12780"/>
    </row>
    <row r="12781" spans="6:6" x14ac:dyDescent="0.35">
      <c r="F12781"/>
    </row>
    <row r="12782" spans="6:6" x14ac:dyDescent="0.35">
      <c r="F12782"/>
    </row>
    <row r="12783" spans="6:6" x14ac:dyDescent="0.35">
      <c r="F12783"/>
    </row>
    <row r="12784" spans="6:6" x14ac:dyDescent="0.35">
      <c r="F12784"/>
    </row>
    <row r="12785" spans="6:6" x14ac:dyDescent="0.35">
      <c r="F12785"/>
    </row>
    <row r="12786" spans="6:6" x14ac:dyDescent="0.35">
      <c r="F12786"/>
    </row>
    <row r="12787" spans="6:6" x14ac:dyDescent="0.35">
      <c r="F12787"/>
    </row>
    <row r="12788" spans="6:6" x14ac:dyDescent="0.35">
      <c r="F12788"/>
    </row>
    <row r="12789" spans="6:6" x14ac:dyDescent="0.35">
      <c r="F12789"/>
    </row>
    <row r="12790" spans="6:6" x14ac:dyDescent="0.35">
      <c r="F12790"/>
    </row>
    <row r="12791" spans="6:6" x14ac:dyDescent="0.35">
      <c r="F12791"/>
    </row>
    <row r="12792" spans="6:6" x14ac:dyDescent="0.35">
      <c r="F12792"/>
    </row>
    <row r="12793" spans="6:6" x14ac:dyDescent="0.35">
      <c r="F12793"/>
    </row>
    <row r="12794" spans="6:6" x14ac:dyDescent="0.35">
      <c r="F12794"/>
    </row>
    <row r="12795" spans="6:6" x14ac:dyDescent="0.35">
      <c r="F12795"/>
    </row>
    <row r="12796" spans="6:6" x14ac:dyDescent="0.35">
      <c r="F12796"/>
    </row>
    <row r="12797" spans="6:6" x14ac:dyDescent="0.35">
      <c r="F12797"/>
    </row>
    <row r="12798" spans="6:6" x14ac:dyDescent="0.35">
      <c r="F12798"/>
    </row>
    <row r="12799" spans="6:6" x14ac:dyDescent="0.35">
      <c r="F12799"/>
    </row>
    <row r="12800" spans="6:6" x14ac:dyDescent="0.35">
      <c r="F12800"/>
    </row>
    <row r="12801" spans="6:6" x14ac:dyDescent="0.35">
      <c r="F12801"/>
    </row>
    <row r="12802" spans="6:6" x14ac:dyDescent="0.35">
      <c r="F12802"/>
    </row>
    <row r="12803" spans="6:6" x14ac:dyDescent="0.35">
      <c r="F12803"/>
    </row>
    <row r="12804" spans="6:6" x14ac:dyDescent="0.35">
      <c r="F12804"/>
    </row>
    <row r="12805" spans="6:6" x14ac:dyDescent="0.35">
      <c r="F12805"/>
    </row>
    <row r="12806" spans="6:6" x14ac:dyDescent="0.35">
      <c r="F12806"/>
    </row>
    <row r="12807" spans="6:6" x14ac:dyDescent="0.35">
      <c r="F12807"/>
    </row>
    <row r="12808" spans="6:6" x14ac:dyDescent="0.35">
      <c r="F12808"/>
    </row>
    <row r="12809" spans="6:6" x14ac:dyDescent="0.35">
      <c r="F12809"/>
    </row>
    <row r="12810" spans="6:6" x14ac:dyDescent="0.35">
      <c r="F12810"/>
    </row>
    <row r="12811" spans="6:6" x14ac:dyDescent="0.35">
      <c r="F12811"/>
    </row>
    <row r="12812" spans="6:6" x14ac:dyDescent="0.35">
      <c r="F12812"/>
    </row>
    <row r="12813" spans="6:6" x14ac:dyDescent="0.35">
      <c r="F12813"/>
    </row>
    <row r="12814" spans="6:6" x14ac:dyDescent="0.35">
      <c r="F12814"/>
    </row>
    <row r="12815" spans="6:6" x14ac:dyDescent="0.35">
      <c r="F12815"/>
    </row>
    <row r="12816" spans="6:6" x14ac:dyDescent="0.35">
      <c r="F12816"/>
    </row>
    <row r="12817" spans="6:6" x14ac:dyDescent="0.35">
      <c r="F12817"/>
    </row>
    <row r="12818" spans="6:6" x14ac:dyDescent="0.35">
      <c r="F12818"/>
    </row>
    <row r="12819" spans="6:6" x14ac:dyDescent="0.35">
      <c r="F12819"/>
    </row>
    <row r="12820" spans="6:6" x14ac:dyDescent="0.35">
      <c r="F12820"/>
    </row>
    <row r="12821" spans="6:6" x14ac:dyDescent="0.35">
      <c r="F12821"/>
    </row>
    <row r="12822" spans="6:6" x14ac:dyDescent="0.35">
      <c r="F12822"/>
    </row>
    <row r="12823" spans="6:6" x14ac:dyDescent="0.35">
      <c r="F12823"/>
    </row>
    <row r="12824" spans="6:6" x14ac:dyDescent="0.35">
      <c r="F12824"/>
    </row>
    <row r="12825" spans="6:6" x14ac:dyDescent="0.35">
      <c r="F12825"/>
    </row>
    <row r="12826" spans="6:6" x14ac:dyDescent="0.35">
      <c r="F12826"/>
    </row>
    <row r="12827" spans="6:6" x14ac:dyDescent="0.35">
      <c r="F12827"/>
    </row>
    <row r="12828" spans="6:6" x14ac:dyDescent="0.35">
      <c r="F12828"/>
    </row>
    <row r="12829" spans="6:6" x14ac:dyDescent="0.35">
      <c r="F12829"/>
    </row>
    <row r="12830" spans="6:6" x14ac:dyDescent="0.35">
      <c r="F12830"/>
    </row>
    <row r="12831" spans="6:6" x14ac:dyDescent="0.35">
      <c r="F12831"/>
    </row>
    <row r="12832" spans="6:6" x14ac:dyDescent="0.35">
      <c r="F12832"/>
    </row>
    <row r="12833" spans="6:6" x14ac:dyDescent="0.35">
      <c r="F12833"/>
    </row>
    <row r="12834" spans="6:6" x14ac:dyDescent="0.35">
      <c r="F12834"/>
    </row>
    <row r="12835" spans="6:6" x14ac:dyDescent="0.35">
      <c r="F12835"/>
    </row>
    <row r="12836" spans="6:6" x14ac:dyDescent="0.35">
      <c r="F12836"/>
    </row>
    <row r="12837" spans="6:6" x14ac:dyDescent="0.35">
      <c r="F12837"/>
    </row>
    <row r="12838" spans="6:6" x14ac:dyDescent="0.35">
      <c r="F12838"/>
    </row>
    <row r="12839" spans="6:6" x14ac:dyDescent="0.35">
      <c r="F12839"/>
    </row>
    <row r="12840" spans="6:6" x14ac:dyDescent="0.35">
      <c r="F12840"/>
    </row>
    <row r="12841" spans="6:6" x14ac:dyDescent="0.35">
      <c r="F12841"/>
    </row>
    <row r="12842" spans="6:6" x14ac:dyDescent="0.35">
      <c r="F12842"/>
    </row>
    <row r="12843" spans="6:6" x14ac:dyDescent="0.35">
      <c r="F12843"/>
    </row>
    <row r="12844" spans="6:6" x14ac:dyDescent="0.35">
      <c r="F12844"/>
    </row>
    <row r="12845" spans="6:6" x14ac:dyDescent="0.35">
      <c r="F12845"/>
    </row>
    <row r="12846" spans="6:6" x14ac:dyDescent="0.35">
      <c r="F12846"/>
    </row>
    <row r="12847" spans="6:6" x14ac:dyDescent="0.35">
      <c r="F12847"/>
    </row>
    <row r="12848" spans="6:6" x14ac:dyDescent="0.35">
      <c r="F12848"/>
    </row>
    <row r="12849" spans="6:6" x14ac:dyDescent="0.35">
      <c r="F12849"/>
    </row>
    <row r="12850" spans="6:6" x14ac:dyDescent="0.35">
      <c r="F12850"/>
    </row>
    <row r="12851" spans="6:6" x14ac:dyDescent="0.35">
      <c r="F12851"/>
    </row>
    <row r="12852" spans="6:6" x14ac:dyDescent="0.35">
      <c r="F12852"/>
    </row>
    <row r="12853" spans="6:6" x14ac:dyDescent="0.35">
      <c r="F12853"/>
    </row>
    <row r="12854" spans="6:6" x14ac:dyDescent="0.35">
      <c r="F12854"/>
    </row>
    <row r="12855" spans="6:6" x14ac:dyDescent="0.35">
      <c r="F12855"/>
    </row>
    <row r="12856" spans="6:6" x14ac:dyDescent="0.35">
      <c r="F12856"/>
    </row>
    <row r="12857" spans="6:6" x14ac:dyDescent="0.35">
      <c r="F12857"/>
    </row>
    <row r="12858" spans="6:6" x14ac:dyDescent="0.35">
      <c r="F12858"/>
    </row>
    <row r="12859" spans="6:6" x14ac:dyDescent="0.35">
      <c r="F12859"/>
    </row>
    <row r="12860" spans="6:6" x14ac:dyDescent="0.35">
      <c r="F12860"/>
    </row>
    <row r="12861" spans="6:6" x14ac:dyDescent="0.35">
      <c r="F12861"/>
    </row>
    <row r="12862" spans="6:6" x14ac:dyDescent="0.35">
      <c r="F12862"/>
    </row>
    <row r="12863" spans="6:6" x14ac:dyDescent="0.35">
      <c r="F12863"/>
    </row>
    <row r="12864" spans="6:6" x14ac:dyDescent="0.35">
      <c r="F12864"/>
    </row>
    <row r="12865" spans="6:6" x14ac:dyDescent="0.35">
      <c r="F12865"/>
    </row>
    <row r="12866" spans="6:6" x14ac:dyDescent="0.35">
      <c r="F12866"/>
    </row>
    <row r="12867" spans="6:6" x14ac:dyDescent="0.35">
      <c r="F12867"/>
    </row>
    <row r="12868" spans="6:6" x14ac:dyDescent="0.35">
      <c r="F12868"/>
    </row>
    <row r="12869" spans="6:6" x14ac:dyDescent="0.35">
      <c r="F12869"/>
    </row>
    <row r="12870" spans="6:6" x14ac:dyDescent="0.35">
      <c r="F12870"/>
    </row>
    <row r="12871" spans="6:6" x14ac:dyDescent="0.35">
      <c r="F12871"/>
    </row>
    <row r="12872" spans="6:6" x14ac:dyDescent="0.35">
      <c r="F12872"/>
    </row>
    <row r="12873" spans="6:6" x14ac:dyDescent="0.35">
      <c r="F12873"/>
    </row>
    <row r="12874" spans="6:6" x14ac:dyDescent="0.35">
      <c r="F12874"/>
    </row>
    <row r="12875" spans="6:6" x14ac:dyDescent="0.35">
      <c r="F12875"/>
    </row>
    <row r="12876" spans="6:6" x14ac:dyDescent="0.35">
      <c r="F12876"/>
    </row>
    <row r="12877" spans="6:6" x14ac:dyDescent="0.35">
      <c r="F12877"/>
    </row>
    <row r="12878" spans="6:6" x14ac:dyDescent="0.35">
      <c r="F12878"/>
    </row>
    <row r="12879" spans="6:6" x14ac:dyDescent="0.35">
      <c r="F12879"/>
    </row>
    <row r="12880" spans="6:6" x14ac:dyDescent="0.35">
      <c r="F12880"/>
    </row>
    <row r="12881" spans="6:6" x14ac:dyDescent="0.35">
      <c r="F12881"/>
    </row>
    <row r="12882" spans="6:6" x14ac:dyDescent="0.35">
      <c r="F12882"/>
    </row>
    <row r="12883" spans="6:6" x14ac:dyDescent="0.35">
      <c r="F12883"/>
    </row>
    <row r="12884" spans="6:6" x14ac:dyDescent="0.35">
      <c r="F12884"/>
    </row>
    <row r="12885" spans="6:6" x14ac:dyDescent="0.35">
      <c r="F12885"/>
    </row>
    <row r="12886" spans="6:6" x14ac:dyDescent="0.35">
      <c r="F12886"/>
    </row>
    <row r="12887" spans="6:6" x14ac:dyDescent="0.35">
      <c r="F12887"/>
    </row>
    <row r="12888" spans="6:6" x14ac:dyDescent="0.35">
      <c r="F12888"/>
    </row>
    <row r="12889" spans="6:6" x14ac:dyDescent="0.35">
      <c r="F12889"/>
    </row>
    <row r="12890" spans="6:6" x14ac:dyDescent="0.35">
      <c r="F12890"/>
    </row>
    <row r="12891" spans="6:6" x14ac:dyDescent="0.35">
      <c r="F12891"/>
    </row>
    <row r="12892" spans="6:6" x14ac:dyDescent="0.35">
      <c r="F12892"/>
    </row>
    <row r="12893" spans="6:6" x14ac:dyDescent="0.35">
      <c r="F12893"/>
    </row>
    <row r="12894" spans="6:6" x14ac:dyDescent="0.35">
      <c r="F12894"/>
    </row>
    <row r="12895" spans="6:6" x14ac:dyDescent="0.35">
      <c r="F12895"/>
    </row>
    <row r="12896" spans="6:6" x14ac:dyDescent="0.35">
      <c r="F12896"/>
    </row>
    <row r="12897" spans="6:6" x14ac:dyDescent="0.35">
      <c r="F12897"/>
    </row>
    <row r="12898" spans="6:6" x14ac:dyDescent="0.35">
      <c r="F12898"/>
    </row>
    <row r="12899" spans="6:6" x14ac:dyDescent="0.35">
      <c r="F12899"/>
    </row>
    <row r="12900" spans="6:6" x14ac:dyDescent="0.35">
      <c r="F12900"/>
    </row>
    <row r="12901" spans="6:6" x14ac:dyDescent="0.35">
      <c r="F12901"/>
    </row>
    <row r="12902" spans="6:6" x14ac:dyDescent="0.35">
      <c r="F12902"/>
    </row>
    <row r="12903" spans="6:6" x14ac:dyDescent="0.35">
      <c r="F12903"/>
    </row>
    <row r="12904" spans="6:6" x14ac:dyDescent="0.35">
      <c r="F12904"/>
    </row>
    <row r="12905" spans="6:6" x14ac:dyDescent="0.35">
      <c r="F12905"/>
    </row>
    <row r="12906" spans="6:6" x14ac:dyDescent="0.35">
      <c r="F12906"/>
    </row>
    <row r="12907" spans="6:6" x14ac:dyDescent="0.35">
      <c r="F12907"/>
    </row>
    <row r="12908" spans="6:6" x14ac:dyDescent="0.35">
      <c r="F12908"/>
    </row>
    <row r="12909" spans="6:6" x14ac:dyDescent="0.35">
      <c r="F12909"/>
    </row>
    <row r="12910" spans="6:6" x14ac:dyDescent="0.35">
      <c r="F12910"/>
    </row>
    <row r="12911" spans="6:6" x14ac:dyDescent="0.35">
      <c r="F12911"/>
    </row>
    <row r="12912" spans="6:6" x14ac:dyDescent="0.35">
      <c r="F12912"/>
    </row>
    <row r="12913" spans="6:6" x14ac:dyDescent="0.35">
      <c r="F12913"/>
    </row>
    <row r="12914" spans="6:6" x14ac:dyDescent="0.35">
      <c r="F12914"/>
    </row>
    <row r="12915" spans="6:6" x14ac:dyDescent="0.35">
      <c r="F12915"/>
    </row>
    <row r="12916" spans="6:6" x14ac:dyDescent="0.35">
      <c r="F12916"/>
    </row>
    <row r="12917" spans="6:6" x14ac:dyDescent="0.35">
      <c r="F12917"/>
    </row>
    <row r="12918" spans="6:6" x14ac:dyDescent="0.35">
      <c r="F12918"/>
    </row>
    <row r="12919" spans="6:6" x14ac:dyDescent="0.35">
      <c r="F12919"/>
    </row>
    <row r="12920" spans="6:6" x14ac:dyDescent="0.35">
      <c r="F12920"/>
    </row>
    <row r="12921" spans="6:6" x14ac:dyDescent="0.35">
      <c r="F12921"/>
    </row>
    <row r="12922" spans="6:6" x14ac:dyDescent="0.35">
      <c r="F12922"/>
    </row>
    <row r="12923" spans="6:6" x14ac:dyDescent="0.35">
      <c r="F12923"/>
    </row>
    <row r="12924" spans="6:6" x14ac:dyDescent="0.35">
      <c r="F12924"/>
    </row>
    <row r="12925" spans="6:6" x14ac:dyDescent="0.35">
      <c r="F12925"/>
    </row>
    <row r="12926" spans="6:6" x14ac:dyDescent="0.35">
      <c r="F12926"/>
    </row>
    <row r="12927" spans="6:6" x14ac:dyDescent="0.35">
      <c r="F12927"/>
    </row>
    <row r="12928" spans="6:6" x14ac:dyDescent="0.35">
      <c r="F12928"/>
    </row>
    <row r="12929" spans="6:6" x14ac:dyDescent="0.35">
      <c r="F12929"/>
    </row>
    <row r="12930" spans="6:6" x14ac:dyDescent="0.35">
      <c r="F12930"/>
    </row>
    <row r="12931" spans="6:6" x14ac:dyDescent="0.35">
      <c r="F12931"/>
    </row>
    <row r="12932" spans="6:6" x14ac:dyDescent="0.35">
      <c r="F12932"/>
    </row>
    <row r="12933" spans="6:6" x14ac:dyDescent="0.35">
      <c r="F12933"/>
    </row>
    <row r="12934" spans="6:6" x14ac:dyDescent="0.35">
      <c r="F12934"/>
    </row>
    <row r="12935" spans="6:6" x14ac:dyDescent="0.35">
      <c r="F12935"/>
    </row>
    <row r="12936" spans="6:6" x14ac:dyDescent="0.35">
      <c r="F12936"/>
    </row>
    <row r="12937" spans="6:6" x14ac:dyDescent="0.35">
      <c r="F12937"/>
    </row>
    <row r="12938" spans="6:6" x14ac:dyDescent="0.35">
      <c r="F12938"/>
    </row>
    <row r="12939" spans="6:6" x14ac:dyDescent="0.35">
      <c r="F12939"/>
    </row>
    <row r="12940" spans="6:6" x14ac:dyDescent="0.35">
      <c r="F12940"/>
    </row>
    <row r="12941" spans="6:6" x14ac:dyDescent="0.35">
      <c r="F12941"/>
    </row>
    <row r="12942" spans="6:6" x14ac:dyDescent="0.35">
      <c r="F12942"/>
    </row>
    <row r="12943" spans="6:6" x14ac:dyDescent="0.35">
      <c r="F12943"/>
    </row>
    <row r="12944" spans="6:6" x14ac:dyDescent="0.35">
      <c r="F12944"/>
    </row>
    <row r="12945" spans="6:6" x14ac:dyDescent="0.35">
      <c r="F12945"/>
    </row>
    <row r="12946" spans="6:6" x14ac:dyDescent="0.35">
      <c r="F12946"/>
    </row>
    <row r="12947" spans="6:6" x14ac:dyDescent="0.35">
      <c r="F12947"/>
    </row>
    <row r="12948" spans="6:6" x14ac:dyDescent="0.35">
      <c r="F12948"/>
    </row>
    <row r="12949" spans="6:6" x14ac:dyDescent="0.35">
      <c r="F12949"/>
    </row>
    <row r="12950" spans="6:6" x14ac:dyDescent="0.35">
      <c r="F12950"/>
    </row>
    <row r="12951" spans="6:6" x14ac:dyDescent="0.35">
      <c r="F12951"/>
    </row>
    <row r="12952" spans="6:6" x14ac:dyDescent="0.35">
      <c r="F12952"/>
    </row>
    <row r="12953" spans="6:6" x14ac:dyDescent="0.35">
      <c r="F12953"/>
    </row>
    <row r="12954" spans="6:6" x14ac:dyDescent="0.35">
      <c r="F12954"/>
    </row>
    <row r="12955" spans="6:6" x14ac:dyDescent="0.35">
      <c r="F12955"/>
    </row>
    <row r="12956" spans="6:6" x14ac:dyDescent="0.35">
      <c r="F12956"/>
    </row>
    <row r="12957" spans="6:6" x14ac:dyDescent="0.35">
      <c r="F12957"/>
    </row>
    <row r="12958" spans="6:6" x14ac:dyDescent="0.35">
      <c r="F12958"/>
    </row>
    <row r="12959" spans="6:6" x14ac:dyDescent="0.35">
      <c r="F12959"/>
    </row>
    <row r="12960" spans="6:6" x14ac:dyDescent="0.35">
      <c r="F12960"/>
    </row>
    <row r="12961" spans="6:6" x14ac:dyDescent="0.35">
      <c r="F12961"/>
    </row>
    <row r="12962" spans="6:6" x14ac:dyDescent="0.35">
      <c r="F12962"/>
    </row>
    <row r="12963" spans="6:6" x14ac:dyDescent="0.35">
      <c r="F12963"/>
    </row>
    <row r="12964" spans="6:6" x14ac:dyDescent="0.35">
      <c r="F12964"/>
    </row>
    <row r="12965" spans="6:6" x14ac:dyDescent="0.35">
      <c r="F12965"/>
    </row>
    <row r="12966" spans="6:6" x14ac:dyDescent="0.35">
      <c r="F12966"/>
    </row>
    <row r="12967" spans="6:6" x14ac:dyDescent="0.35">
      <c r="F12967"/>
    </row>
    <row r="12968" spans="6:6" x14ac:dyDescent="0.35">
      <c r="F12968"/>
    </row>
    <row r="12969" spans="6:6" x14ac:dyDescent="0.35">
      <c r="F12969"/>
    </row>
    <row r="12970" spans="6:6" x14ac:dyDescent="0.35">
      <c r="F12970"/>
    </row>
    <row r="12971" spans="6:6" x14ac:dyDescent="0.35">
      <c r="F12971"/>
    </row>
    <row r="12972" spans="6:6" x14ac:dyDescent="0.35">
      <c r="F12972"/>
    </row>
    <row r="12973" spans="6:6" x14ac:dyDescent="0.35">
      <c r="F12973"/>
    </row>
    <row r="12974" spans="6:6" x14ac:dyDescent="0.35">
      <c r="F12974"/>
    </row>
    <row r="12975" spans="6:6" x14ac:dyDescent="0.35">
      <c r="F12975"/>
    </row>
    <row r="12976" spans="6:6" x14ac:dyDescent="0.35">
      <c r="F12976"/>
    </row>
    <row r="12977" spans="6:6" x14ac:dyDescent="0.35">
      <c r="F12977"/>
    </row>
    <row r="12978" spans="6:6" x14ac:dyDescent="0.35">
      <c r="F12978"/>
    </row>
    <row r="12979" spans="6:6" x14ac:dyDescent="0.35">
      <c r="F12979"/>
    </row>
    <row r="12980" spans="6:6" x14ac:dyDescent="0.35">
      <c r="F12980"/>
    </row>
    <row r="12981" spans="6:6" x14ac:dyDescent="0.35">
      <c r="F12981"/>
    </row>
    <row r="12982" spans="6:6" x14ac:dyDescent="0.35">
      <c r="F12982"/>
    </row>
    <row r="12983" spans="6:6" x14ac:dyDescent="0.35">
      <c r="F12983"/>
    </row>
    <row r="12984" spans="6:6" x14ac:dyDescent="0.35">
      <c r="F12984"/>
    </row>
    <row r="12985" spans="6:6" x14ac:dyDescent="0.35">
      <c r="F12985"/>
    </row>
    <row r="12986" spans="6:6" x14ac:dyDescent="0.35">
      <c r="F12986"/>
    </row>
    <row r="12987" spans="6:6" x14ac:dyDescent="0.35">
      <c r="F12987"/>
    </row>
    <row r="12988" spans="6:6" x14ac:dyDescent="0.35">
      <c r="F12988"/>
    </row>
    <row r="12989" spans="6:6" x14ac:dyDescent="0.35">
      <c r="F12989"/>
    </row>
    <row r="12990" spans="6:6" x14ac:dyDescent="0.35">
      <c r="F12990"/>
    </row>
    <row r="12991" spans="6:6" x14ac:dyDescent="0.35">
      <c r="F12991"/>
    </row>
    <row r="12992" spans="6:6" x14ac:dyDescent="0.35">
      <c r="F12992"/>
    </row>
    <row r="12993" spans="6:6" x14ac:dyDescent="0.35">
      <c r="F12993"/>
    </row>
    <row r="12994" spans="6:6" x14ac:dyDescent="0.35">
      <c r="F12994"/>
    </row>
    <row r="12995" spans="6:6" x14ac:dyDescent="0.35">
      <c r="F12995"/>
    </row>
    <row r="12996" spans="6:6" x14ac:dyDescent="0.35">
      <c r="F12996"/>
    </row>
    <row r="12997" spans="6:6" x14ac:dyDescent="0.35">
      <c r="F12997"/>
    </row>
    <row r="12998" spans="6:6" x14ac:dyDescent="0.35">
      <c r="F12998"/>
    </row>
    <row r="12999" spans="6:6" x14ac:dyDescent="0.35">
      <c r="F12999"/>
    </row>
    <row r="13000" spans="6:6" x14ac:dyDescent="0.35">
      <c r="F13000"/>
    </row>
    <row r="13001" spans="6:6" x14ac:dyDescent="0.35">
      <c r="F13001"/>
    </row>
    <row r="13002" spans="6:6" x14ac:dyDescent="0.35">
      <c r="F13002"/>
    </row>
    <row r="13003" spans="6:6" x14ac:dyDescent="0.35">
      <c r="F13003"/>
    </row>
    <row r="13004" spans="6:6" x14ac:dyDescent="0.35">
      <c r="F13004"/>
    </row>
    <row r="13005" spans="6:6" x14ac:dyDescent="0.35">
      <c r="F13005"/>
    </row>
    <row r="13006" spans="6:6" x14ac:dyDescent="0.35">
      <c r="F13006"/>
    </row>
    <row r="13007" spans="6:6" x14ac:dyDescent="0.35">
      <c r="F13007"/>
    </row>
    <row r="13008" spans="6:6" x14ac:dyDescent="0.35">
      <c r="F13008"/>
    </row>
    <row r="13009" spans="6:6" x14ac:dyDescent="0.35">
      <c r="F13009"/>
    </row>
    <row r="13010" spans="6:6" x14ac:dyDescent="0.35">
      <c r="F13010"/>
    </row>
    <row r="13011" spans="6:6" x14ac:dyDescent="0.35">
      <c r="F13011"/>
    </row>
    <row r="13012" spans="6:6" x14ac:dyDescent="0.35">
      <c r="F13012"/>
    </row>
    <row r="13013" spans="6:6" x14ac:dyDescent="0.35">
      <c r="F13013"/>
    </row>
    <row r="13014" spans="6:6" x14ac:dyDescent="0.35">
      <c r="F13014"/>
    </row>
    <row r="13015" spans="6:6" x14ac:dyDescent="0.35">
      <c r="F13015"/>
    </row>
    <row r="13016" spans="6:6" x14ac:dyDescent="0.35">
      <c r="F13016"/>
    </row>
    <row r="13017" spans="6:6" x14ac:dyDescent="0.35">
      <c r="F13017"/>
    </row>
    <row r="13018" spans="6:6" x14ac:dyDescent="0.35">
      <c r="F13018"/>
    </row>
    <row r="13019" spans="6:6" x14ac:dyDescent="0.35">
      <c r="F13019"/>
    </row>
    <row r="13020" spans="6:6" x14ac:dyDescent="0.35">
      <c r="F13020"/>
    </row>
    <row r="13021" spans="6:6" x14ac:dyDescent="0.35">
      <c r="F13021"/>
    </row>
    <row r="13022" spans="6:6" x14ac:dyDescent="0.35">
      <c r="F13022"/>
    </row>
    <row r="13023" spans="6:6" x14ac:dyDescent="0.35">
      <c r="F13023"/>
    </row>
    <row r="13024" spans="6:6" x14ac:dyDescent="0.35">
      <c r="F13024"/>
    </row>
    <row r="13025" spans="6:6" x14ac:dyDescent="0.35">
      <c r="F13025"/>
    </row>
    <row r="13026" spans="6:6" x14ac:dyDescent="0.35">
      <c r="F13026"/>
    </row>
    <row r="13027" spans="6:6" x14ac:dyDescent="0.35">
      <c r="F13027"/>
    </row>
    <row r="13028" spans="6:6" x14ac:dyDescent="0.35">
      <c r="F13028"/>
    </row>
    <row r="13029" spans="6:6" x14ac:dyDescent="0.35">
      <c r="F13029"/>
    </row>
    <row r="13030" spans="6:6" x14ac:dyDescent="0.35">
      <c r="F13030"/>
    </row>
    <row r="13031" spans="6:6" x14ac:dyDescent="0.35">
      <c r="F13031"/>
    </row>
    <row r="13032" spans="6:6" x14ac:dyDescent="0.35">
      <c r="F13032"/>
    </row>
    <row r="13033" spans="6:6" x14ac:dyDescent="0.35">
      <c r="F13033"/>
    </row>
    <row r="13034" spans="6:6" x14ac:dyDescent="0.35">
      <c r="F13034"/>
    </row>
    <row r="13035" spans="6:6" x14ac:dyDescent="0.35">
      <c r="F13035"/>
    </row>
    <row r="13036" spans="6:6" x14ac:dyDescent="0.35">
      <c r="F13036"/>
    </row>
    <row r="13037" spans="6:6" x14ac:dyDescent="0.35">
      <c r="F13037"/>
    </row>
    <row r="13038" spans="6:6" x14ac:dyDescent="0.35">
      <c r="F13038"/>
    </row>
    <row r="13039" spans="6:6" x14ac:dyDescent="0.35">
      <c r="F13039"/>
    </row>
    <row r="13040" spans="6:6" x14ac:dyDescent="0.35">
      <c r="F13040"/>
    </row>
    <row r="13041" spans="6:6" x14ac:dyDescent="0.35">
      <c r="F13041"/>
    </row>
    <row r="13042" spans="6:6" x14ac:dyDescent="0.35">
      <c r="F13042"/>
    </row>
    <row r="13043" spans="6:6" x14ac:dyDescent="0.35">
      <c r="F13043"/>
    </row>
    <row r="13044" spans="6:6" x14ac:dyDescent="0.35">
      <c r="F13044"/>
    </row>
    <row r="13045" spans="6:6" x14ac:dyDescent="0.35">
      <c r="F13045"/>
    </row>
    <row r="13046" spans="6:6" x14ac:dyDescent="0.35">
      <c r="F13046"/>
    </row>
    <row r="13047" spans="6:6" x14ac:dyDescent="0.35">
      <c r="F13047"/>
    </row>
    <row r="13048" spans="6:6" x14ac:dyDescent="0.35">
      <c r="F13048"/>
    </row>
    <row r="13049" spans="6:6" x14ac:dyDescent="0.35">
      <c r="F13049"/>
    </row>
    <row r="13050" spans="6:6" x14ac:dyDescent="0.35">
      <c r="F13050"/>
    </row>
    <row r="13051" spans="6:6" x14ac:dyDescent="0.35">
      <c r="F13051"/>
    </row>
    <row r="13052" spans="6:6" x14ac:dyDescent="0.35">
      <c r="F13052"/>
    </row>
    <row r="13053" spans="6:6" x14ac:dyDescent="0.35">
      <c r="F13053"/>
    </row>
    <row r="13054" spans="6:6" x14ac:dyDescent="0.35">
      <c r="F13054"/>
    </row>
    <row r="13055" spans="6:6" x14ac:dyDescent="0.35">
      <c r="F13055"/>
    </row>
    <row r="13056" spans="6:6" x14ac:dyDescent="0.35">
      <c r="F13056"/>
    </row>
    <row r="13057" spans="6:6" x14ac:dyDescent="0.35">
      <c r="F13057"/>
    </row>
    <row r="13058" spans="6:6" x14ac:dyDescent="0.35">
      <c r="F13058"/>
    </row>
    <row r="13059" spans="6:6" x14ac:dyDescent="0.35">
      <c r="F13059"/>
    </row>
    <row r="13060" spans="6:6" x14ac:dyDescent="0.35">
      <c r="F13060"/>
    </row>
    <row r="13061" spans="6:6" x14ac:dyDescent="0.35">
      <c r="F13061"/>
    </row>
    <row r="13062" spans="6:6" x14ac:dyDescent="0.35">
      <c r="F13062"/>
    </row>
    <row r="13063" spans="6:6" x14ac:dyDescent="0.35">
      <c r="F13063"/>
    </row>
    <row r="13064" spans="6:6" x14ac:dyDescent="0.35">
      <c r="F13064"/>
    </row>
    <row r="13065" spans="6:6" x14ac:dyDescent="0.35">
      <c r="F13065"/>
    </row>
    <row r="13066" spans="6:6" x14ac:dyDescent="0.35">
      <c r="F13066"/>
    </row>
    <row r="13067" spans="6:6" x14ac:dyDescent="0.35">
      <c r="F13067"/>
    </row>
    <row r="13068" spans="6:6" x14ac:dyDescent="0.35">
      <c r="F13068"/>
    </row>
    <row r="13069" spans="6:6" x14ac:dyDescent="0.35">
      <c r="F13069"/>
    </row>
    <row r="13070" spans="6:6" x14ac:dyDescent="0.35">
      <c r="F13070"/>
    </row>
    <row r="13071" spans="6:6" x14ac:dyDescent="0.35">
      <c r="F13071"/>
    </row>
    <row r="13072" spans="6:6" x14ac:dyDescent="0.35">
      <c r="F13072"/>
    </row>
    <row r="13073" spans="6:6" x14ac:dyDescent="0.35">
      <c r="F13073"/>
    </row>
    <row r="13074" spans="6:6" x14ac:dyDescent="0.35">
      <c r="F13074"/>
    </row>
    <row r="13075" spans="6:6" x14ac:dyDescent="0.35">
      <c r="F13075"/>
    </row>
    <row r="13076" spans="6:6" x14ac:dyDescent="0.35">
      <c r="F13076"/>
    </row>
    <row r="13077" spans="6:6" x14ac:dyDescent="0.35">
      <c r="F13077"/>
    </row>
    <row r="13078" spans="6:6" x14ac:dyDescent="0.35">
      <c r="F13078"/>
    </row>
    <row r="13079" spans="6:6" x14ac:dyDescent="0.35">
      <c r="F13079"/>
    </row>
    <row r="13080" spans="6:6" x14ac:dyDescent="0.35">
      <c r="F13080"/>
    </row>
    <row r="13081" spans="6:6" x14ac:dyDescent="0.35">
      <c r="F13081"/>
    </row>
    <row r="13082" spans="6:6" x14ac:dyDescent="0.35">
      <c r="F13082"/>
    </row>
    <row r="13083" spans="6:6" x14ac:dyDescent="0.35">
      <c r="F13083"/>
    </row>
    <row r="13084" spans="6:6" x14ac:dyDescent="0.35">
      <c r="F13084"/>
    </row>
    <row r="13085" spans="6:6" x14ac:dyDescent="0.35">
      <c r="F13085"/>
    </row>
    <row r="13086" spans="6:6" x14ac:dyDescent="0.35">
      <c r="F13086"/>
    </row>
    <row r="13087" spans="6:6" x14ac:dyDescent="0.35">
      <c r="F13087"/>
    </row>
    <row r="13088" spans="6:6" x14ac:dyDescent="0.35">
      <c r="F13088"/>
    </row>
    <row r="13089" spans="6:6" x14ac:dyDescent="0.35">
      <c r="F13089"/>
    </row>
    <row r="13090" spans="6:6" x14ac:dyDescent="0.35">
      <c r="F13090"/>
    </row>
    <row r="13091" spans="6:6" x14ac:dyDescent="0.35">
      <c r="F13091"/>
    </row>
    <row r="13092" spans="6:6" x14ac:dyDescent="0.35">
      <c r="F13092"/>
    </row>
    <row r="13093" spans="6:6" x14ac:dyDescent="0.35">
      <c r="F13093"/>
    </row>
    <row r="13094" spans="6:6" x14ac:dyDescent="0.35">
      <c r="F13094"/>
    </row>
    <row r="13095" spans="6:6" x14ac:dyDescent="0.35">
      <c r="F13095"/>
    </row>
    <row r="13096" spans="6:6" x14ac:dyDescent="0.35">
      <c r="F13096"/>
    </row>
    <row r="13097" spans="6:6" x14ac:dyDescent="0.35">
      <c r="F13097"/>
    </row>
    <row r="13098" spans="6:6" x14ac:dyDescent="0.35">
      <c r="F13098"/>
    </row>
    <row r="13099" spans="6:6" x14ac:dyDescent="0.35">
      <c r="F13099"/>
    </row>
    <row r="13100" spans="6:6" x14ac:dyDescent="0.35">
      <c r="F13100"/>
    </row>
    <row r="13101" spans="6:6" x14ac:dyDescent="0.35">
      <c r="F13101"/>
    </row>
    <row r="13102" spans="6:6" x14ac:dyDescent="0.35">
      <c r="F13102"/>
    </row>
    <row r="13103" spans="6:6" x14ac:dyDescent="0.35">
      <c r="F13103"/>
    </row>
    <row r="13104" spans="6:6" x14ac:dyDescent="0.35">
      <c r="F13104"/>
    </row>
    <row r="13105" spans="6:6" x14ac:dyDescent="0.35">
      <c r="F13105"/>
    </row>
    <row r="13106" spans="6:6" x14ac:dyDescent="0.35">
      <c r="F13106"/>
    </row>
    <row r="13107" spans="6:6" x14ac:dyDescent="0.35">
      <c r="F13107"/>
    </row>
    <row r="13108" spans="6:6" x14ac:dyDescent="0.35">
      <c r="F13108"/>
    </row>
    <row r="13109" spans="6:6" x14ac:dyDescent="0.35">
      <c r="F13109"/>
    </row>
    <row r="13110" spans="6:6" x14ac:dyDescent="0.35">
      <c r="F13110"/>
    </row>
    <row r="13111" spans="6:6" x14ac:dyDescent="0.35">
      <c r="F13111"/>
    </row>
    <row r="13112" spans="6:6" x14ac:dyDescent="0.35">
      <c r="F13112"/>
    </row>
    <row r="13113" spans="6:6" x14ac:dyDescent="0.35">
      <c r="F13113"/>
    </row>
    <row r="13114" spans="6:6" x14ac:dyDescent="0.35">
      <c r="F13114"/>
    </row>
    <row r="13115" spans="6:6" x14ac:dyDescent="0.35">
      <c r="F13115"/>
    </row>
    <row r="13116" spans="6:6" x14ac:dyDescent="0.35">
      <c r="F13116"/>
    </row>
    <row r="13117" spans="6:6" x14ac:dyDescent="0.35">
      <c r="F13117"/>
    </row>
    <row r="13118" spans="6:6" x14ac:dyDescent="0.35">
      <c r="F13118"/>
    </row>
    <row r="13119" spans="6:6" x14ac:dyDescent="0.35">
      <c r="F13119"/>
    </row>
    <row r="13120" spans="6:6" x14ac:dyDescent="0.35">
      <c r="F13120"/>
    </row>
    <row r="13121" spans="6:6" x14ac:dyDescent="0.35">
      <c r="F13121"/>
    </row>
    <row r="13122" spans="6:6" x14ac:dyDescent="0.35">
      <c r="F13122"/>
    </row>
    <row r="13123" spans="6:6" x14ac:dyDescent="0.35">
      <c r="F13123"/>
    </row>
    <row r="13124" spans="6:6" x14ac:dyDescent="0.35">
      <c r="F13124"/>
    </row>
    <row r="13125" spans="6:6" x14ac:dyDescent="0.35">
      <c r="F13125"/>
    </row>
    <row r="13126" spans="6:6" x14ac:dyDescent="0.35">
      <c r="F13126"/>
    </row>
    <row r="13127" spans="6:6" x14ac:dyDescent="0.35">
      <c r="F13127"/>
    </row>
    <row r="13128" spans="6:6" x14ac:dyDescent="0.35">
      <c r="F13128"/>
    </row>
    <row r="13129" spans="6:6" x14ac:dyDescent="0.35">
      <c r="F13129"/>
    </row>
    <row r="13130" spans="6:6" x14ac:dyDescent="0.35">
      <c r="F13130"/>
    </row>
    <row r="13131" spans="6:6" x14ac:dyDescent="0.35">
      <c r="F13131"/>
    </row>
    <row r="13132" spans="6:6" x14ac:dyDescent="0.35">
      <c r="F13132"/>
    </row>
    <row r="13133" spans="6:6" x14ac:dyDescent="0.35">
      <c r="F13133"/>
    </row>
    <row r="13134" spans="6:6" x14ac:dyDescent="0.35">
      <c r="F13134"/>
    </row>
    <row r="13135" spans="6:6" x14ac:dyDescent="0.35">
      <c r="F13135"/>
    </row>
    <row r="13136" spans="6:6" x14ac:dyDescent="0.35">
      <c r="F13136"/>
    </row>
    <row r="13137" spans="6:6" x14ac:dyDescent="0.35">
      <c r="F13137"/>
    </row>
    <row r="13138" spans="6:6" x14ac:dyDescent="0.35">
      <c r="F13138"/>
    </row>
    <row r="13139" spans="6:6" x14ac:dyDescent="0.35">
      <c r="F13139"/>
    </row>
    <row r="13140" spans="6:6" x14ac:dyDescent="0.35">
      <c r="F13140"/>
    </row>
    <row r="13141" spans="6:6" x14ac:dyDescent="0.35">
      <c r="F13141"/>
    </row>
    <row r="13142" spans="6:6" x14ac:dyDescent="0.35">
      <c r="F13142"/>
    </row>
    <row r="13143" spans="6:6" x14ac:dyDescent="0.35">
      <c r="F13143"/>
    </row>
    <row r="13144" spans="6:6" x14ac:dyDescent="0.35">
      <c r="F13144"/>
    </row>
    <row r="13145" spans="6:6" x14ac:dyDescent="0.35">
      <c r="F13145"/>
    </row>
    <row r="13146" spans="6:6" x14ac:dyDescent="0.35">
      <c r="F13146"/>
    </row>
    <row r="13147" spans="6:6" x14ac:dyDescent="0.35">
      <c r="F13147"/>
    </row>
    <row r="13148" spans="6:6" x14ac:dyDescent="0.35">
      <c r="F13148"/>
    </row>
    <row r="13149" spans="6:6" x14ac:dyDescent="0.35">
      <c r="F13149"/>
    </row>
    <row r="13150" spans="6:6" x14ac:dyDescent="0.35">
      <c r="F13150"/>
    </row>
    <row r="13151" spans="6:6" x14ac:dyDescent="0.35">
      <c r="F13151"/>
    </row>
    <row r="13152" spans="6:6" x14ac:dyDescent="0.35">
      <c r="F13152"/>
    </row>
    <row r="13153" spans="6:6" x14ac:dyDescent="0.35">
      <c r="F13153"/>
    </row>
    <row r="13154" spans="6:6" x14ac:dyDescent="0.35">
      <c r="F13154"/>
    </row>
    <row r="13155" spans="6:6" x14ac:dyDescent="0.35">
      <c r="F13155"/>
    </row>
    <row r="13156" spans="6:6" x14ac:dyDescent="0.35">
      <c r="F13156"/>
    </row>
    <row r="13157" spans="6:6" x14ac:dyDescent="0.35">
      <c r="F13157"/>
    </row>
    <row r="13158" spans="6:6" x14ac:dyDescent="0.35">
      <c r="F13158"/>
    </row>
    <row r="13159" spans="6:6" x14ac:dyDescent="0.35">
      <c r="F13159"/>
    </row>
    <row r="13160" spans="6:6" x14ac:dyDescent="0.35">
      <c r="F13160"/>
    </row>
    <row r="13161" spans="6:6" x14ac:dyDescent="0.35">
      <c r="F13161"/>
    </row>
    <row r="13162" spans="6:6" x14ac:dyDescent="0.35">
      <c r="F13162"/>
    </row>
    <row r="13163" spans="6:6" x14ac:dyDescent="0.35">
      <c r="F13163"/>
    </row>
    <row r="13164" spans="6:6" x14ac:dyDescent="0.35">
      <c r="F13164"/>
    </row>
    <row r="13165" spans="6:6" x14ac:dyDescent="0.35">
      <c r="F13165"/>
    </row>
    <row r="13166" spans="6:6" x14ac:dyDescent="0.35">
      <c r="F13166"/>
    </row>
    <row r="13167" spans="6:6" x14ac:dyDescent="0.35">
      <c r="F13167"/>
    </row>
    <row r="13168" spans="6:6" x14ac:dyDescent="0.35">
      <c r="F13168"/>
    </row>
    <row r="13169" spans="6:6" x14ac:dyDescent="0.35">
      <c r="F13169"/>
    </row>
    <row r="13170" spans="6:6" x14ac:dyDescent="0.35">
      <c r="F13170"/>
    </row>
    <row r="13171" spans="6:6" x14ac:dyDescent="0.35">
      <c r="F13171"/>
    </row>
    <row r="13172" spans="6:6" x14ac:dyDescent="0.35">
      <c r="F13172"/>
    </row>
    <row r="13173" spans="6:6" x14ac:dyDescent="0.35">
      <c r="F13173"/>
    </row>
    <row r="13174" spans="6:6" x14ac:dyDescent="0.35">
      <c r="F13174"/>
    </row>
    <row r="13175" spans="6:6" x14ac:dyDescent="0.35">
      <c r="F13175"/>
    </row>
    <row r="13176" spans="6:6" x14ac:dyDescent="0.35">
      <c r="F13176"/>
    </row>
    <row r="13177" spans="6:6" x14ac:dyDescent="0.35">
      <c r="F13177"/>
    </row>
    <row r="13178" spans="6:6" x14ac:dyDescent="0.35">
      <c r="F13178"/>
    </row>
    <row r="13179" spans="6:6" x14ac:dyDescent="0.35">
      <c r="F13179"/>
    </row>
    <row r="13180" spans="6:6" x14ac:dyDescent="0.35">
      <c r="F13180"/>
    </row>
    <row r="13181" spans="6:6" x14ac:dyDescent="0.35">
      <c r="F13181"/>
    </row>
    <row r="13182" spans="6:6" x14ac:dyDescent="0.35">
      <c r="F13182"/>
    </row>
    <row r="13183" spans="6:6" x14ac:dyDescent="0.35">
      <c r="F13183"/>
    </row>
    <row r="13184" spans="6:6" x14ac:dyDescent="0.35">
      <c r="F13184"/>
    </row>
    <row r="13185" spans="6:6" x14ac:dyDescent="0.35">
      <c r="F13185"/>
    </row>
    <row r="13186" spans="6:6" x14ac:dyDescent="0.35">
      <c r="F13186"/>
    </row>
    <row r="13187" spans="6:6" x14ac:dyDescent="0.35">
      <c r="F13187"/>
    </row>
    <row r="13188" spans="6:6" x14ac:dyDescent="0.35">
      <c r="F13188"/>
    </row>
    <row r="13189" spans="6:6" x14ac:dyDescent="0.35">
      <c r="F13189"/>
    </row>
    <row r="13190" spans="6:6" x14ac:dyDescent="0.35">
      <c r="F13190"/>
    </row>
    <row r="13191" spans="6:6" x14ac:dyDescent="0.35">
      <c r="F13191"/>
    </row>
    <row r="13192" spans="6:6" x14ac:dyDescent="0.35">
      <c r="F13192"/>
    </row>
    <row r="13193" spans="6:6" x14ac:dyDescent="0.35">
      <c r="F13193"/>
    </row>
    <row r="13194" spans="6:6" x14ac:dyDescent="0.35">
      <c r="F13194"/>
    </row>
    <row r="13195" spans="6:6" x14ac:dyDescent="0.35">
      <c r="F13195"/>
    </row>
    <row r="13196" spans="6:6" x14ac:dyDescent="0.35">
      <c r="F13196"/>
    </row>
    <row r="13197" spans="6:6" x14ac:dyDescent="0.35">
      <c r="F13197"/>
    </row>
    <row r="13198" spans="6:6" x14ac:dyDescent="0.35">
      <c r="F13198"/>
    </row>
    <row r="13199" spans="6:6" x14ac:dyDescent="0.35">
      <c r="F13199"/>
    </row>
    <row r="13200" spans="6:6" x14ac:dyDescent="0.35">
      <c r="F13200"/>
    </row>
    <row r="13201" spans="6:6" x14ac:dyDescent="0.35">
      <c r="F13201"/>
    </row>
    <row r="13202" spans="6:6" x14ac:dyDescent="0.35">
      <c r="F13202"/>
    </row>
    <row r="13203" spans="6:6" x14ac:dyDescent="0.35">
      <c r="F13203"/>
    </row>
    <row r="13204" spans="6:6" x14ac:dyDescent="0.35">
      <c r="F13204"/>
    </row>
    <row r="13205" spans="6:6" x14ac:dyDescent="0.35">
      <c r="F13205"/>
    </row>
    <row r="13206" spans="6:6" x14ac:dyDescent="0.35">
      <c r="F13206"/>
    </row>
    <row r="13207" spans="6:6" x14ac:dyDescent="0.35">
      <c r="F13207"/>
    </row>
    <row r="13208" spans="6:6" x14ac:dyDescent="0.35">
      <c r="F13208"/>
    </row>
    <row r="13209" spans="6:6" x14ac:dyDescent="0.35">
      <c r="F13209"/>
    </row>
    <row r="13210" spans="6:6" x14ac:dyDescent="0.35">
      <c r="F13210"/>
    </row>
    <row r="13211" spans="6:6" x14ac:dyDescent="0.35">
      <c r="F13211"/>
    </row>
    <row r="13212" spans="6:6" x14ac:dyDescent="0.35">
      <c r="F13212"/>
    </row>
    <row r="13213" spans="6:6" x14ac:dyDescent="0.35">
      <c r="F13213"/>
    </row>
    <row r="13214" spans="6:6" x14ac:dyDescent="0.35">
      <c r="F13214"/>
    </row>
    <row r="13215" spans="6:6" x14ac:dyDescent="0.35">
      <c r="F13215"/>
    </row>
    <row r="13216" spans="6:6" x14ac:dyDescent="0.35">
      <c r="F13216"/>
    </row>
    <row r="13217" spans="6:6" x14ac:dyDescent="0.35">
      <c r="F13217"/>
    </row>
    <row r="13218" spans="6:6" x14ac:dyDescent="0.35">
      <c r="F13218"/>
    </row>
    <row r="13219" spans="6:6" x14ac:dyDescent="0.35">
      <c r="F13219"/>
    </row>
    <row r="13220" spans="6:6" x14ac:dyDescent="0.35">
      <c r="F13220"/>
    </row>
    <row r="13221" spans="6:6" x14ac:dyDescent="0.35">
      <c r="F13221"/>
    </row>
    <row r="13222" spans="6:6" x14ac:dyDescent="0.35">
      <c r="F13222"/>
    </row>
    <row r="13223" spans="6:6" x14ac:dyDescent="0.35">
      <c r="F13223"/>
    </row>
    <row r="13224" spans="6:6" x14ac:dyDescent="0.35">
      <c r="F13224"/>
    </row>
    <row r="13225" spans="6:6" x14ac:dyDescent="0.35">
      <c r="F13225"/>
    </row>
    <row r="13226" spans="6:6" x14ac:dyDescent="0.35">
      <c r="F13226"/>
    </row>
    <row r="13227" spans="6:6" x14ac:dyDescent="0.35">
      <c r="F13227"/>
    </row>
    <row r="13228" spans="6:6" x14ac:dyDescent="0.35">
      <c r="F13228"/>
    </row>
    <row r="13229" spans="6:6" x14ac:dyDescent="0.35">
      <c r="F13229"/>
    </row>
    <row r="13230" spans="6:6" x14ac:dyDescent="0.35">
      <c r="F13230"/>
    </row>
    <row r="13231" spans="6:6" x14ac:dyDescent="0.35">
      <c r="F13231"/>
    </row>
    <row r="13232" spans="6:6" x14ac:dyDescent="0.35">
      <c r="F13232"/>
    </row>
    <row r="13233" spans="6:6" x14ac:dyDescent="0.35">
      <c r="F13233"/>
    </row>
    <row r="13234" spans="6:6" x14ac:dyDescent="0.35">
      <c r="F13234"/>
    </row>
    <row r="13235" spans="6:6" x14ac:dyDescent="0.35">
      <c r="F13235"/>
    </row>
    <row r="13236" spans="6:6" x14ac:dyDescent="0.35">
      <c r="F13236"/>
    </row>
    <row r="13237" spans="6:6" x14ac:dyDescent="0.35">
      <c r="F13237"/>
    </row>
    <row r="13238" spans="6:6" x14ac:dyDescent="0.35">
      <c r="F13238"/>
    </row>
    <row r="13239" spans="6:6" x14ac:dyDescent="0.35">
      <c r="F13239"/>
    </row>
    <row r="13240" spans="6:6" x14ac:dyDescent="0.35">
      <c r="F13240"/>
    </row>
    <row r="13241" spans="6:6" x14ac:dyDescent="0.35">
      <c r="F13241"/>
    </row>
    <row r="13242" spans="6:6" x14ac:dyDescent="0.35">
      <c r="F13242"/>
    </row>
    <row r="13243" spans="6:6" x14ac:dyDescent="0.35">
      <c r="F13243"/>
    </row>
    <row r="13244" spans="6:6" x14ac:dyDescent="0.35">
      <c r="F13244"/>
    </row>
    <row r="13245" spans="6:6" x14ac:dyDescent="0.35">
      <c r="F13245"/>
    </row>
    <row r="13246" spans="6:6" x14ac:dyDescent="0.35">
      <c r="F13246"/>
    </row>
    <row r="13247" spans="6:6" x14ac:dyDescent="0.35">
      <c r="F13247"/>
    </row>
    <row r="13248" spans="6:6" x14ac:dyDescent="0.35">
      <c r="F13248"/>
    </row>
    <row r="13249" spans="6:6" x14ac:dyDescent="0.35">
      <c r="F13249"/>
    </row>
    <row r="13250" spans="6:6" x14ac:dyDescent="0.35">
      <c r="F13250"/>
    </row>
    <row r="13251" spans="6:6" x14ac:dyDescent="0.35">
      <c r="F13251"/>
    </row>
    <row r="13252" spans="6:6" x14ac:dyDescent="0.35">
      <c r="F13252"/>
    </row>
    <row r="13253" spans="6:6" x14ac:dyDescent="0.35">
      <c r="F13253"/>
    </row>
    <row r="13254" spans="6:6" x14ac:dyDescent="0.35">
      <c r="F13254"/>
    </row>
    <row r="13255" spans="6:6" x14ac:dyDescent="0.35">
      <c r="F13255"/>
    </row>
    <row r="13256" spans="6:6" x14ac:dyDescent="0.35">
      <c r="F13256"/>
    </row>
    <row r="13257" spans="6:6" x14ac:dyDescent="0.35">
      <c r="F13257"/>
    </row>
    <row r="13258" spans="6:6" x14ac:dyDescent="0.35">
      <c r="F13258"/>
    </row>
    <row r="13259" spans="6:6" x14ac:dyDescent="0.35">
      <c r="F13259"/>
    </row>
    <row r="13260" spans="6:6" x14ac:dyDescent="0.35">
      <c r="F13260"/>
    </row>
    <row r="13261" spans="6:6" x14ac:dyDescent="0.35">
      <c r="F13261"/>
    </row>
    <row r="13262" spans="6:6" x14ac:dyDescent="0.35">
      <c r="F13262"/>
    </row>
    <row r="13263" spans="6:6" x14ac:dyDescent="0.35">
      <c r="F13263"/>
    </row>
    <row r="13264" spans="6:6" x14ac:dyDescent="0.35">
      <c r="F13264"/>
    </row>
    <row r="13265" spans="6:6" x14ac:dyDescent="0.35">
      <c r="F13265"/>
    </row>
    <row r="13266" spans="6:6" x14ac:dyDescent="0.35">
      <c r="F13266"/>
    </row>
    <row r="13267" spans="6:6" x14ac:dyDescent="0.35">
      <c r="F13267"/>
    </row>
    <row r="13268" spans="6:6" x14ac:dyDescent="0.35">
      <c r="F13268"/>
    </row>
    <row r="13269" spans="6:6" x14ac:dyDescent="0.35">
      <c r="F13269"/>
    </row>
    <row r="13270" spans="6:6" x14ac:dyDescent="0.35">
      <c r="F13270"/>
    </row>
    <row r="13271" spans="6:6" x14ac:dyDescent="0.35">
      <c r="F13271"/>
    </row>
    <row r="13272" spans="6:6" x14ac:dyDescent="0.35">
      <c r="F13272"/>
    </row>
    <row r="13273" spans="6:6" x14ac:dyDescent="0.35">
      <c r="F13273"/>
    </row>
    <row r="13274" spans="6:6" x14ac:dyDescent="0.35">
      <c r="F13274"/>
    </row>
    <row r="13275" spans="6:6" x14ac:dyDescent="0.35">
      <c r="F13275"/>
    </row>
    <row r="13276" spans="6:6" x14ac:dyDescent="0.35">
      <c r="F13276"/>
    </row>
    <row r="13277" spans="6:6" x14ac:dyDescent="0.35">
      <c r="F13277"/>
    </row>
    <row r="13278" spans="6:6" x14ac:dyDescent="0.35">
      <c r="F13278"/>
    </row>
    <row r="13279" spans="6:6" x14ac:dyDescent="0.35">
      <c r="F13279"/>
    </row>
    <row r="13280" spans="6:6" x14ac:dyDescent="0.35">
      <c r="F13280"/>
    </row>
    <row r="13281" spans="6:6" x14ac:dyDescent="0.35">
      <c r="F13281"/>
    </row>
    <row r="13282" spans="6:6" x14ac:dyDescent="0.35">
      <c r="F13282"/>
    </row>
    <row r="13283" spans="6:6" x14ac:dyDescent="0.35">
      <c r="F13283"/>
    </row>
    <row r="13284" spans="6:6" x14ac:dyDescent="0.35">
      <c r="F13284"/>
    </row>
    <row r="13285" spans="6:6" x14ac:dyDescent="0.35">
      <c r="F13285"/>
    </row>
    <row r="13286" spans="6:6" x14ac:dyDescent="0.35">
      <c r="F13286"/>
    </row>
    <row r="13287" spans="6:6" x14ac:dyDescent="0.35">
      <c r="F13287"/>
    </row>
    <row r="13288" spans="6:6" x14ac:dyDescent="0.35">
      <c r="F13288"/>
    </row>
    <row r="13289" spans="6:6" x14ac:dyDescent="0.35">
      <c r="F13289"/>
    </row>
    <row r="13290" spans="6:6" x14ac:dyDescent="0.35">
      <c r="F13290"/>
    </row>
    <row r="13291" spans="6:6" x14ac:dyDescent="0.35">
      <c r="F13291"/>
    </row>
    <row r="13292" spans="6:6" x14ac:dyDescent="0.35">
      <c r="F13292"/>
    </row>
    <row r="13293" spans="6:6" x14ac:dyDescent="0.35">
      <c r="F13293"/>
    </row>
    <row r="13294" spans="6:6" x14ac:dyDescent="0.35">
      <c r="F13294"/>
    </row>
    <row r="13295" spans="6:6" x14ac:dyDescent="0.35">
      <c r="F13295"/>
    </row>
    <row r="13296" spans="6:6" x14ac:dyDescent="0.35">
      <c r="F13296"/>
    </row>
    <row r="13297" spans="6:6" x14ac:dyDescent="0.35">
      <c r="F13297"/>
    </row>
    <row r="13298" spans="6:6" x14ac:dyDescent="0.35">
      <c r="F13298"/>
    </row>
    <row r="13299" spans="6:6" x14ac:dyDescent="0.35">
      <c r="F13299"/>
    </row>
    <row r="13300" spans="6:6" x14ac:dyDescent="0.35">
      <c r="F13300"/>
    </row>
    <row r="13301" spans="6:6" x14ac:dyDescent="0.35">
      <c r="F13301"/>
    </row>
    <row r="13302" spans="6:6" x14ac:dyDescent="0.35">
      <c r="F13302"/>
    </row>
    <row r="13303" spans="6:6" x14ac:dyDescent="0.35">
      <c r="F13303"/>
    </row>
    <row r="13304" spans="6:6" x14ac:dyDescent="0.35">
      <c r="F13304"/>
    </row>
    <row r="13305" spans="6:6" x14ac:dyDescent="0.35">
      <c r="F13305"/>
    </row>
    <row r="13306" spans="6:6" x14ac:dyDescent="0.35">
      <c r="F13306"/>
    </row>
    <row r="13307" spans="6:6" x14ac:dyDescent="0.35">
      <c r="F13307"/>
    </row>
    <row r="13308" spans="6:6" x14ac:dyDescent="0.35">
      <c r="F13308"/>
    </row>
    <row r="13309" spans="6:6" x14ac:dyDescent="0.35">
      <c r="F13309"/>
    </row>
    <row r="13310" spans="6:6" x14ac:dyDescent="0.35">
      <c r="F13310"/>
    </row>
    <row r="13311" spans="6:6" x14ac:dyDescent="0.35">
      <c r="F13311"/>
    </row>
    <row r="13312" spans="6:6" x14ac:dyDescent="0.35">
      <c r="F13312"/>
    </row>
    <row r="13313" spans="6:6" x14ac:dyDescent="0.35">
      <c r="F13313"/>
    </row>
    <row r="13314" spans="6:6" x14ac:dyDescent="0.35">
      <c r="F13314"/>
    </row>
    <row r="13315" spans="6:6" x14ac:dyDescent="0.35">
      <c r="F13315"/>
    </row>
    <row r="13316" spans="6:6" x14ac:dyDescent="0.35">
      <c r="F13316"/>
    </row>
    <row r="13317" spans="6:6" x14ac:dyDescent="0.35">
      <c r="F13317"/>
    </row>
    <row r="13318" spans="6:6" x14ac:dyDescent="0.35">
      <c r="F13318"/>
    </row>
    <row r="13319" spans="6:6" x14ac:dyDescent="0.35">
      <c r="F13319"/>
    </row>
    <row r="13320" spans="6:6" x14ac:dyDescent="0.35">
      <c r="F13320"/>
    </row>
    <row r="13321" spans="6:6" x14ac:dyDescent="0.35">
      <c r="F13321"/>
    </row>
    <row r="13322" spans="6:6" x14ac:dyDescent="0.35">
      <c r="F13322"/>
    </row>
    <row r="13323" spans="6:6" x14ac:dyDescent="0.35">
      <c r="F13323"/>
    </row>
    <row r="13324" spans="6:6" x14ac:dyDescent="0.35">
      <c r="F13324"/>
    </row>
    <row r="13325" spans="6:6" x14ac:dyDescent="0.35">
      <c r="F13325"/>
    </row>
    <row r="13326" spans="6:6" x14ac:dyDescent="0.35">
      <c r="F13326"/>
    </row>
    <row r="13327" spans="6:6" x14ac:dyDescent="0.35">
      <c r="F13327"/>
    </row>
    <row r="13328" spans="6:6" x14ac:dyDescent="0.35">
      <c r="F13328"/>
    </row>
    <row r="13329" spans="6:6" x14ac:dyDescent="0.35">
      <c r="F13329"/>
    </row>
    <row r="13330" spans="6:6" x14ac:dyDescent="0.35">
      <c r="F13330"/>
    </row>
    <row r="13331" spans="6:6" x14ac:dyDescent="0.35">
      <c r="F13331"/>
    </row>
    <row r="13332" spans="6:6" x14ac:dyDescent="0.35">
      <c r="F13332"/>
    </row>
    <row r="13333" spans="6:6" x14ac:dyDescent="0.35">
      <c r="F13333"/>
    </row>
    <row r="13334" spans="6:6" x14ac:dyDescent="0.35">
      <c r="F13334"/>
    </row>
    <row r="13335" spans="6:6" x14ac:dyDescent="0.35">
      <c r="F13335"/>
    </row>
    <row r="13336" spans="6:6" x14ac:dyDescent="0.35">
      <c r="F13336"/>
    </row>
    <row r="13337" spans="6:6" x14ac:dyDescent="0.35">
      <c r="F13337"/>
    </row>
    <row r="13338" spans="6:6" x14ac:dyDescent="0.35">
      <c r="F13338"/>
    </row>
    <row r="13339" spans="6:6" x14ac:dyDescent="0.35">
      <c r="F13339"/>
    </row>
    <row r="13340" spans="6:6" x14ac:dyDescent="0.35">
      <c r="F13340"/>
    </row>
    <row r="13341" spans="6:6" x14ac:dyDescent="0.35">
      <c r="F13341"/>
    </row>
    <row r="13342" spans="6:6" x14ac:dyDescent="0.35">
      <c r="F13342"/>
    </row>
    <row r="13343" spans="6:6" x14ac:dyDescent="0.35">
      <c r="F13343"/>
    </row>
    <row r="13344" spans="6:6" x14ac:dyDescent="0.35">
      <c r="F13344"/>
    </row>
    <row r="13345" spans="6:6" x14ac:dyDescent="0.35">
      <c r="F13345"/>
    </row>
    <row r="13346" spans="6:6" x14ac:dyDescent="0.35">
      <c r="F13346"/>
    </row>
    <row r="13347" spans="6:6" x14ac:dyDescent="0.35">
      <c r="F13347"/>
    </row>
    <row r="13348" spans="6:6" x14ac:dyDescent="0.35">
      <c r="F13348"/>
    </row>
    <row r="13349" spans="6:6" x14ac:dyDescent="0.35">
      <c r="F13349"/>
    </row>
    <row r="13350" spans="6:6" x14ac:dyDescent="0.35">
      <c r="F13350"/>
    </row>
    <row r="13351" spans="6:6" x14ac:dyDescent="0.35">
      <c r="F13351"/>
    </row>
    <row r="13352" spans="6:6" x14ac:dyDescent="0.35">
      <c r="F13352"/>
    </row>
    <row r="13353" spans="6:6" x14ac:dyDescent="0.35">
      <c r="F13353"/>
    </row>
    <row r="13354" spans="6:6" x14ac:dyDescent="0.35">
      <c r="F13354"/>
    </row>
    <row r="13355" spans="6:6" x14ac:dyDescent="0.35">
      <c r="F13355"/>
    </row>
    <row r="13356" spans="6:6" x14ac:dyDescent="0.35">
      <c r="F13356"/>
    </row>
    <row r="13357" spans="6:6" x14ac:dyDescent="0.35">
      <c r="F13357"/>
    </row>
    <row r="13358" spans="6:6" x14ac:dyDescent="0.35">
      <c r="F13358"/>
    </row>
    <row r="13359" spans="6:6" x14ac:dyDescent="0.35">
      <c r="F13359"/>
    </row>
    <row r="13360" spans="6:6" x14ac:dyDescent="0.35">
      <c r="F13360"/>
    </row>
    <row r="13361" spans="6:6" x14ac:dyDescent="0.35">
      <c r="F13361"/>
    </row>
    <row r="13362" spans="6:6" x14ac:dyDescent="0.35">
      <c r="F13362"/>
    </row>
    <row r="13363" spans="6:6" x14ac:dyDescent="0.35">
      <c r="F13363"/>
    </row>
    <row r="13364" spans="6:6" x14ac:dyDescent="0.35">
      <c r="F13364"/>
    </row>
    <row r="13365" spans="6:6" x14ac:dyDescent="0.35">
      <c r="F13365"/>
    </row>
    <row r="13366" spans="6:6" x14ac:dyDescent="0.35">
      <c r="F13366"/>
    </row>
    <row r="13367" spans="6:6" x14ac:dyDescent="0.35">
      <c r="F13367"/>
    </row>
    <row r="13368" spans="6:6" x14ac:dyDescent="0.35">
      <c r="F13368"/>
    </row>
    <row r="13369" spans="6:6" x14ac:dyDescent="0.35">
      <c r="F13369"/>
    </row>
    <row r="13370" spans="6:6" x14ac:dyDescent="0.35">
      <c r="F13370"/>
    </row>
    <row r="13371" spans="6:6" x14ac:dyDescent="0.35">
      <c r="F13371"/>
    </row>
    <row r="13372" spans="6:6" x14ac:dyDescent="0.35">
      <c r="F13372"/>
    </row>
    <row r="13373" spans="6:6" x14ac:dyDescent="0.35">
      <c r="F13373"/>
    </row>
    <row r="13374" spans="6:6" x14ac:dyDescent="0.35">
      <c r="F13374"/>
    </row>
    <row r="13375" spans="6:6" x14ac:dyDescent="0.35">
      <c r="F13375"/>
    </row>
    <row r="13376" spans="6:6" x14ac:dyDescent="0.35">
      <c r="F13376"/>
    </row>
    <row r="13377" spans="6:6" x14ac:dyDescent="0.35">
      <c r="F13377"/>
    </row>
    <row r="13378" spans="6:6" x14ac:dyDescent="0.35">
      <c r="F13378"/>
    </row>
    <row r="13379" spans="6:6" x14ac:dyDescent="0.35">
      <c r="F13379"/>
    </row>
    <row r="13380" spans="6:6" x14ac:dyDescent="0.35">
      <c r="F13380"/>
    </row>
    <row r="13381" spans="6:6" x14ac:dyDescent="0.35">
      <c r="F13381"/>
    </row>
    <row r="13382" spans="6:6" x14ac:dyDescent="0.35">
      <c r="F13382"/>
    </row>
    <row r="13383" spans="6:6" x14ac:dyDescent="0.35">
      <c r="F13383"/>
    </row>
    <row r="13384" spans="6:6" x14ac:dyDescent="0.35">
      <c r="F13384"/>
    </row>
    <row r="13385" spans="6:6" x14ac:dyDescent="0.35">
      <c r="F13385"/>
    </row>
    <row r="13386" spans="6:6" x14ac:dyDescent="0.35">
      <c r="F13386"/>
    </row>
    <row r="13387" spans="6:6" x14ac:dyDescent="0.35">
      <c r="F13387"/>
    </row>
    <row r="13388" spans="6:6" x14ac:dyDescent="0.35">
      <c r="F13388"/>
    </row>
    <row r="13389" spans="6:6" x14ac:dyDescent="0.35">
      <c r="F13389"/>
    </row>
    <row r="13390" spans="6:6" x14ac:dyDescent="0.35">
      <c r="F13390"/>
    </row>
    <row r="13391" spans="6:6" x14ac:dyDescent="0.35">
      <c r="F13391"/>
    </row>
    <row r="13392" spans="6:6" x14ac:dyDescent="0.35">
      <c r="F13392"/>
    </row>
    <row r="13393" spans="6:6" x14ac:dyDescent="0.35">
      <c r="F13393"/>
    </row>
    <row r="13394" spans="6:6" x14ac:dyDescent="0.35">
      <c r="F13394"/>
    </row>
    <row r="13395" spans="6:6" x14ac:dyDescent="0.35">
      <c r="F13395"/>
    </row>
    <row r="13396" spans="6:6" x14ac:dyDescent="0.35">
      <c r="F13396"/>
    </row>
    <row r="13397" spans="6:6" x14ac:dyDescent="0.35">
      <c r="F13397"/>
    </row>
    <row r="13398" spans="6:6" x14ac:dyDescent="0.35">
      <c r="F13398"/>
    </row>
    <row r="13399" spans="6:6" x14ac:dyDescent="0.35">
      <c r="F13399"/>
    </row>
    <row r="13400" spans="6:6" x14ac:dyDescent="0.35">
      <c r="F13400"/>
    </row>
    <row r="13401" spans="6:6" x14ac:dyDescent="0.35">
      <c r="F13401"/>
    </row>
    <row r="13402" spans="6:6" x14ac:dyDescent="0.35">
      <c r="F13402"/>
    </row>
    <row r="13403" spans="6:6" x14ac:dyDescent="0.35">
      <c r="F13403"/>
    </row>
    <row r="13404" spans="6:6" x14ac:dyDescent="0.35">
      <c r="F13404"/>
    </row>
    <row r="13405" spans="6:6" x14ac:dyDescent="0.35">
      <c r="F13405"/>
    </row>
    <row r="13406" spans="6:6" x14ac:dyDescent="0.35">
      <c r="F13406"/>
    </row>
    <row r="13407" spans="6:6" x14ac:dyDescent="0.35">
      <c r="F13407"/>
    </row>
    <row r="13408" spans="6:6" x14ac:dyDescent="0.35">
      <c r="F13408"/>
    </row>
    <row r="13409" spans="6:6" x14ac:dyDescent="0.35">
      <c r="F13409"/>
    </row>
    <row r="13410" spans="6:6" x14ac:dyDescent="0.35">
      <c r="F13410"/>
    </row>
    <row r="13411" spans="6:6" x14ac:dyDescent="0.35">
      <c r="F13411"/>
    </row>
    <row r="13412" spans="6:6" x14ac:dyDescent="0.35">
      <c r="F13412"/>
    </row>
    <row r="13413" spans="6:6" x14ac:dyDescent="0.35">
      <c r="F13413"/>
    </row>
    <row r="13414" spans="6:6" x14ac:dyDescent="0.35">
      <c r="F13414"/>
    </row>
    <row r="13415" spans="6:6" x14ac:dyDescent="0.35">
      <c r="F13415"/>
    </row>
    <row r="13416" spans="6:6" x14ac:dyDescent="0.35">
      <c r="F13416"/>
    </row>
    <row r="13417" spans="6:6" x14ac:dyDescent="0.35">
      <c r="F13417"/>
    </row>
    <row r="13418" spans="6:6" x14ac:dyDescent="0.35">
      <c r="F13418"/>
    </row>
    <row r="13419" spans="6:6" x14ac:dyDescent="0.35">
      <c r="F13419"/>
    </row>
    <row r="13420" spans="6:6" x14ac:dyDescent="0.35">
      <c r="F13420"/>
    </row>
    <row r="13421" spans="6:6" x14ac:dyDescent="0.35">
      <c r="F13421"/>
    </row>
    <row r="13422" spans="6:6" x14ac:dyDescent="0.35">
      <c r="F13422"/>
    </row>
    <row r="13423" spans="6:6" x14ac:dyDescent="0.35">
      <c r="F13423"/>
    </row>
    <row r="13424" spans="6:6" x14ac:dyDescent="0.35">
      <c r="F13424"/>
    </row>
    <row r="13425" spans="6:6" x14ac:dyDescent="0.35">
      <c r="F13425"/>
    </row>
    <row r="13426" spans="6:6" x14ac:dyDescent="0.35">
      <c r="F13426"/>
    </row>
    <row r="13427" spans="6:6" x14ac:dyDescent="0.35">
      <c r="F13427"/>
    </row>
    <row r="13428" spans="6:6" x14ac:dyDescent="0.35">
      <c r="F13428"/>
    </row>
    <row r="13429" spans="6:6" x14ac:dyDescent="0.35">
      <c r="F13429"/>
    </row>
    <row r="13430" spans="6:6" x14ac:dyDescent="0.35">
      <c r="F13430"/>
    </row>
    <row r="13431" spans="6:6" x14ac:dyDescent="0.35">
      <c r="F13431"/>
    </row>
    <row r="13432" spans="6:6" x14ac:dyDescent="0.35">
      <c r="F13432"/>
    </row>
    <row r="13433" spans="6:6" x14ac:dyDescent="0.35">
      <c r="F13433"/>
    </row>
    <row r="13434" spans="6:6" x14ac:dyDescent="0.35">
      <c r="F13434"/>
    </row>
    <row r="13435" spans="6:6" x14ac:dyDescent="0.35">
      <c r="F13435"/>
    </row>
    <row r="13436" spans="6:6" x14ac:dyDescent="0.35">
      <c r="F13436"/>
    </row>
    <row r="13437" spans="6:6" x14ac:dyDescent="0.35">
      <c r="F13437"/>
    </row>
    <row r="13438" spans="6:6" x14ac:dyDescent="0.35">
      <c r="F13438"/>
    </row>
    <row r="13439" spans="6:6" x14ac:dyDescent="0.35">
      <c r="F13439"/>
    </row>
    <row r="13440" spans="6:6" x14ac:dyDescent="0.35">
      <c r="F13440"/>
    </row>
    <row r="13441" spans="6:6" x14ac:dyDescent="0.35">
      <c r="F13441"/>
    </row>
    <row r="13442" spans="6:6" x14ac:dyDescent="0.35">
      <c r="F13442"/>
    </row>
    <row r="13443" spans="6:6" x14ac:dyDescent="0.35">
      <c r="F13443"/>
    </row>
    <row r="13444" spans="6:6" x14ac:dyDescent="0.35">
      <c r="F13444"/>
    </row>
    <row r="13445" spans="6:6" x14ac:dyDescent="0.35">
      <c r="F13445"/>
    </row>
    <row r="13446" spans="6:6" x14ac:dyDescent="0.35">
      <c r="F13446"/>
    </row>
    <row r="13447" spans="6:6" x14ac:dyDescent="0.35">
      <c r="F13447"/>
    </row>
    <row r="13448" spans="6:6" x14ac:dyDescent="0.35">
      <c r="F13448"/>
    </row>
    <row r="13449" spans="6:6" x14ac:dyDescent="0.35">
      <c r="F13449"/>
    </row>
    <row r="13450" spans="6:6" x14ac:dyDescent="0.35">
      <c r="F13450"/>
    </row>
    <row r="13451" spans="6:6" x14ac:dyDescent="0.35">
      <c r="F13451"/>
    </row>
    <row r="13452" spans="6:6" x14ac:dyDescent="0.35">
      <c r="F13452"/>
    </row>
    <row r="13453" spans="6:6" x14ac:dyDescent="0.35">
      <c r="F13453"/>
    </row>
    <row r="13454" spans="6:6" x14ac:dyDescent="0.35">
      <c r="F13454"/>
    </row>
    <row r="13455" spans="6:6" x14ac:dyDescent="0.35">
      <c r="F13455"/>
    </row>
    <row r="13456" spans="6:6" x14ac:dyDescent="0.35">
      <c r="F13456"/>
    </row>
    <row r="13457" spans="6:6" x14ac:dyDescent="0.35">
      <c r="F13457"/>
    </row>
    <row r="13458" spans="6:6" x14ac:dyDescent="0.35">
      <c r="F13458"/>
    </row>
    <row r="13459" spans="6:6" x14ac:dyDescent="0.35">
      <c r="F13459"/>
    </row>
    <row r="13460" spans="6:6" x14ac:dyDescent="0.35">
      <c r="F13460"/>
    </row>
    <row r="13461" spans="6:6" x14ac:dyDescent="0.35">
      <c r="F13461"/>
    </row>
    <row r="13462" spans="6:6" x14ac:dyDescent="0.35">
      <c r="F13462"/>
    </row>
    <row r="13463" spans="6:6" x14ac:dyDescent="0.35">
      <c r="F13463"/>
    </row>
    <row r="13464" spans="6:6" x14ac:dyDescent="0.35">
      <c r="F13464"/>
    </row>
    <row r="13465" spans="6:6" x14ac:dyDescent="0.35">
      <c r="F13465"/>
    </row>
    <row r="13466" spans="6:6" x14ac:dyDescent="0.35">
      <c r="F13466"/>
    </row>
    <row r="13467" spans="6:6" x14ac:dyDescent="0.35">
      <c r="F13467"/>
    </row>
    <row r="13468" spans="6:6" x14ac:dyDescent="0.35">
      <c r="F13468"/>
    </row>
    <row r="13469" spans="6:6" x14ac:dyDescent="0.35">
      <c r="F13469"/>
    </row>
    <row r="13470" spans="6:6" x14ac:dyDescent="0.35">
      <c r="F13470"/>
    </row>
    <row r="13471" spans="6:6" x14ac:dyDescent="0.35">
      <c r="F13471"/>
    </row>
    <row r="13472" spans="6:6" x14ac:dyDescent="0.35">
      <c r="F13472"/>
    </row>
    <row r="13473" spans="6:6" x14ac:dyDescent="0.35">
      <c r="F13473"/>
    </row>
    <row r="13474" spans="6:6" x14ac:dyDescent="0.35">
      <c r="F13474"/>
    </row>
    <row r="13475" spans="6:6" x14ac:dyDescent="0.35">
      <c r="F13475"/>
    </row>
    <row r="13476" spans="6:6" x14ac:dyDescent="0.35">
      <c r="F13476"/>
    </row>
    <row r="13477" spans="6:6" x14ac:dyDescent="0.35">
      <c r="F13477"/>
    </row>
    <row r="13478" spans="6:6" x14ac:dyDescent="0.35">
      <c r="F13478"/>
    </row>
    <row r="13479" spans="6:6" x14ac:dyDescent="0.35">
      <c r="F13479"/>
    </row>
    <row r="13480" spans="6:6" x14ac:dyDescent="0.35">
      <c r="F13480"/>
    </row>
    <row r="13481" spans="6:6" x14ac:dyDescent="0.35">
      <c r="F13481"/>
    </row>
    <row r="13482" spans="6:6" x14ac:dyDescent="0.35">
      <c r="F13482"/>
    </row>
    <row r="13483" spans="6:6" x14ac:dyDescent="0.35">
      <c r="F13483"/>
    </row>
    <row r="13484" spans="6:6" x14ac:dyDescent="0.35">
      <c r="F13484"/>
    </row>
    <row r="13485" spans="6:6" x14ac:dyDescent="0.35">
      <c r="F13485"/>
    </row>
    <row r="13486" spans="6:6" x14ac:dyDescent="0.35">
      <c r="F13486"/>
    </row>
    <row r="13487" spans="6:6" x14ac:dyDescent="0.35">
      <c r="F13487"/>
    </row>
    <row r="13488" spans="6:6" x14ac:dyDescent="0.35">
      <c r="F13488"/>
    </row>
    <row r="13489" spans="6:6" x14ac:dyDescent="0.35">
      <c r="F13489"/>
    </row>
    <row r="13490" spans="6:6" x14ac:dyDescent="0.35">
      <c r="F13490"/>
    </row>
    <row r="13491" spans="6:6" x14ac:dyDescent="0.35">
      <c r="F13491"/>
    </row>
    <row r="13492" spans="6:6" x14ac:dyDescent="0.35">
      <c r="F13492"/>
    </row>
    <row r="13493" spans="6:6" x14ac:dyDescent="0.35">
      <c r="F13493"/>
    </row>
    <row r="13494" spans="6:6" x14ac:dyDescent="0.35">
      <c r="F13494"/>
    </row>
    <row r="13495" spans="6:6" x14ac:dyDescent="0.35">
      <c r="F13495"/>
    </row>
    <row r="13496" spans="6:6" x14ac:dyDescent="0.35">
      <c r="F13496"/>
    </row>
    <row r="13497" spans="6:6" x14ac:dyDescent="0.35">
      <c r="F13497"/>
    </row>
    <row r="13498" spans="6:6" x14ac:dyDescent="0.35">
      <c r="F13498"/>
    </row>
    <row r="13499" spans="6:6" x14ac:dyDescent="0.35">
      <c r="F13499"/>
    </row>
    <row r="13500" spans="6:6" x14ac:dyDescent="0.35">
      <c r="F13500"/>
    </row>
    <row r="13501" spans="6:6" x14ac:dyDescent="0.35">
      <c r="F13501"/>
    </row>
    <row r="13502" spans="6:6" x14ac:dyDescent="0.35">
      <c r="F13502"/>
    </row>
    <row r="13503" spans="6:6" x14ac:dyDescent="0.35">
      <c r="F13503"/>
    </row>
    <row r="13504" spans="6:6" x14ac:dyDescent="0.35">
      <c r="F13504"/>
    </row>
    <row r="13505" spans="6:6" x14ac:dyDescent="0.35">
      <c r="F13505"/>
    </row>
    <row r="13506" spans="6:6" x14ac:dyDescent="0.35">
      <c r="F13506"/>
    </row>
    <row r="13507" spans="6:6" x14ac:dyDescent="0.35">
      <c r="F13507"/>
    </row>
    <row r="13508" spans="6:6" x14ac:dyDescent="0.35">
      <c r="F13508"/>
    </row>
    <row r="13509" spans="6:6" x14ac:dyDescent="0.35">
      <c r="F13509"/>
    </row>
    <row r="13510" spans="6:6" x14ac:dyDescent="0.35">
      <c r="F13510"/>
    </row>
    <row r="13511" spans="6:6" x14ac:dyDescent="0.35">
      <c r="F13511"/>
    </row>
    <row r="13512" spans="6:6" x14ac:dyDescent="0.35">
      <c r="F13512"/>
    </row>
    <row r="13513" spans="6:6" x14ac:dyDescent="0.35">
      <c r="F13513"/>
    </row>
    <row r="13514" spans="6:6" x14ac:dyDescent="0.35">
      <c r="F13514"/>
    </row>
    <row r="13515" spans="6:6" x14ac:dyDescent="0.35">
      <c r="F13515"/>
    </row>
    <row r="13516" spans="6:6" x14ac:dyDescent="0.35">
      <c r="F13516"/>
    </row>
    <row r="13517" spans="6:6" x14ac:dyDescent="0.35">
      <c r="F13517"/>
    </row>
    <row r="13518" spans="6:6" x14ac:dyDescent="0.35">
      <c r="F13518"/>
    </row>
    <row r="13519" spans="6:6" x14ac:dyDescent="0.35">
      <c r="F13519"/>
    </row>
    <row r="13520" spans="6:6" x14ac:dyDescent="0.35">
      <c r="F13520"/>
    </row>
    <row r="13521" spans="6:6" x14ac:dyDescent="0.35">
      <c r="F13521"/>
    </row>
    <row r="13522" spans="6:6" x14ac:dyDescent="0.35">
      <c r="F13522"/>
    </row>
    <row r="13523" spans="6:6" x14ac:dyDescent="0.35">
      <c r="F13523"/>
    </row>
    <row r="13524" spans="6:6" x14ac:dyDescent="0.35">
      <c r="F13524"/>
    </row>
    <row r="13525" spans="6:6" x14ac:dyDescent="0.35">
      <c r="F13525"/>
    </row>
    <row r="13526" spans="6:6" x14ac:dyDescent="0.35">
      <c r="F13526"/>
    </row>
    <row r="13527" spans="6:6" x14ac:dyDescent="0.35">
      <c r="F13527"/>
    </row>
    <row r="13528" spans="6:6" x14ac:dyDescent="0.35">
      <c r="F13528"/>
    </row>
    <row r="13529" spans="6:6" x14ac:dyDescent="0.35">
      <c r="F13529"/>
    </row>
    <row r="13530" spans="6:6" x14ac:dyDescent="0.35">
      <c r="F13530"/>
    </row>
    <row r="13531" spans="6:6" x14ac:dyDescent="0.35">
      <c r="F13531"/>
    </row>
    <row r="13532" spans="6:6" x14ac:dyDescent="0.35">
      <c r="F13532"/>
    </row>
    <row r="13533" spans="6:6" x14ac:dyDescent="0.35">
      <c r="F13533"/>
    </row>
    <row r="13534" spans="6:6" x14ac:dyDescent="0.35">
      <c r="F13534"/>
    </row>
    <row r="13535" spans="6:6" x14ac:dyDescent="0.35">
      <c r="F13535"/>
    </row>
    <row r="13536" spans="6:6" x14ac:dyDescent="0.35">
      <c r="F13536"/>
    </row>
    <row r="13537" spans="6:6" x14ac:dyDescent="0.35">
      <c r="F13537"/>
    </row>
    <row r="13538" spans="6:6" x14ac:dyDescent="0.35">
      <c r="F13538"/>
    </row>
    <row r="13539" spans="6:6" x14ac:dyDescent="0.35">
      <c r="F13539"/>
    </row>
    <row r="13540" spans="6:6" x14ac:dyDescent="0.35">
      <c r="F13540"/>
    </row>
    <row r="13541" spans="6:6" x14ac:dyDescent="0.35">
      <c r="F13541"/>
    </row>
    <row r="13542" spans="6:6" x14ac:dyDescent="0.35">
      <c r="F13542"/>
    </row>
    <row r="13543" spans="6:6" x14ac:dyDescent="0.35">
      <c r="F13543"/>
    </row>
    <row r="13544" spans="6:6" x14ac:dyDescent="0.35">
      <c r="F13544"/>
    </row>
    <row r="13545" spans="6:6" x14ac:dyDescent="0.35">
      <c r="F13545"/>
    </row>
    <row r="13546" spans="6:6" x14ac:dyDescent="0.35">
      <c r="F13546"/>
    </row>
    <row r="13547" spans="6:6" x14ac:dyDescent="0.35">
      <c r="F13547"/>
    </row>
    <row r="13548" spans="6:6" x14ac:dyDescent="0.35">
      <c r="F13548"/>
    </row>
    <row r="13549" spans="6:6" x14ac:dyDescent="0.35">
      <c r="F13549"/>
    </row>
    <row r="13550" spans="6:6" x14ac:dyDescent="0.35">
      <c r="F13550"/>
    </row>
    <row r="13551" spans="6:6" x14ac:dyDescent="0.35">
      <c r="F13551"/>
    </row>
    <row r="13552" spans="6:6" x14ac:dyDescent="0.35">
      <c r="F13552"/>
    </row>
    <row r="13553" spans="6:6" x14ac:dyDescent="0.35">
      <c r="F13553"/>
    </row>
    <row r="13554" spans="6:6" x14ac:dyDescent="0.35">
      <c r="F13554"/>
    </row>
    <row r="13555" spans="6:6" x14ac:dyDescent="0.35">
      <c r="F13555"/>
    </row>
    <row r="13556" spans="6:6" x14ac:dyDescent="0.35">
      <c r="F13556"/>
    </row>
    <row r="13557" spans="6:6" x14ac:dyDescent="0.35">
      <c r="F13557"/>
    </row>
    <row r="13558" spans="6:6" x14ac:dyDescent="0.35">
      <c r="F13558"/>
    </row>
    <row r="13559" spans="6:6" x14ac:dyDescent="0.35">
      <c r="F13559"/>
    </row>
    <row r="13560" spans="6:6" x14ac:dyDescent="0.35">
      <c r="F13560"/>
    </row>
    <row r="13561" spans="6:6" x14ac:dyDescent="0.35">
      <c r="F13561"/>
    </row>
    <row r="13562" spans="6:6" x14ac:dyDescent="0.35">
      <c r="F13562"/>
    </row>
    <row r="13563" spans="6:6" x14ac:dyDescent="0.35">
      <c r="F13563"/>
    </row>
    <row r="13564" spans="6:6" x14ac:dyDescent="0.35">
      <c r="F13564"/>
    </row>
    <row r="13565" spans="6:6" x14ac:dyDescent="0.35">
      <c r="F13565"/>
    </row>
    <row r="13566" spans="6:6" x14ac:dyDescent="0.35">
      <c r="F13566"/>
    </row>
    <row r="13567" spans="6:6" x14ac:dyDescent="0.35">
      <c r="F13567"/>
    </row>
    <row r="13568" spans="6:6" x14ac:dyDescent="0.35">
      <c r="F13568"/>
    </row>
    <row r="13569" spans="6:6" x14ac:dyDescent="0.35">
      <c r="F13569"/>
    </row>
    <row r="13570" spans="6:6" x14ac:dyDescent="0.35">
      <c r="F13570"/>
    </row>
    <row r="13571" spans="6:6" x14ac:dyDescent="0.35">
      <c r="F13571"/>
    </row>
    <row r="13572" spans="6:6" x14ac:dyDescent="0.35">
      <c r="F13572"/>
    </row>
    <row r="13573" spans="6:6" x14ac:dyDescent="0.35">
      <c r="F13573"/>
    </row>
    <row r="13574" spans="6:6" x14ac:dyDescent="0.35">
      <c r="F13574"/>
    </row>
    <row r="13575" spans="6:6" x14ac:dyDescent="0.35">
      <c r="F13575"/>
    </row>
    <row r="13576" spans="6:6" x14ac:dyDescent="0.35">
      <c r="F13576"/>
    </row>
    <row r="13577" spans="6:6" x14ac:dyDescent="0.35">
      <c r="F13577"/>
    </row>
    <row r="13578" spans="6:6" x14ac:dyDescent="0.35">
      <c r="F13578"/>
    </row>
    <row r="13579" spans="6:6" x14ac:dyDescent="0.35">
      <c r="F13579"/>
    </row>
    <row r="13580" spans="6:6" x14ac:dyDescent="0.35">
      <c r="F13580"/>
    </row>
    <row r="13581" spans="6:6" x14ac:dyDescent="0.35">
      <c r="F13581"/>
    </row>
    <row r="13582" spans="6:6" x14ac:dyDescent="0.35">
      <c r="F13582"/>
    </row>
    <row r="13583" spans="6:6" x14ac:dyDescent="0.35">
      <c r="F13583"/>
    </row>
    <row r="13584" spans="6:6" x14ac:dyDescent="0.35">
      <c r="F13584"/>
    </row>
    <row r="13585" spans="6:6" x14ac:dyDescent="0.35">
      <c r="F13585"/>
    </row>
    <row r="13586" spans="6:6" x14ac:dyDescent="0.35">
      <c r="F13586"/>
    </row>
    <row r="13587" spans="6:6" x14ac:dyDescent="0.35">
      <c r="F13587"/>
    </row>
    <row r="13588" spans="6:6" x14ac:dyDescent="0.35">
      <c r="F13588"/>
    </row>
    <row r="13589" spans="6:6" x14ac:dyDescent="0.35">
      <c r="F13589"/>
    </row>
    <row r="13590" spans="6:6" x14ac:dyDescent="0.35">
      <c r="F13590"/>
    </row>
    <row r="13591" spans="6:6" x14ac:dyDescent="0.35">
      <c r="F13591"/>
    </row>
    <row r="13592" spans="6:6" x14ac:dyDescent="0.35">
      <c r="F13592"/>
    </row>
    <row r="13593" spans="6:6" x14ac:dyDescent="0.35">
      <c r="F13593"/>
    </row>
    <row r="13594" spans="6:6" x14ac:dyDescent="0.35">
      <c r="F13594"/>
    </row>
    <row r="13595" spans="6:6" x14ac:dyDescent="0.35">
      <c r="F13595"/>
    </row>
    <row r="13596" spans="6:6" x14ac:dyDescent="0.35">
      <c r="F13596"/>
    </row>
    <row r="13597" spans="6:6" x14ac:dyDescent="0.35">
      <c r="F13597"/>
    </row>
    <row r="13598" spans="6:6" x14ac:dyDescent="0.35">
      <c r="F13598"/>
    </row>
    <row r="13599" spans="6:6" x14ac:dyDescent="0.35">
      <c r="F13599"/>
    </row>
    <row r="13600" spans="6:6" x14ac:dyDescent="0.35">
      <c r="F13600"/>
    </row>
    <row r="13601" spans="6:6" x14ac:dyDescent="0.35">
      <c r="F13601"/>
    </row>
    <row r="13602" spans="6:6" x14ac:dyDescent="0.35">
      <c r="F13602"/>
    </row>
    <row r="13603" spans="6:6" x14ac:dyDescent="0.35">
      <c r="F13603"/>
    </row>
    <row r="13604" spans="6:6" x14ac:dyDescent="0.35">
      <c r="F13604"/>
    </row>
    <row r="13605" spans="6:6" x14ac:dyDescent="0.35">
      <c r="F13605"/>
    </row>
    <row r="13606" spans="6:6" x14ac:dyDescent="0.35">
      <c r="F13606"/>
    </row>
    <row r="13607" spans="6:6" x14ac:dyDescent="0.35">
      <c r="F13607"/>
    </row>
    <row r="13608" spans="6:6" x14ac:dyDescent="0.35">
      <c r="F13608"/>
    </row>
    <row r="13609" spans="6:6" x14ac:dyDescent="0.35">
      <c r="F13609"/>
    </row>
    <row r="13610" spans="6:6" x14ac:dyDescent="0.35">
      <c r="F13610"/>
    </row>
    <row r="13611" spans="6:6" x14ac:dyDescent="0.35">
      <c r="F13611"/>
    </row>
    <row r="13612" spans="6:6" x14ac:dyDescent="0.35">
      <c r="F13612"/>
    </row>
    <row r="13613" spans="6:6" x14ac:dyDescent="0.35">
      <c r="F13613"/>
    </row>
    <row r="13614" spans="6:6" x14ac:dyDescent="0.35">
      <c r="F13614"/>
    </row>
    <row r="13615" spans="6:6" x14ac:dyDescent="0.35">
      <c r="F13615"/>
    </row>
    <row r="13616" spans="6:6" x14ac:dyDescent="0.35">
      <c r="F13616"/>
    </row>
    <row r="13617" spans="6:6" x14ac:dyDescent="0.35">
      <c r="F13617"/>
    </row>
    <row r="13618" spans="6:6" x14ac:dyDescent="0.35">
      <c r="F13618"/>
    </row>
    <row r="13619" spans="6:6" x14ac:dyDescent="0.35">
      <c r="F13619"/>
    </row>
    <row r="13620" spans="6:6" x14ac:dyDescent="0.35">
      <c r="F13620"/>
    </row>
    <row r="13621" spans="6:6" x14ac:dyDescent="0.35">
      <c r="F13621"/>
    </row>
    <row r="13622" spans="6:6" x14ac:dyDescent="0.35">
      <c r="F13622"/>
    </row>
    <row r="13623" spans="6:6" x14ac:dyDescent="0.35">
      <c r="F13623"/>
    </row>
    <row r="13624" spans="6:6" x14ac:dyDescent="0.35">
      <c r="F13624"/>
    </row>
    <row r="13625" spans="6:6" x14ac:dyDescent="0.35">
      <c r="F13625"/>
    </row>
    <row r="13626" spans="6:6" x14ac:dyDescent="0.35">
      <c r="F13626"/>
    </row>
    <row r="13627" spans="6:6" x14ac:dyDescent="0.35">
      <c r="F13627"/>
    </row>
    <row r="13628" spans="6:6" x14ac:dyDescent="0.35">
      <c r="F13628"/>
    </row>
    <row r="13629" spans="6:6" x14ac:dyDescent="0.35">
      <c r="F13629"/>
    </row>
    <row r="13630" spans="6:6" x14ac:dyDescent="0.35">
      <c r="F13630"/>
    </row>
    <row r="13631" spans="6:6" x14ac:dyDescent="0.35">
      <c r="F13631"/>
    </row>
    <row r="13632" spans="6:6" x14ac:dyDescent="0.35">
      <c r="F13632"/>
    </row>
    <row r="13633" spans="6:6" x14ac:dyDescent="0.35">
      <c r="F13633"/>
    </row>
    <row r="13634" spans="6:6" x14ac:dyDescent="0.35">
      <c r="F13634"/>
    </row>
    <row r="13635" spans="6:6" x14ac:dyDescent="0.35">
      <c r="F13635"/>
    </row>
    <row r="13636" spans="6:6" x14ac:dyDescent="0.35">
      <c r="F13636"/>
    </row>
    <row r="13637" spans="6:6" x14ac:dyDescent="0.35">
      <c r="F13637"/>
    </row>
    <row r="13638" spans="6:6" x14ac:dyDescent="0.35">
      <c r="F13638"/>
    </row>
    <row r="13639" spans="6:6" x14ac:dyDescent="0.35">
      <c r="F13639"/>
    </row>
    <row r="13640" spans="6:6" x14ac:dyDescent="0.35">
      <c r="F13640"/>
    </row>
    <row r="13641" spans="6:6" x14ac:dyDescent="0.35">
      <c r="F13641"/>
    </row>
    <row r="13642" spans="6:6" x14ac:dyDescent="0.35">
      <c r="F13642"/>
    </row>
    <row r="13643" spans="6:6" x14ac:dyDescent="0.35">
      <c r="F13643"/>
    </row>
    <row r="13644" spans="6:6" x14ac:dyDescent="0.35">
      <c r="F13644"/>
    </row>
    <row r="13645" spans="6:6" x14ac:dyDescent="0.35">
      <c r="F13645"/>
    </row>
    <row r="13646" spans="6:6" x14ac:dyDescent="0.35">
      <c r="F13646"/>
    </row>
    <row r="13647" spans="6:6" x14ac:dyDescent="0.35">
      <c r="F13647"/>
    </row>
    <row r="13648" spans="6:6" x14ac:dyDescent="0.35">
      <c r="F13648"/>
    </row>
    <row r="13649" spans="6:6" x14ac:dyDescent="0.35">
      <c r="F13649"/>
    </row>
    <row r="13650" spans="6:6" x14ac:dyDescent="0.35">
      <c r="F13650"/>
    </row>
    <row r="13651" spans="6:6" x14ac:dyDescent="0.35">
      <c r="F13651"/>
    </row>
    <row r="13652" spans="6:6" x14ac:dyDescent="0.35">
      <c r="F13652"/>
    </row>
    <row r="13653" spans="6:6" x14ac:dyDescent="0.35">
      <c r="F13653"/>
    </row>
    <row r="13654" spans="6:6" x14ac:dyDescent="0.35">
      <c r="F13654"/>
    </row>
    <row r="13655" spans="6:6" x14ac:dyDescent="0.35">
      <c r="F13655"/>
    </row>
    <row r="13656" spans="6:6" x14ac:dyDescent="0.35">
      <c r="F13656"/>
    </row>
    <row r="13657" spans="6:6" x14ac:dyDescent="0.35">
      <c r="F13657"/>
    </row>
    <row r="13658" spans="6:6" x14ac:dyDescent="0.35">
      <c r="F13658"/>
    </row>
    <row r="13659" spans="6:6" x14ac:dyDescent="0.35">
      <c r="F13659"/>
    </row>
    <row r="13660" spans="6:6" x14ac:dyDescent="0.35">
      <c r="F13660"/>
    </row>
    <row r="13661" spans="6:6" x14ac:dyDescent="0.35">
      <c r="F13661"/>
    </row>
    <row r="13662" spans="6:6" x14ac:dyDescent="0.35">
      <c r="F13662"/>
    </row>
    <row r="13663" spans="6:6" x14ac:dyDescent="0.35">
      <c r="F13663"/>
    </row>
    <row r="13664" spans="6:6" x14ac:dyDescent="0.35">
      <c r="F13664"/>
    </row>
    <row r="13665" spans="6:6" x14ac:dyDescent="0.35">
      <c r="F13665"/>
    </row>
    <row r="13666" spans="6:6" x14ac:dyDescent="0.35">
      <c r="F13666"/>
    </row>
    <row r="13667" spans="6:6" x14ac:dyDescent="0.35">
      <c r="F13667"/>
    </row>
    <row r="13668" spans="6:6" x14ac:dyDescent="0.35">
      <c r="F13668"/>
    </row>
    <row r="13669" spans="6:6" x14ac:dyDescent="0.35">
      <c r="F13669"/>
    </row>
    <row r="13670" spans="6:6" x14ac:dyDescent="0.35">
      <c r="F13670"/>
    </row>
    <row r="13671" spans="6:6" x14ac:dyDescent="0.35">
      <c r="F13671"/>
    </row>
    <row r="13672" spans="6:6" x14ac:dyDescent="0.35">
      <c r="F13672"/>
    </row>
    <row r="13673" spans="6:6" x14ac:dyDescent="0.35">
      <c r="F13673"/>
    </row>
    <row r="13674" spans="6:6" x14ac:dyDescent="0.35">
      <c r="F13674"/>
    </row>
    <row r="13675" spans="6:6" x14ac:dyDescent="0.35">
      <c r="F13675"/>
    </row>
    <row r="13676" spans="6:6" x14ac:dyDescent="0.35">
      <c r="F13676"/>
    </row>
    <row r="13677" spans="6:6" x14ac:dyDescent="0.35">
      <c r="F13677"/>
    </row>
    <row r="13678" spans="6:6" x14ac:dyDescent="0.35">
      <c r="F13678"/>
    </row>
    <row r="13679" spans="6:6" x14ac:dyDescent="0.35">
      <c r="F13679"/>
    </row>
    <row r="13680" spans="6:6" x14ac:dyDescent="0.35">
      <c r="F13680"/>
    </row>
    <row r="13681" spans="6:6" x14ac:dyDescent="0.35">
      <c r="F13681"/>
    </row>
    <row r="13682" spans="6:6" x14ac:dyDescent="0.35">
      <c r="F13682"/>
    </row>
    <row r="13683" spans="6:6" x14ac:dyDescent="0.35">
      <c r="F13683"/>
    </row>
    <row r="13684" spans="6:6" x14ac:dyDescent="0.35">
      <c r="F13684"/>
    </row>
    <row r="13685" spans="6:6" x14ac:dyDescent="0.35">
      <c r="F13685"/>
    </row>
    <row r="13686" spans="6:6" x14ac:dyDescent="0.35">
      <c r="F13686"/>
    </row>
    <row r="13687" spans="6:6" x14ac:dyDescent="0.35">
      <c r="F13687"/>
    </row>
    <row r="13688" spans="6:6" x14ac:dyDescent="0.35">
      <c r="F13688"/>
    </row>
    <row r="13689" spans="6:6" x14ac:dyDescent="0.35">
      <c r="F13689"/>
    </row>
    <row r="13690" spans="6:6" x14ac:dyDescent="0.35">
      <c r="F13690"/>
    </row>
    <row r="13691" spans="6:6" x14ac:dyDescent="0.35">
      <c r="F13691"/>
    </row>
    <row r="13692" spans="6:6" x14ac:dyDescent="0.35">
      <c r="F13692"/>
    </row>
    <row r="13693" spans="6:6" x14ac:dyDescent="0.35">
      <c r="F13693"/>
    </row>
    <row r="13694" spans="6:6" x14ac:dyDescent="0.35">
      <c r="F13694"/>
    </row>
    <row r="13695" spans="6:6" x14ac:dyDescent="0.35">
      <c r="F13695"/>
    </row>
    <row r="13696" spans="6:6" x14ac:dyDescent="0.35">
      <c r="F13696"/>
    </row>
    <row r="13697" spans="6:6" x14ac:dyDescent="0.35">
      <c r="F13697"/>
    </row>
    <row r="13698" spans="6:6" x14ac:dyDescent="0.35">
      <c r="F13698"/>
    </row>
    <row r="13699" spans="6:6" x14ac:dyDescent="0.35">
      <c r="F13699"/>
    </row>
    <row r="13700" spans="6:6" x14ac:dyDescent="0.35">
      <c r="F13700"/>
    </row>
    <row r="13701" spans="6:6" x14ac:dyDescent="0.35">
      <c r="F13701"/>
    </row>
    <row r="13702" spans="6:6" x14ac:dyDescent="0.35">
      <c r="F13702"/>
    </row>
    <row r="13703" spans="6:6" x14ac:dyDescent="0.35">
      <c r="F13703"/>
    </row>
    <row r="13704" spans="6:6" x14ac:dyDescent="0.35">
      <c r="F13704"/>
    </row>
    <row r="13705" spans="6:6" x14ac:dyDescent="0.35">
      <c r="F13705"/>
    </row>
    <row r="13706" spans="6:6" x14ac:dyDescent="0.35">
      <c r="F13706"/>
    </row>
    <row r="13707" spans="6:6" x14ac:dyDescent="0.35">
      <c r="F13707"/>
    </row>
    <row r="13708" spans="6:6" x14ac:dyDescent="0.35">
      <c r="F13708"/>
    </row>
    <row r="13709" spans="6:6" x14ac:dyDescent="0.35">
      <c r="F13709"/>
    </row>
    <row r="13710" spans="6:6" x14ac:dyDescent="0.35">
      <c r="F13710"/>
    </row>
    <row r="13711" spans="6:6" x14ac:dyDescent="0.35">
      <c r="F13711"/>
    </row>
    <row r="13712" spans="6:6" x14ac:dyDescent="0.35">
      <c r="F13712"/>
    </row>
    <row r="13713" spans="6:6" x14ac:dyDescent="0.35">
      <c r="F13713"/>
    </row>
    <row r="13714" spans="6:6" x14ac:dyDescent="0.35">
      <c r="F13714"/>
    </row>
    <row r="13715" spans="6:6" x14ac:dyDescent="0.35">
      <c r="F13715"/>
    </row>
    <row r="13716" spans="6:6" x14ac:dyDescent="0.35">
      <c r="F13716"/>
    </row>
    <row r="13717" spans="6:6" x14ac:dyDescent="0.35">
      <c r="F13717"/>
    </row>
    <row r="13718" spans="6:6" x14ac:dyDescent="0.35">
      <c r="F13718"/>
    </row>
    <row r="13719" spans="6:6" x14ac:dyDescent="0.35">
      <c r="F13719"/>
    </row>
    <row r="13720" spans="6:6" x14ac:dyDescent="0.35">
      <c r="F13720"/>
    </row>
    <row r="13721" spans="6:6" x14ac:dyDescent="0.35">
      <c r="F13721"/>
    </row>
    <row r="13722" spans="6:6" x14ac:dyDescent="0.35">
      <c r="F13722"/>
    </row>
    <row r="13723" spans="6:6" x14ac:dyDescent="0.35">
      <c r="F13723"/>
    </row>
    <row r="13724" spans="6:6" x14ac:dyDescent="0.35">
      <c r="F13724"/>
    </row>
    <row r="13725" spans="6:6" x14ac:dyDescent="0.35">
      <c r="F13725"/>
    </row>
    <row r="13726" spans="6:6" x14ac:dyDescent="0.35">
      <c r="F13726"/>
    </row>
    <row r="13727" spans="6:6" x14ac:dyDescent="0.35">
      <c r="F13727"/>
    </row>
    <row r="13728" spans="6:6" x14ac:dyDescent="0.35">
      <c r="F13728"/>
    </row>
    <row r="13729" spans="6:6" x14ac:dyDescent="0.35">
      <c r="F13729"/>
    </row>
    <row r="13730" spans="6:6" x14ac:dyDescent="0.35">
      <c r="F13730"/>
    </row>
    <row r="13731" spans="6:6" x14ac:dyDescent="0.35">
      <c r="F13731"/>
    </row>
    <row r="13732" spans="6:6" x14ac:dyDescent="0.35">
      <c r="F13732"/>
    </row>
    <row r="13733" spans="6:6" x14ac:dyDescent="0.35">
      <c r="F13733"/>
    </row>
    <row r="13734" spans="6:6" x14ac:dyDescent="0.35">
      <c r="F13734"/>
    </row>
    <row r="13735" spans="6:6" x14ac:dyDescent="0.35">
      <c r="F13735"/>
    </row>
    <row r="13736" spans="6:6" x14ac:dyDescent="0.35">
      <c r="F13736"/>
    </row>
    <row r="13737" spans="6:6" x14ac:dyDescent="0.35">
      <c r="F13737"/>
    </row>
    <row r="13738" spans="6:6" x14ac:dyDescent="0.35">
      <c r="F13738"/>
    </row>
    <row r="13739" spans="6:6" x14ac:dyDescent="0.35">
      <c r="F13739"/>
    </row>
    <row r="13740" spans="6:6" x14ac:dyDescent="0.35">
      <c r="F13740"/>
    </row>
    <row r="13741" spans="6:6" x14ac:dyDescent="0.35">
      <c r="F13741"/>
    </row>
    <row r="13742" spans="6:6" x14ac:dyDescent="0.35">
      <c r="F13742"/>
    </row>
    <row r="13743" spans="6:6" x14ac:dyDescent="0.35">
      <c r="F13743"/>
    </row>
    <row r="13744" spans="6:6" x14ac:dyDescent="0.35">
      <c r="F13744"/>
    </row>
    <row r="13745" spans="6:6" x14ac:dyDescent="0.35">
      <c r="F13745"/>
    </row>
    <row r="13746" spans="6:6" x14ac:dyDescent="0.35">
      <c r="F13746"/>
    </row>
    <row r="13747" spans="6:6" x14ac:dyDescent="0.35">
      <c r="F13747"/>
    </row>
    <row r="13748" spans="6:6" x14ac:dyDescent="0.35">
      <c r="F13748"/>
    </row>
    <row r="13749" spans="6:6" x14ac:dyDescent="0.35">
      <c r="F13749"/>
    </row>
    <row r="13750" spans="6:6" x14ac:dyDescent="0.35">
      <c r="F13750"/>
    </row>
    <row r="13751" spans="6:6" x14ac:dyDescent="0.35">
      <c r="F13751"/>
    </row>
    <row r="13752" spans="6:6" x14ac:dyDescent="0.35">
      <c r="F13752"/>
    </row>
    <row r="13753" spans="6:6" x14ac:dyDescent="0.35">
      <c r="F13753"/>
    </row>
    <row r="13754" spans="6:6" x14ac:dyDescent="0.35">
      <c r="F13754"/>
    </row>
    <row r="13755" spans="6:6" x14ac:dyDescent="0.35">
      <c r="F13755"/>
    </row>
    <row r="13756" spans="6:6" x14ac:dyDescent="0.35">
      <c r="F13756"/>
    </row>
    <row r="13757" spans="6:6" x14ac:dyDescent="0.35">
      <c r="F13757"/>
    </row>
    <row r="13758" spans="6:6" x14ac:dyDescent="0.35">
      <c r="F13758"/>
    </row>
    <row r="13759" spans="6:6" x14ac:dyDescent="0.35">
      <c r="F13759"/>
    </row>
    <row r="13760" spans="6:6" x14ac:dyDescent="0.35">
      <c r="F13760"/>
    </row>
    <row r="13761" spans="6:6" x14ac:dyDescent="0.35">
      <c r="F13761"/>
    </row>
    <row r="13762" spans="6:6" x14ac:dyDescent="0.35">
      <c r="F13762"/>
    </row>
    <row r="13763" spans="6:6" x14ac:dyDescent="0.35">
      <c r="F13763"/>
    </row>
    <row r="13764" spans="6:6" x14ac:dyDescent="0.35">
      <c r="F13764"/>
    </row>
    <row r="13765" spans="6:6" x14ac:dyDescent="0.35">
      <c r="F13765"/>
    </row>
    <row r="13766" spans="6:6" x14ac:dyDescent="0.35">
      <c r="F13766"/>
    </row>
    <row r="13767" spans="6:6" x14ac:dyDescent="0.35">
      <c r="F13767"/>
    </row>
    <row r="13768" spans="6:6" x14ac:dyDescent="0.35">
      <c r="F13768"/>
    </row>
    <row r="13769" spans="6:6" x14ac:dyDescent="0.35">
      <c r="F13769"/>
    </row>
    <row r="13770" spans="6:6" x14ac:dyDescent="0.35">
      <c r="F13770"/>
    </row>
    <row r="13771" spans="6:6" x14ac:dyDescent="0.35">
      <c r="F13771"/>
    </row>
    <row r="13772" spans="6:6" x14ac:dyDescent="0.35">
      <c r="F13772"/>
    </row>
    <row r="13773" spans="6:6" x14ac:dyDescent="0.35">
      <c r="F13773"/>
    </row>
    <row r="13774" spans="6:6" x14ac:dyDescent="0.35">
      <c r="F13774"/>
    </row>
    <row r="13775" spans="6:6" x14ac:dyDescent="0.35">
      <c r="F13775"/>
    </row>
    <row r="13776" spans="6:6" x14ac:dyDescent="0.35">
      <c r="F13776"/>
    </row>
    <row r="13777" spans="6:6" x14ac:dyDescent="0.35">
      <c r="F13777"/>
    </row>
    <row r="13778" spans="6:6" x14ac:dyDescent="0.35">
      <c r="F13778"/>
    </row>
    <row r="13779" spans="6:6" x14ac:dyDescent="0.35">
      <c r="F13779"/>
    </row>
    <row r="13780" spans="6:6" x14ac:dyDescent="0.35">
      <c r="F13780"/>
    </row>
    <row r="13781" spans="6:6" x14ac:dyDescent="0.35">
      <c r="F13781"/>
    </row>
    <row r="13782" spans="6:6" x14ac:dyDescent="0.35">
      <c r="F13782"/>
    </row>
    <row r="13783" spans="6:6" x14ac:dyDescent="0.35">
      <c r="F13783"/>
    </row>
    <row r="13784" spans="6:6" x14ac:dyDescent="0.35">
      <c r="F13784"/>
    </row>
    <row r="13785" spans="6:6" x14ac:dyDescent="0.35">
      <c r="F13785"/>
    </row>
    <row r="13786" spans="6:6" x14ac:dyDescent="0.35">
      <c r="F13786"/>
    </row>
    <row r="13787" spans="6:6" x14ac:dyDescent="0.35">
      <c r="F13787"/>
    </row>
    <row r="13788" spans="6:6" x14ac:dyDescent="0.35">
      <c r="F13788"/>
    </row>
    <row r="13789" spans="6:6" x14ac:dyDescent="0.35">
      <c r="F13789"/>
    </row>
    <row r="13790" spans="6:6" x14ac:dyDescent="0.35">
      <c r="F13790"/>
    </row>
    <row r="13791" spans="6:6" x14ac:dyDescent="0.35">
      <c r="F13791"/>
    </row>
    <row r="13792" spans="6:6" x14ac:dyDescent="0.35">
      <c r="F13792"/>
    </row>
    <row r="13793" spans="6:6" x14ac:dyDescent="0.35">
      <c r="F13793"/>
    </row>
    <row r="13794" spans="6:6" x14ac:dyDescent="0.35">
      <c r="F13794"/>
    </row>
    <row r="13795" spans="6:6" x14ac:dyDescent="0.35">
      <c r="F13795"/>
    </row>
    <row r="13796" spans="6:6" x14ac:dyDescent="0.35">
      <c r="F13796"/>
    </row>
    <row r="13797" spans="6:6" x14ac:dyDescent="0.35">
      <c r="F13797"/>
    </row>
    <row r="13798" spans="6:6" x14ac:dyDescent="0.35">
      <c r="F13798"/>
    </row>
    <row r="13799" spans="6:6" x14ac:dyDescent="0.35">
      <c r="F13799"/>
    </row>
    <row r="13800" spans="6:6" x14ac:dyDescent="0.35">
      <c r="F13800"/>
    </row>
    <row r="13801" spans="6:6" x14ac:dyDescent="0.35">
      <c r="F13801"/>
    </row>
    <row r="13802" spans="6:6" x14ac:dyDescent="0.35">
      <c r="F13802"/>
    </row>
    <row r="13803" spans="6:6" x14ac:dyDescent="0.35">
      <c r="F13803"/>
    </row>
    <row r="13804" spans="6:6" x14ac:dyDescent="0.35">
      <c r="F13804"/>
    </row>
    <row r="13805" spans="6:6" x14ac:dyDescent="0.35">
      <c r="F13805"/>
    </row>
    <row r="13806" spans="6:6" x14ac:dyDescent="0.35">
      <c r="F13806"/>
    </row>
    <row r="13807" spans="6:6" x14ac:dyDescent="0.35">
      <c r="F13807"/>
    </row>
    <row r="13808" spans="6:6" x14ac:dyDescent="0.35">
      <c r="F13808"/>
    </row>
    <row r="13809" spans="6:6" x14ac:dyDescent="0.35">
      <c r="F13809"/>
    </row>
    <row r="13810" spans="6:6" x14ac:dyDescent="0.35">
      <c r="F13810"/>
    </row>
    <row r="13811" spans="6:6" x14ac:dyDescent="0.35">
      <c r="F13811"/>
    </row>
    <row r="13812" spans="6:6" x14ac:dyDescent="0.35">
      <c r="F13812"/>
    </row>
    <row r="13813" spans="6:6" x14ac:dyDescent="0.35">
      <c r="F13813"/>
    </row>
    <row r="13814" spans="6:6" x14ac:dyDescent="0.35">
      <c r="F13814"/>
    </row>
    <row r="13815" spans="6:6" x14ac:dyDescent="0.35">
      <c r="F13815"/>
    </row>
    <row r="13816" spans="6:6" x14ac:dyDescent="0.35">
      <c r="F13816"/>
    </row>
    <row r="13817" spans="6:6" x14ac:dyDescent="0.35">
      <c r="F13817"/>
    </row>
    <row r="13818" spans="6:6" x14ac:dyDescent="0.35">
      <c r="F13818"/>
    </row>
    <row r="13819" spans="6:6" x14ac:dyDescent="0.35">
      <c r="F13819"/>
    </row>
    <row r="13820" spans="6:6" x14ac:dyDescent="0.35">
      <c r="F13820"/>
    </row>
    <row r="13821" spans="6:6" x14ac:dyDescent="0.35">
      <c r="F13821"/>
    </row>
    <row r="13822" spans="6:6" x14ac:dyDescent="0.35">
      <c r="F13822"/>
    </row>
    <row r="13823" spans="6:6" x14ac:dyDescent="0.35">
      <c r="F13823"/>
    </row>
    <row r="13824" spans="6:6" x14ac:dyDescent="0.35">
      <c r="F13824"/>
    </row>
    <row r="13825" spans="6:6" x14ac:dyDescent="0.35">
      <c r="F13825"/>
    </row>
    <row r="13826" spans="6:6" x14ac:dyDescent="0.35">
      <c r="F13826"/>
    </row>
    <row r="13827" spans="6:6" x14ac:dyDescent="0.35">
      <c r="F13827"/>
    </row>
    <row r="13828" spans="6:6" x14ac:dyDescent="0.35">
      <c r="F13828"/>
    </row>
    <row r="13829" spans="6:6" x14ac:dyDescent="0.35">
      <c r="F13829"/>
    </row>
    <row r="13830" spans="6:6" x14ac:dyDescent="0.35">
      <c r="F13830"/>
    </row>
    <row r="13831" spans="6:6" x14ac:dyDescent="0.35">
      <c r="F13831"/>
    </row>
    <row r="13832" spans="6:6" x14ac:dyDescent="0.35">
      <c r="F13832"/>
    </row>
    <row r="13833" spans="6:6" x14ac:dyDescent="0.35">
      <c r="F13833"/>
    </row>
    <row r="13834" spans="6:6" x14ac:dyDescent="0.35">
      <c r="F13834"/>
    </row>
    <row r="13835" spans="6:6" x14ac:dyDescent="0.35">
      <c r="F13835"/>
    </row>
    <row r="13836" spans="6:6" x14ac:dyDescent="0.35">
      <c r="F13836"/>
    </row>
    <row r="13837" spans="6:6" x14ac:dyDescent="0.35">
      <c r="F13837"/>
    </row>
    <row r="13838" spans="6:6" x14ac:dyDescent="0.35">
      <c r="F13838"/>
    </row>
    <row r="13839" spans="6:6" x14ac:dyDescent="0.35">
      <c r="F13839"/>
    </row>
    <row r="13840" spans="6:6" x14ac:dyDescent="0.35">
      <c r="F13840"/>
    </row>
    <row r="13841" spans="6:6" x14ac:dyDescent="0.35">
      <c r="F13841"/>
    </row>
    <row r="13842" spans="6:6" x14ac:dyDescent="0.35">
      <c r="F13842"/>
    </row>
    <row r="13843" spans="6:6" x14ac:dyDescent="0.35">
      <c r="F13843"/>
    </row>
    <row r="13844" spans="6:6" x14ac:dyDescent="0.35">
      <c r="F13844"/>
    </row>
    <row r="13845" spans="6:6" x14ac:dyDescent="0.35">
      <c r="F13845"/>
    </row>
    <row r="13846" spans="6:6" x14ac:dyDescent="0.35">
      <c r="F13846"/>
    </row>
    <row r="13847" spans="6:6" x14ac:dyDescent="0.35">
      <c r="F13847"/>
    </row>
    <row r="13848" spans="6:6" x14ac:dyDescent="0.35">
      <c r="F13848"/>
    </row>
    <row r="13849" spans="6:6" x14ac:dyDescent="0.35">
      <c r="F13849"/>
    </row>
    <row r="13850" spans="6:6" x14ac:dyDescent="0.35">
      <c r="F13850"/>
    </row>
    <row r="13851" spans="6:6" x14ac:dyDescent="0.35">
      <c r="F13851"/>
    </row>
    <row r="13852" spans="6:6" x14ac:dyDescent="0.35">
      <c r="F13852"/>
    </row>
    <row r="13853" spans="6:6" x14ac:dyDescent="0.35">
      <c r="F13853"/>
    </row>
    <row r="13854" spans="6:6" x14ac:dyDescent="0.35">
      <c r="F13854"/>
    </row>
    <row r="13855" spans="6:6" x14ac:dyDescent="0.35">
      <c r="F13855"/>
    </row>
    <row r="13856" spans="6:6" x14ac:dyDescent="0.35">
      <c r="F13856"/>
    </row>
    <row r="13857" spans="6:6" x14ac:dyDescent="0.35">
      <c r="F13857"/>
    </row>
    <row r="13858" spans="6:6" x14ac:dyDescent="0.35">
      <c r="F13858"/>
    </row>
    <row r="13859" spans="6:6" x14ac:dyDescent="0.35">
      <c r="F13859"/>
    </row>
    <row r="13860" spans="6:6" x14ac:dyDescent="0.35">
      <c r="F13860"/>
    </row>
    <row r="13861" spans="6:6" x14ac:dyDescent="0.35">
      <c r="F13861"/>
    </row>
    <row r="13862" spans="6:6" x14ac:dyDescent="0.35">
      <c r="F13862"/>
    </row>
    <row r="13863" spans="6:6" x14ac:dyDescent="0.35">
      <c r="F13863"/>
    </row>
    <row r="13864" spans="6:6" x14ac:dyDescent="0.35">
      <c r="F13864"/>
    </row>
    <row r="13865" spans="6:6" x14ac:dyDescent="0.35">
      <c r="F13865"/>
    </row>
    <row r="13866" spans="6:6" x14ac:dyDescent="0.35">
      <c r="F13866"/>
    </row>
    <row r="13867" spans="6:6" x14ac:dyDescent="0.35">
      <c r="F13867"/>
    </row>
    <row r="13868" spans="6:6" x14ac:dyDescent="0.35">
      <c r="F13868"/>
    </row>
    <row r="13869" spans="6:6" x14ac:dyDescent="0.35">
      <c r="F13869"/>
    </row>
    <row r="13870" spans="6:6" x14ac:dyDescent="0.35">
      <c r="F13870"/>
    </row>
    <row r="13871" spans="6:6" x14ac:dyDescent="0.35">
      <c r="F13871"/>
    </row>
    <row r="13872" spans="6:6" x14ac:dyDescent="0.35">
      <c r="F13872"/>
    </row>
    <row r="13873" spans="6:6" x14ac:dyDescent="0.35">
      <c r="F13873"/>
    </row>
    <row r="13874" spans="6:6" x14ac:dyDescent="0.35">
      <c r="F13874"/>
    </row>
    <row r="13875" spans="6:6" x14ac:dyDescent="0.35">
      <c r="F13875"/>
    </row>
    <row r="13876" spans="6:6" x14ac:dyDescent="0.35">
      <c r="F13876"/>
    </row>
    <row r="13877" spans="6:6" x14ac:dyDescent="0.35">
      <c r="F13877"/>
    </row>
    <row r="13878" spans="6:6" x14ac:dyDescent="0.35">
      <c r="F13878"/>
    </row>
    <row r="13879" spans="6:6" x14ac:dyDescent="0.35">
      <c r="F13879"/>
    </row>
    <row r="13880" spans="6:6" x14ac:dyDescent="0.35">
      <c r="F13880"/>
    </row>
    <row r="13881" spans="6:6" x14ac:dyDescent="0.35">
      <c r="F13881"/>
    </row>
    <row r="13882" spans="6:6" x14ac:dyDescent="0.35">
      <c r="F13882"/>
    </row>
    <row r="13883" spans="6:6" x14ac:dyDescent="0.35">
      <c r="F13883"/>
    </row>
    <row r="13884" spans="6:6" x14ac:dyDescent="0.35">
      <c r="F13884"/>
    </row>
    <row r="13885" spans="6:6" x14ac:dyDescent="0.35">
      <c r="F13885"/>
    </row>
    <row r="13886" spans="6:6" x14ac:dyDescent="0.35">
      <c r="F13886"/>
    </row>
    <row r="13887" spans="6:6" x14ac:dyDescent="0.35">
      <c r="F13887"/>
    </row>
    <row r="13888" spans="6:6" x14ac:dyDescent="0.35">
      <c r="F13888"/>
    </row>
    <row r="13889" spans="6:6" x14ac:dyDescent="0.35">
      <c r="F13889"/>
    </row>
    <row r="13890" spans="6:6" x14ac:dyDescent="0.35">
      <c r="F13890"/>
    </row>
    <row r="13891" spans="6:6" x14ac:dyDescent="0.35">
      <c r="F13891"/>
    </row>
    <row r="13892" spans="6:6" x14ac:dyDescent="0.35">
      <c r="F13892"/>
    </row>
    <row r="13893" spans="6:6" x14ac:dyDescent="0.35">
      <c r="F13893"/>
    </row>
    <row r="13894" spans="6:6" x14ac:dyDescent="0.35">
      <c r="F13894"/>
    </row>
    <row r="13895" spans="6:6" x14ac:dyDescent="0.35">
      <c r="F13895"/>
    </row>
    <row r="13896" spans="6:6" x14ac:dyDescent="0.35">
      <c r="F13896"/>
    </row>
    <row r="13897" spans="6:6" x14ac:dyDescent="0.35">
      <c r="F13897"/>
    </row>
    <row r="13898" spans="6:6" x14ac:dyDescent="0.35">
      <c r="F13898"/>
    </row>
    <row r="13899" spans="6:6" x14ac:dyDescent="0.35">
      <c r="F13899"/>
    </row>
    <row r="13900" spans="6:6" x14ac:dyDescent="0.35">
      <c r="F13900"/>
    </row>
    <row r="13901" spans="6:6" x14ac:dyDescent="0.35">
      <c r="F13901"/>
    </row>
    <row r="13902" spans="6:6" x14ac:dyDescent="0.35">
      <c r="F13902"/>
    </row>
    <row r="13903" spans="6:6" x14ac:dyDescent="0.35">
      <c r="F13903"/>
    </row>
    <row r="13904" spans="6:6" x14ac:dyDescent="0.35">
      <c r="F13904"/>
    </row>
    <row r="13905" spans="6:6" x14ac:dyDescent="0.35">
      <c r="F13905"/>
    </row>
    <row r="13906" spans="6:6" x14ac:dyDescent="0.35">
      <c r="F13906"/>
    </row>
    <row r="13907" spans="6:6" x14ac:dyDescent="0.35">
      <c r="F13907"/>
    </row>
    <row r="13908" spans="6:6" x14ac:dyDescent="0.35">
      <c r="F13908"/>
    </row>
    <row r="13909" spans="6:6" x14ac:dyDescent="0.35">
      <c r="F13909"/>
    </row>
    <row r="13910" spans="6:6" x14ac:dyDescent="0.35">
      <c r="F13910"/>
    </row>
    <row r="13911" spans="6:6" x14ac:dyDescent="0.35">
      <c r="F13911"/>
    </row>
    <row r="13912" spans="6:6" x14ac:dyDescent="0.35">
      <c r="F13912"/>
    </row>
    <row r="13913" spans="6:6" x14ac:dyDescent="0.35">
      <c r="F13913"/>
    </row>
    <row r="13914" spans="6:6" x14ac:dyDescent="0.35">
      <c r="F13914"/>
    </row>
    <row r="13915" spans="6:6" x14ac:dyDescent="0.35">
      <c r="F13915"/>
    </row>
    <row r="13916" spans="6:6" x14ac:dyDescent="0.35">
      <c r="F13916"/>
    </row>
    <row r="13917" spans="6:6" x14ac:dyDescent="0.35">
      <c r="F13917"/>
    </row>
    <row r="13918" spans="6:6" x14ac:dyDescent="0.35">
      <c r="F13918"/>
    </row>
    <row r="13919" spans="6:6" x14ac:dyDescent="0.35">
      <c r="F13919"/>
    </row>
    <row r="13920" spans="6:6" x14ac:dyDescent="0.35">
      <c r="F13920"/>
    </row>
    <row r="13921" spans="6:6" x14ac:dyDescent="0.35">
      <c r="F13921"/>
    </row>
    <row r="13922" spans="6:6" x14ac:dyDescent="0.35">
      <c r="F13922"/>
    </row>
    <row r="13923" spans="6:6" x14ac:dyDescent="0.35">
      <c r="F13923"/>
    </row>
    <row r="13924" spans="6:6" x14ac:dyDescent="0.35">
      <c r="F13924"/>
    </row>
    <row r="13925" spans="6:6" x14ac:dyDescent="0.35">
      <c r="F13925"/>
    </row>
    <row r="13926" spans="6:6" x14ac:dyDescent="0.35">
      <c r="F13926"/>
    </row>
    <row r="13927" spans="6:6" x14ac:dyDescent="0.35">
      <c r="F13927"/>
    </row>
    <row r="13928" spans="6:6" x14ac:dyDescent="0.35">
      <c r="F13928"/>
    </row>
    <row r="13929" spans="6:6" x14ac:dyDescent="0.35">
      <c r="F13929"/>
    </row>
    <row r="13930" spans="6:6" x14ac:dyDescent="0.35">
      <c r="F13930"/>
    </row>
    <row r="13931" spans="6:6" x14ac:dyDescent="0.35">
      <c r="F13931"/>
    </row>
    <row r="13932" spans="6:6" x14ac:dyDescent="0.35">
      <c r="F13932"/>
    </row>
    <row r="13933" spans="6:6" x14ac:dyDescent="0.35">
      <c r="F13933"/>
    </row>
    <row r="13934" spans="6:6" x14ac:dyDescent="0.35">
      <c r="F13934"/>
    </row>
    <row r="13935" spans="6:6" x14ac:dyDescent="0.35">
      <c r="F13935"/>
    </row>
    <row r="13936" spans="6:6" x14ac:dyDescent="0.35">
      <c r="F13936"/>
    </row>
    <row r="13937" spans="6:6" x14ac:dyDescent="0.35">
      <c r="F13937"/>
    </row>
    <row r="13938" spans="6:6" x14ac:dyDescent="0.35">
      <c r="F13938"/>
    </row>
    <row r="13939" spans="6:6" x14ac:dyDescent="0.35">
      <c r="F13939"/>
    </row>
    <row r="13940" spans="6:6" x14ac:dyDescent="0.35">
      <c r="F13940"/>
    </row>
    <row r="13941" spans="6:6" x14ac:dyDescent="0.35">
      <c r="F13941"/>
    </row>
    <row r="13942" spans="6:6" x14ac:dyDescent="0.35">
      <c r="F13942"/>
    </row>
    <row r="13943" spans="6:6" x14ac:dyDescent="0.35">
      <c r="F13943"/>
    </row>
    <row r="13944" spans="6:6" x14ac:dyDescent="0.35">
      <c r="F13944"/>
    </row>
    <row r="13945" spans="6:6" x14ac:dyDescent="0.35">
      <c r="F13945"/>
    </row>
    <row r="13946" spans="6:6" x14ac:dyDescent="0.35">
      <c r="F13946"/>
    </row>
    <row r="13947" spans="6:6" x14ac:dyDescent="0.35">
      <c r="F13947"/>
    </row>
    <row r="13948" spans="6:6" x14ac:dyDescent="0.35">
      <c r="F13948"/>
    </row>
    <row r="13949" spans="6:6" x14ac:dyDescent="0.35">
      <c r="F13949"/>
    </row>
    <row r="13950" spans="6:6" x14ac:dyDescent="0.35">
      <c r="F13950"/>
    </row>
    <row r="13951" spans="6:6" x14ac:dyDescent="0.35">
      <c r="F13951"/>
    </row>
    <row r="13952" spans="6:6" x14ac:dyDescent="0.35">
      <c r="F13952"/>
    </row>
    <row r="13953" spans="6:6" x14ac:dyDescent="0.35">
      <c r="F13953"/>
    </row>
    <row r="13954" spans="6:6" x14ac:dyDescent="0.35">
      <c r="F13954"/>
    </row>
    <row r="13955" spans="6:6" x14ac:dyDescent="0.35">
      <c r="F13955"/>
    </row>
    <row r="13956" spans="6:6" x14ac:dyDescent="0.35">
      <c r="F13956"/>
    </row>
    <row r="13957" spans="6:6" x14ac:dyDescent="0.35">
      <c r="F13957"/>
    </row>
    <row r="13958" spans="6:6" x14ac:dyDescent="0.35">
      <c r="F13958"/>
    </row>
    <row r="13959" spans="6:6" x14ac:dyDescent="0.35">
      <c r="F13959"/>
    </row>
    <row r="13960" spans="6:6" x14ac:dyDescent="0.35">
      <c r="F13960"/>
    </row>
    <row r="13961" spans="6:6" x14ac:dyDescent="0.35">
      <c r="F13961"/>
    </row>
    <row r="13962" spans="6:6" x14ac:dyDescent="0.35">
      <c r="F13962"/>
    </row>
    <row r="13963" spans="6:6" x14ac:dyDescent="0.35">
      <c r="F13963"/>
    </row>
    <row r="13964" spans="6:6" x14ac:dyDescent="0.35">
      <c r="F13964"/>
    </row>
    <row r="13965" spans="6:6" x14ac:dyDescent="0.35">
      <c r="F13965"/>
    </row>
    <row r="13966" spans="6:6" x14ac:dyDescent="0.35">
      <c r="F13966"/>
    </row>
    <row r="13967" spans="6:6" x14ac:dyDescent="0.35">
      <c r="F13967"/>
    </row>
    <row r="13968" spans="6:6" x14ac:dyDescent="0.35">
      <c r="F13968"/>
    </row>
    <row r="13969" spans="6:6" x14ac:dyDescent="0.35">
      <c r="F13969"/>
    </row>
    <row r="13970" spans="6:6" x14ac:dyDescent="0.35">
      <c r="F13970"/>
    </row>
    <row r="13971" spans="6:6" x14ac:dyDescent="0.35">
      <c r="F13971"/>
    </row>
    <row r="13972" spans="6:6" x14ac:dyDescent="0.35">
      <c r="F13972"/>
    </row>
    <row r="13973" spans="6:6" x14ac:dyDescent="0.35">
      <c r="F13973"/>
    </row>
    <row r="13974" spans="6:6" x14ac:dyDescent="0.35">
      <c r="F13974"/>
    </row>
    <row r="13975" spans="6:6" x14ac:dyDescent="0.35">
      <c r="F13975"/>
    </row>
    <row r="13976" spans="6:6" x14ac:dyDescent="0.35">
      <c r="F13976"/>
    </row>
    <row r="13977" spans="6:6" x14ac:dyDescent="0.35">
      <c r="F13977"/>
    </row>
    <row r="13978" spans="6:6" x14ac:dyDescent="0.35">
      <c r="F13978"/>
    </row>
    <row r="13979" spans="6:6" x14ac:dyDescent="0.35">
      <c r="F13979"/>
    </row>
    <row r="13980" spans="6:6" x14ac:dyDescent="0.35">
      <c r="F13980"/>
    </row>
    <row r="13981" spans="6:6" x14ac:dyDescent="0.35">
      <c r="F13981"/>
    </row>
    <row r="13982" spans="6:6" x14ac:dyDescent="0.35">
      <c r="F13982"/>
    </row>
    <row r="13983" spans="6:6" x14ac:dyDescent="0.35">
      <c r="F13983"/>
    </row>
    <row r="13984" spans="6:6" x14ac:dyDescent="0.35">
      <c r="F13984"/>
    </row>
    <row r="13985" spans="6:6" x14ac:dyDescent="0.35">
      <c r="F13985"/>
    </row>
    <row r="13986" spans="6:6" x14ac:dyDescent="0.35">
      <c r="F13986"/>
    </row>
    <row r="13987" spans="6:6" x14ac:dyDescent="0.35">
      <c r="F13987"/>
    </row>
    <row r="13988" spans="6:6" x14ac:dyDescent="0.35">
      <c r="F13988"/>
    </row>
    <row r="13989" spans="6:6" x14ac:dyDescent="0.35">
      <c r="F13989"/>
    </row>
    <row r="13990" spans="6:6" x14ac:dyDescent="0.35">
      <c r="F13990"/>
    </row>
    <row r="13991" spans="6:6" x14ac:dyDescent="0.35">
      <c r="F13991"/>
    </row>
    <row r="13992" spans="6:6" x14ac:dyDescent="0.35">
      <c r="F13992"/>
    </row>
    <row r="13993" spans="6:6" x14ac:dyDescent="0.35">
      <c r="F13993"/>
    </row>
    <row r="13994" spans="6:6" x14ac:dyDescent="0.35">
      <c r="F13994"/>
    </row>
    <row r="13995" spans="6:6" x14ac:dyDescent="0.35">
      <c r="F13995"/>
    </row>
    <row r="13996" spans="6:6" x14ac:dyDescent="0.35">
      <c r="F13996"/>
    </row>
    <row r="13997" spans="6:6" x14ac:dyDescent="0.35">
      <c r="F13997"/>
    </row>
    <row r="13998" spans="6:6" x14ac:dyDescent="0.35">
      <c r="F13998"/>
    </row>
    <row r="13999" spans="6:6" x14ac:dyDescent="0.35">
      <c r="F13999"/>
    </row>
    <row r="14000" spans="6:6" x14ac:dyDescent="0.35">
      <c r="F14000"/>
    </row>
    <row r="14001" spans="6:6" x14ac:dyDescent="0.35">
      <c r="F14001"/>
    </row>
    <row r="14002" spans="6:6" x14ac:dyDescent="0.35">
      <c r="F14002"/>
    </row>
    <row r="14003" spans="6:6" x14ac:dyDescent="0.35">
      <c r="F14003"/>
    </row>
    <row r="14004" spans="6:6" x14ac:dyDescent="0.35">
      <c r="F14004"/>
    </row>
    <row r="14005" spans="6:6" x14ac:dyDescent="0.35">
      <c r="F14005"/>
    </row>
    <row r="14006" spans="6:6" x14ac:dyDescent="0.35">
      <c r="F14006"/>
    </row>
    <row r="14007" spans="6:6" x14ac:dyDescent="0.35">
      <c r="F14007"/>
    </row>
    <row r="14008" spans="6:6" x14ac:dyDescent="0.35">
      <c r="F14008"/>
    </row>
    <row r="14009" spans="6:6" x14ac:dyDescent="0.35">
      <c r="F14009"/>
    </row>
    <row r="14010" spans="6:6" x14ac:dyDescent="0.35">
      <c r="F14010"/>
    </row>
    <row r="14011" spans="6:6" x14ac:dyDescent="0.35">
      <c r="F14011"/>
    </row>
    <row r="14012" spans="6:6" x14ac:dyDescent="0.35">
      <c r="F14012"/>
    </row>
    <row r="14013" spans="6:6" x14ac:dyDescent="0.35">
      <c r="F14013"/>
    </row>
    <row r="14014" spans="6:6" x14ac:dyDescent="0.35">
      <c r="F14014"/>
    </row>
    <row r="14015" spans="6:6" x14ac:dyDescent="0.35">
      <c r="F14015"/>
    </row>
    <row r="14016" spans="6:6" x14ac:dyDescent="0.35">
      <c r="F14016"/>
    </row>
    <row r="14017" spans="6:6" x14ac:dyDescent="0.35">
      <c r="F14017"/>
    </row>
    <row r="14018" spans="6:6" x14ac:dyDescent="0.35">
      <c r="F14018"/>
    </row>
    <row r="14019" spans="6:6" x14ac:dyDescent="0.35">
      <c r="F14019"/>
    </row>
    <row r="14020" spans="6:6" x14ac:dyDescent="0.35">
      <c r="F14020"/>
    </row>
    <row r="14021" spans="6:6" x14ac:dyDescent="0.35">
      <c r="F14021"/>
    </row>
    <row r="14022" spans="6:6" x14ac:dyDescent="0.35">
      <c r="F14022"/>
    </row>
    <row r="14023" spans="6:6" x14ac:dyDescent="0.35">
      <c r="F14023"/>
    </row>
    <row r="14024" spans="6:6" x14ac:dyDescent="0.35">
      <c r="F14024"/>
    </row>
    <row r="14025" spans="6:6" x14ac:dyDescent="0.35">
      <c r="F14025"/>
    </row>
    <row r="14026" spans="6:6" x14ac:dyDescent="0.35">
      <c r="F14026"/>
    </row>
    <row r="14027" spans="6:6" x14ac:dyDescent="0.35">
      <c r="F14027"/>
    </row>
    <row r="14028" spans="6:6" x14ac:dyDescent="0.35">
      <c r="F14028"/>
    </row>
    <row r="14029" spans="6:6" x14ac:dyDescent="0.35">
      <c r="F14029"/>
    </row>
    <row r="14030" spans="6:6" x14ac:dyDescent="0.35">
      <c r="F14030"/>
    </row>
    <row r="14031" spans="6:6" x14ac:dyDescent="0.35">
      <c r="F14031"/>
    </row>
    <row r="14032" spans="6:6" x14ac:dyDescent="0.35">
      <c r="F14032"/>
    </row>
    <row r="14033" spans="6:6" x14ac:dyDescent="0.35">
      <c r="F14033"/>
    </row>
    <row r="14034" spans="6:6" x14ac:dyDescent="0.35">
      <c r="F14034"/>
    </row>
    <row r="14035" spans="6:6" x14ac:dyDescent="0.35">
      <c r="F14035"/>
    </row>
    <row r="14036" spans="6:6" x14ac:dyDescent="0.35">
      <c r="F14036"/>
    </row>
    <row r="14037" spans="6:6" x14ac:dyDescent="0.35">
      <c r="F14037"/>
    </row>
    <row r="14038" spans="6:6" x14ac:dyDescent="0.35">
      <c r="F14038"/>
    </row>
    <row r="14039" spans="6:6" x14ac:dyDescent="0.35">
      <c r="F14039"/>
    </row>
    <row r="14040" spans="6:6" x14ac:dyDescent="0.35">
      <c r="F14040"/>
    </row>
    <row r="14041" spans="6:6" x14ac:dyDescent="0.35">
      <c r="F14041"/>
    </row>
    <row r="14042" spans="6:6" x14ac:dyDescent="0.35">
      <c r="F14042"/>
    </row>
    <row r="14043" spans="6:6" x14ac:dyDescent="0.35">
      <c r="F14043"/>
    </row>
    <row r="14044" spans="6:6" x14ac:dyDescent="0.35">
      <c r="F14044"/>
    </row>
    <row r="14045" spans="6:6" x14ac:dyDescent="0.35">
      <c r="F14045"/>
    </row>
    <row r="14046" spans="6:6" x14ac:dyDescent="0.35">
      <c r="F14046"/>
    </row>
    <row r="14047" spans="6:6" x14ac:dyDescent="0.35">
      <c r="F14047"/>
    </row>
    <row r="14048" spans="6:6" x14ac:dyDescent="0.35">
      <c r="F14048"/>
    </row>
    <row r="14049" spans="6:6" x14ac:dyDescent="0.35">
      <c r="F14049"/>
    </row>
    <row r="14050" spans="6:6" x14ac:dyDescent="0.35">
      <c r="F14050"/>
    </row>
    <row r="14051" spans="6:6" x14ac:dyDescent="0.35">
      <c r="F14051"/>
    </row>
    <row r="14052" spans="6:6" x14ac:dyDescent="0.35">
      <c r="F14052"/>
    </row>
    <row r="14053" spans="6:6" x14ac:dyDescent="0.35">
      <c r="F14053"/>
    </row>
    <row r="14054" spans="6:6" x14ac:dyDescent="0.35">
      <c r="F14054"/>
    </row>
    <row r="14055" spans="6:6" x14ac:dyDescent="0.35">
      <c r="F14055"/>
    </row>
    <row r="14056" spans="6:6" x14ac:dyDescent="0.35">
      <c r="F14056"/>
    </row>
    <row r="14057" spans="6:6" x14ac:dyDescent="0.35">
      <c r="F14057"/>
    </row>
    <row r="14058" spans="6:6" x14ac:dyDescent="0.35">
      <c r="F14058"/>
    </row>
    <row r="14059" spans="6:6" x14ac:dyDescent="0.35">
      <c r="F14059"/>
    </row>
    <row r="14060" spans="6:6" x14ac:dyDescent="0.35">
      <c r="F14060"/>
    </row>
    <row r="14061" spans="6:6" x14ac:dyDescent="0.35">
      <c r="F14061"/>
    </row>
    <row r="14062" spans="6:6" x14ac:dyDescent="0.35">
      <c r="F14062"/>
    </row>
    <row r="14063" spans="6:6" x14ac:dyDescent="0.35">
      <c r="F14063"/>
    </row>
    <row r="14064" spans="6:6" x14ac:dyDescent="0.35">
      <c r="F14064"/>
    </row>
    <row r="14065" spans="6:6" x14ac:dyDescent="0.35">
      <c r="F14065"/>
    </row>
    <row r="14066" spans="6:6" x14ac:dyDescent="0.35">
      <c r="F14066"/>
    </row>
    <row r="14067" spans="6:6" x14ac:dyDescent="0.35">
      <c r="F14067"/>
    </row>
    <row r="14068" spans="6:6" x14ac:dyDescent="0.35">
      <c r="F14068"/>
    </row>
    <row r="14069" spans="6:6" x14ac:dyDescent="0.35">
      <c r="F14069"/>
    </row>
    <row r="14070" spans="6:6" x14ac:dyDescent="0.35">
      <c r="F14070"/>
    </row>
    <row r="14071" spans="6:6" x14ac:dyDescent="0.35">
      <c r="F14071"/>
    </row>
    <row r="14072" spans="6:6" x14ac:dyDescent="0.35">
      <c r="F14072"/>
    </row>
    <row r="14073" spans="6:6" x14ac:dyDescent="0.35">
      <c r="F14073"/>
    </row>
    <row r="14074" spans="6:6" x14ac:dyDescent="0.35">
      <c r="F14074"/>
    </row>
    <row r="14075" spans="6:6" x14ac:dyDescent="0.35">
      <c r="F14075"/>
    </row>
    <row r="14076" spans="6:6" x14ac:dyDescent="0.35">
      <c r="F14076"/>
    </row>
    <row r="14077" spans="6:6" x14ac:dyDescent="0.35">
      <c r="F14077"/>
    </row>
    <row r="14078" spans="6:6" x14ac:dyDescent="0.35">
      <c r="F14078"/>
    </row>
    <row r="14079" spans="6:6" x14ac:dyDescent="0.35">
      <c r="F14079"/>
    </row>
    <row r="14080" spans="6:6" x14ac:dyDescent="0.35">
      <c r="F14080"/>
    </row>
    <row r="14081" spans="6:6" x14ac:dyDescent="0.35">
      <c r="F14081"/>
    </row>
    <row r="14082" spans="6:6" x14ac:dyDescent="0.35">
      <c r="F14082"/>
    </row>
    <row r="14083" spans="6:6" x14ac:dyDescent="0.35">
      <c r="F14083"/>
    </row>
    <row r="14084" spans="6:6" x14ac:dyDescent="0.35">
      <c r="F14084"/>
    </row>
    <row r="14085" spans="6:6" x14ac:dyDescent="0.35">
      <c r="F14085"/>
    </row>
    <row r="14086" spans="6:6" x14ac:dyDescent="0.35">
      <c r="F14086"/>
    </row>
    <row r="14087" spans="6:6" x14ac:dyDescent="0.35">
      <c r="F14087"/>
    </row>
    <row r="14088" spans="6:6" x14ac:dyDescent="0.35">
      <c r="F14088"/>
    </row>
    <row r="14089" spans="6:6" x14ac:dyDescent="0.35">
      <c r="F14089"/>
    </row>
    <row r="14090" spans="6:6" x14ac:dyDescent="0.35">
      <c r="F14090"/>
    </row>
    <row r="14091" spans="6:6" x14ac:dyDescent="0.35">
      <c r="F14091"/>
    </row>
    <row r="14092" spans="6:6" x14ac:dyDescent="0.35">
      <c r="F14092"/>
    </row>
    <row r="14093" spans="6:6" x14ac:dyDescent="0.35">
      <c r="F14093"/>
    </row>
    <row r="14094" spans="6:6" x14ac:dyDescent="0.35">
      <c r="F14094"/>
    </row>
    <row r="14095" spans="6:6" x14ac:dyDescent="0.35">
      <c r="F14095"/>
    </row>
    <row r="14096" spans="6:6" x14ac:dyDescent="0.35">
      <c r="F14096"/>
    </row>
    <row r="14097" spans="6:6" x14ac:dyDescent="0.35">
      <c r="F14097"/>
    </row>
    <row r="14098" spans="6:6" x14ac:dyDescent="0.35">
      <c r="F14098"/>
    </row>
    <row r="14099" spans="6:6" x14ac:dyDescent="0.35">
      <c r="F14099"/>
    </row>
    <row r="14100" spans="6:6" x14ac:dyDescent="0.35">
      <c r="F14100"/>
    </row>
    <row r="14101" spans="6:6" x14ac:dyDescent="0.35">
      <c r="F14101"/>
    </row>
    <row r="14102" spans="6:6" x14ac:dyDescent="0.35">
      <c r="F14102"/>
    </row>
    <row r="14103" spans="6:6" x14ac:dyDescent="0.35">
      <c r="F14103"/>
    </row>
    <row r="14104" spans="6:6" x14ac:dyDescent="0.35">
      <c r="F14104"/>
    </row>
    <row r="14105" spans="6:6" x14ac:dyDescent="0.35">
      <c r="F14105"/>
    </row>
    <row r="14106" spans="6:6" x14ac:dyDescent="0.35">
      <c r="F14106"/>
    </row>
    <row r="14107" spans="6:6" x14ac:dyDescent="0.35">
      <c r="F14107"/>
    </row>
    <row r="14108" spans="6:6" x14ac:dyDescent="0.35">
      <c r="F14108"/>
    </row>
    <row r="14109" spans="6:6" x14ac:dyDescent="0.35">
      <c r="F14109"/>
    </row>
    <row r="14110" spans="6:6" x14ac:dyDescent="0.35">
      <c r="F14110"/>
    </row>
    <row r="14111" spans="6:6" x14ac:dyDescent="0.35">
      <c r="F14111"/>
    </row>
    <row r="14112" spans="6:6" x14ac:dyDescent="0.35">
      <c r="F14112"/>
    </row>
    <row r="14113" spans="6:6" x14ac:dyDescent="0.35">
      <c r="F14113"/>
    </row>
    <row r="14114" spans="6:6" x14ac:dyDescent="0.35">
      <c r="F14114"/>
    </row>
    <row r="14115" spans="6:6" x14ac:dyDescent="0.35">
      <c r="F14115"/>
    </row>
    <row r="14116" spans="6:6" x14ac:dyDescent="0.35">
      <c r="F14116"/>
    </row>
    <row r="14117" spans="6:6" x14ac:dyDescent="0.35">
      <c r="F14117"/>
    </row>
    <row r="14118" spans="6:6" x14ac:dyDescent="0.35">
      <c r="F14118"/>
    </row>
    <row r="14119" spans="6:6" x14ac:dyDescent="0.35">
      <c r="F14119"/>
    </row>
    <row r="14120" spans="6:6" x14ac:dyDescent="0.35">
      <c r="F14120"/>
    </row>
    <row r="14121" spans="6:6" x14ac:dyDescent="0.35">
      <c r="F14121"/>
    </row>
    <row r="14122" spans="6:6" x14ac:dyDescent="0.35">
      <c r="F14122"/>
    </row>
    <row r="14123" spans="6:6" x14ac:dyDescent="0.35">
      <c r="F14123"/>
    </row>
    <row r="14124" spans="6:6" x14ac:dyDescent="0.35">
      <c r="F14124"/>
    </row>
    <row r="14125" spans="6:6" x14ac:dyDescent="0.35">
      <c r="F14125"/>
    </row>
    <row r="14126" spans="6:6" x14ac:dyDescent="0.35">
      <c r="F14126"/>
    </row>
    <row r="14127" spans="6:6" x14ac:dyDescent="0.35">
      <c r="F14127"/>
    </row>
    <row r="14128" spans="6:6" x14ac:dyDescent="0.35">
      <c r="F14128"/>
    </row>
    <row r="14129" spans="6:6" x14ac:dyDescent="0.35">
      <c r="F14129"/>
    </row>
    <row r="14130" spans="6:6" x14ac:dyDescent="0.35">
      <c r="F14130"/>
    </row>
    <row r="14131" spans="6:6" x14ac:dyDescent="0.35">
      <c r="F14131"/>
    </row>
    <row r="14132" spans="6:6" x14ac:dyDescent="0.35">
      <c r="F14132"/>
    </row>
    <row r="14133" spans="6:6" x14ac:dyDescent="0.35">
      <c r="F14133"/>
    </row>
    <row r="14134" spans="6:6" x14ac:dyDescent="0.35">
      <c r="F14134"/>
    </row>
    <row r="14135" spans="6:6" x14ac:dyDescent="0.35">
      <c r="F14135"/>
    </row>
    <row r="14136" spans="6:6" x14ac:dyDescent="0.35">
      <c r="F14136"/>
    </row>
    <row r="14137" spans="6:6" x14ac:dyDescent="0.35">
      <c r="F14137"/>
    </row>
    <row r="14138" spans="6:6" x14ac:dyDescent="0.35">
      <c r="F14138"/>
    </row>
    <row r="14139" spans="6:6" x14ac:dyDescent="0.35">
      <c r="F14139"/>
    </row>
    <row r="14140" spans="6:6" x14ac:dyDescent="0.35">
      <c r="F14140"/>
    </row>
    <row r="14141" spans="6:6" x14ac:dyDescent="0.35">
      <c r="F14141"/>
    </row>
    <row r="14142" spans="6:6" x14ac:dyDescent="0.35">
      <c r="F14142"/>
    </row>
    <row r="14143" spans="6:6" x14ac:dyDescent="0.35">
      <c r="F14143"/>
    </row>
    <row r="14144" spans="6:6" x14ac:dyDescent="0.35">
      <c r="F14144"/>
    </row>
    <row r="14145" spans="6:6" x14ac:dyDescent="0.35">
      <c r="F14145"/>
    </row>
    <row r="14146" spans="6:6" x14ac:dyDescent="0.35">
      <c r="F14146"/>
    </row>
    <row r="14147" spans="6:6" x14ac:dyDescent="0.35">
      <c r="F14147"/>
    </row>
    <row r="14148" spans="6:6" x14ac:dyDescent="0.35">
      <c r="F14148"/>
    </row>
    <row r="14149" spans="6:6" x14ac:dyDescent="0.35">
      <c r="F14149"/>
    </row>
    <row r="14150" spans="6:6" x14ac:dyDescent="0.35">
      <c r="F14150"/>
    </row>
    <row r="14151" spans="6:6" x14ac:dyDescent="0.35">
      <c r="F14151"/>
    </row>
    <row r="14152" spans="6:6" x14ac:dyDescent="0.35">
      <c r="F14152"/>
    </row>
    <row r="14153" spans="6:6" x14ac:dyDescent="0.35">
      <c r="F14153"/>
    </row>
    <row r="14154" spans="6:6" x14ac:dyDescent="0.35">
      <c r="F14154"/>
    </row>
    <row r="14155" spans="6:6" x14ac:dyDescent="0.35">
      <c r="F14155"/>
    </row>
    <row r="14156" spans="6:6" x14ac:dyDescent="0.35">
      <c r="F14156"/>
    </row>
    <row r="14157" spans="6:6" x14ac:dyDescent="0.35">
      <c r="F14157"/>
    </row>
    <row r="14158" spans="6:6" x14ac:dyDescent="0.35">
      <c r="F14158"/>
    </row>
    <row r="14159" spans="6:6" x14ac:dyDescent="0.35">
      <c r="F14159"/>
    </row>
    <row r="14160" spans="6:6" x14ac:dyDescent="0.35">
      <c r="F14160"/>
    </row>
    <row r="14161" spans="6:6" x14ac:dyDescent="0.35">
      <c r="F14161"/>
    </row>
    <row r="14162" spans="6:6" x14ac:dyDescent="0.35">
      <c r="F14162"/>
    </row>
    <row r="14163" spans="6:6" x14ac:dyDescent="0.35">
      <c r="F14163"/>
    </row>
    <row r="14164" spans="6:6" x14ac:dyDescent="0.35">
      <c r="F14164"/>
    </row>
    <row r="14165" spans="6:6" x14ac:dyDescent="0.35">
      <c r="F14165"/>
    </row>
    <row r="14166" spans="6:6" x14ac:dyDescent="0.35">
      <c r="F14166"/>
    </row>
    <row r="14167" spans="6:6" x14ac:dyDescent="0.35">
      <c r="F14167"/>
    </row>
    <row r="14168" spans="6:6" x14ac:dyDescent="0.35">
      <c r="F14168"/>
    </row>
    <row r="14169" spans="6:6" x14ac:dyDescent="0.35">
      <c r="F14169"/>
    </row>
    <row r="14170" spans="6:6" x14ac:dyDescent="0.35">
      <c r="F14170"/>
    </row>
    <row r="14171" spans="6:6" x14ac:dyDescent="0.35">
      <c r="F14171"/>
    </row>
    <row r="14172" spans="6:6" x14ac:dyDescent="0.35">
      <c r="F14172"/>
    </row>
    <row r="14173" spans="6:6" x14ac:dyDescent="0.35">
      <c r="F14173"/>
    </row>
    <row r="14174" spans="6:6" x14ac:dyDescent="0.35">
      <c r="F14174"/>
    </row>
    <row r="14175" spans="6:6" x14ac:dyDescent="0.35">
      <c r="F14175"/>
    </row>
    <row r="14176" spans="6:6" x14ac:dyDescent="0.35">
      <c r="F14176"/>
    </row>
    <row r="14177" spans="6:6" x14ac:dyDescent="0.35">
      <c r="F14177"/>
    </row>
    <row r="14178" spans="6:6" x14ac:dyDescent="0.35">
      <c r="F14178"/>
    </row>
    <row r="14179" spans="6:6" x14ac:dyDescent="0.35">
      <c r="F14179"/>
    </row>
    <row r="14180" spans="6:6" x14ac:dyDescent="0.35">
      <c r="F14180"/>
    </row>
    <row r="14181" spans="6:6" x14ac:dyDescent="0.35">
      <c r="F14181"/>
    </row>
    <row r="14182" spans="6:6" x14ac:dyDescent="0.35">
      <c r="F14182"/>
    </row>
    <row r="14183" spans="6:6" x14ac:dyDescent="0.35">
      <c r="F14183"/>
    </row>
    <row r="14184" spans="6:6" x14ac:dyDescent="0.35">
      <c r="F14184"/>
    </row>
    <row r="14185" spans="6:6" x14ac:dyDescent="0.35">
      <c r="F14185"/>
    </row>
    <row r="14186" spans="6:6" x14ac:dyDescent="0.35">
      <c r="F14186"/>
    </row>
    <row r="14187" spans="6:6" x14ac:dyDescent="0.35">
      <c r="F14187"/>
    </row>
    <row r="14188" spans="6:6" x14ac:dyDescent="0.35">
      <c r="F14188"/>
    </row>
    <row r="14189" spans="6:6" x14ac:dyDescent="0.35">
      <c r="F14189"/>
    </row>
    <row r="14190" spans="6:6" x14ac:dyDescent="0.35">
      <c r="F14190"/>
    </row>
    <row r="14191" spans="6:6" x14ac:dyDescent="0.35">
      <c r="F14191"/>
    </row>
    <row r="14192" spans="6:6" x14ac:dyDescent="0.35">
      <c r="F14192"/>
    </row>
    <row r="14193" spans="6:6" x14ac:dyDescent="0.35">
      <c r="F14193"/>
    </row>
    <row r="14194" spans="6:6" x14ac:dyDescent="0.35">
      <c r="F14194"/>
    </row>
    <row r="14195" spans="6:6" x14ac:dyDescent="0.35">
      <c r="F14195"/>
    </row>
    <row r="14196" spans="6:6" x14ac:dyDescent="0.35">
      <c r="F14196"/>
    </row>
    <row r="14197" spans="6:6" x14ac:dyDescent="0.35">
      <c r="F14197"/>
    </row>
    <row r="14198" spans="6:6" x14ac:dyDescent="0.35">
      <c r="F14198"/>
    </row>
    <row r="14199" spans="6:6" x14ac:dyDescent="0.35">
      <c r="F14199"/>
    </row>
    <row r="14200" spans="6:6" x14ac:dyDescent="0.35">
      <c r="F14200"/>
    </row>
    <row r="14201" spans="6:6" x14ac:dyDescent="0.35">
      <c r="F14201"/>
    </row>
    <row r="14202" spans="6:6" x14ac:dyDescent="0.35">
      <c r="F14202"/>
    </row>
    <row r="14203" spans="6:6" x14ac:dyDescent="0.35">
      <c r="F14203"/>
    </row>
    <row r="14204" spans="6:6" x14ac:dyDescent="0.35">
      <c r="F14204"/>
    </row>
    <row r="14205" spans="6:6" x14ac:dyDescent="0.35">
      <c r="F14205"/>
    </row>
    <row r="14206" spans="6:6" x14ac:dyDescent="0.35">
      <c r="F14206"/>
    </row>
    <row r="14207" spans="6:6" x14ac:dyDescent="0.35">
      <c r="F14207"/>
    </row>
    <row r="14208" spans="6:6" x14ac:dyDescent="0.35">
      <c r="F14208"/>
    </row>
    <row r="14209" spans="6:6" x14ac:dyDescent="0.35">
      <c r="F14209"/>
    </row>
    <row r="14210" spans="6:6" x14ac:dyDescent="0.35">
      <c r="F14210"/>
    </row>
    <row r="14211" spans="6:6" x14ac:dyDescent="0.35">
      <c r="F14211"/>
    </row>
    <row r="14212" spans="6:6" x14ac:dyDescent="0.35">
      <c r="F14212"/>
    </row>
    <row r="14213" spans="6:6" x14ac:dyDescent="0.35">
      <c r="F14213"/>
    </row>
    <row r="14214" spans="6:6" x14ac:dyDescent="0.35">
      <c r="F14214"/>
    </row>
    <row r="14215" spans="6:6" x14ac:dyDescent="0.35">
      <c r="F14215"/>
    </row>
    <row r="14216" spans="6:6" x14ac:dyDescent="0.35">
      <c r="F14216"/>
    </row>
    <row r="14217" spans="6:6" x14ac:dyDescent="0.35">
      <c r="F14217"/>
    </row>
    <row r="14218" spans="6:6" x14ac:dyDescent="0.35">
      <c r="F14218"/>
    </row>
    <row r="14219" spans="6:6" x14ac:dyDescent="0.35">
      <c r="F14219"/>
    </row>
    <row r="14220" spans="6:6" x14ac:dyDescent="0.35">
      <c r="F14220"/>
    </row>
    <row r="14221" spans="6:6" x14ac:dyDescent="0.35">
      <c r="F14221"/>
    </row>
    <row r="14222" spans="6:6" x14ac:dyDescent="0.35">
      <c r="F14222"/>
    </row>
    <row r="14223" spans="6:6" x14ac:dyDescent="0.35">
      <c r="F14223"/>
    </row>
    <row r="14224" spans="6:6" x14ac:dyDescent="0.35">
      <c r="F14224"/>
    </row>
    <row r="14225" spans="6:6" x14ac:dyDescent="0.35">
      <c r="F14225"/>
    </row>
    <row r="14226" spans="6:6" x14ac:dyDescent="0.35">
      <c r="F14226"/>
    </row>
    <row r="14227" spans="6:6" x14ac:dyDescent="0.35">
      <c r="F14227"/>
    </row>
    <row r="14228" spans="6:6" x14ac:dyDescent="0.35">
      <c r="F14228"/>
    </row>
    <row r="14229" spans="6:6" x14ac:dyDescent="0.35">
      <c r="F14229"/>
    </row>
    <row r="14230" spans="6:6" x14ac:dyDescent="0.35">
      <c r="F14230"/>
    </row>
    <row r="14231" spans="6:6" x14ac:dyDescent="0.35">
      <c r="F14231"/>
    </row>
    <row r="14232" spans="6:6" x14ac:dyDescent="0.35">
      <c r="F14232"/>
    </row>
    <row r="14233" spans="6:6" x14ac:dyDescent="0.35">
      <c r="F14233"/>
    </row>
    <row r="14234" spans="6:6" x14ac:dyDescent="0.35">
      <c r="F14234"/>
    </row>
    <row r="14235" spans="6:6" x14ac:dyDescent="0.35">
      <c r="F14235"/>
    </row>
    <row r="14236" spans="6:6" x14ac:dyDescent="0.35">
      <c r="F14236"/>
    </row>
    <row r="14237" spans="6:6" x14ac:dyDescent="0.35">
      <c r="F14237"/>
    </row>
    <row r="14238" spans="6:6" x14ac:dyDescent="0.35">
      <c r="F14238"/>
    </row>
    <row r="14239" spans="6:6" x14ac:dyDescent="0.35">
      <c r="F14239"/>
    </row>
    <row r="14240" spans="6:6" x14ac:dyDescent="0.35">
      <c r="F14240"/>
    </row>
    <row r="14241" spans="6:6" x14ac:dyDescent="0.35">
      <c r="F14241"/>
    </row>
    <row r="14242" spans="6:6" x14ac:dyDescent="0.35">
      <c r="F14242"/>
    </row>
    <row r="14243" spans="6:6" x14ac:dyDescent="0.35">
      <c r="F14243"/>
    </row>
    <row r="14244" spans="6:6" x14ac:dyDescent="0.35">
      <c r="F14244"/>
    </row>
    <row r="14245" spans="6:6" x14ac:dyDescent="0.35">
      <c r="F14245"/>
    </row>
    <row r="14246" spans="6:6" x14ac:dyDescent="0.35">
      <c r="F14246"/>
    </row>
    <row r="14247" spans="6:6" x14ac:dyDescent="0.35">
      <c r="F14247"/>
    </row>
    <row r="14248" spans="6:6" x14ac:dyDescent="0.35">
      <c r="F14248"/>
    </row>
    <row r="14249" spans="6:6" x14ac:dyDescent="0.35">
      <c r="F14249"/>
    </row>
    <row r="14250" spans="6:6" x14ac:dyDescent="0.35">
      <c r="F14250"/>
    </row>
    <row r="14251" spans="6:6" x14ac:dyDescent="0.35">
      <c r="F14251"/>
    </row>
    <row r="14252" spans="6:6" x14ac:dyDescent="0.35">
      <c r="F14252"/>
    </row>
    <row r="14253" spans="6:6" x14ac:dyDescent="0.35">
      <c r="F14253"/>
    </row>
    <row r="14254" spans="6:6" x14ac:dyDescent="0.35">
      <c r="F14254"/>
    </row>
    <row r="14255" spans="6:6" x14ac:dyDescent="0.35">
      <c r="F14255"/>
    </row>
    <row r="14256" spans="6:6" x14ac:dyDescent="0.35">
      <c r="F14256"/>
    </row>
    <row r="14257" spans="6:6" x14ac:dyDescent="0.35">
      <c r="F14257"/>
    </row>
    <row r="14258" spans="6:6" x14ac:dyDescent="0.35">
      <c r="F14258"/>
    </row>
    <row r="14259" spans="6:6" x14ac:dyDescent="0.35">
      <c r="F14259"/>
    </row>
    <row r="14260" spans="6:6" x14ac:dyDescent="0.35">
      <c r="F14260"/>
    </row>
    <row r="14261" spans="6:6" x14ac:dyDescent="0.35">
      <c r="F14261"/>
    </row>
    <row r="14262" spans="6:6" x14ac:dyDescent="0.35">
      <c r="F14262"/>
    </row>
    <row r="14263" spans="6:6" x14ac:dyDescent="0.35">
      <c r="F14263"/>
    </row>
    <row r="14264" spans="6:6" x14ac:dyDescent="0.35">
      <c r="F14264"/>
    </row>
    <row r="14265" spans="6:6" x14ac:dyDescent="0.35">
      <c r="F14265"/>
    </row>
    <row r="14266" spans="6:6" x14ac:dyDescent="0.35">
      <c r="F14266"/>
    </row>
    <row r="14267" spans="6:6" x14ac:dyDescent="0.35">
      <c r="F14267"/>
    </row>
    <row r="14268" spans="6:6" x14ac:dyDescent="0.35">
      <c r="F14268"/>
    </row>
    <row r="14269" spans="6:6" x14ac:dyDescent="0.35">
      <c r="F14269"/>
    </row>
    <row r="14270" spans="6:6" x14ac:dyDescent="0.35">
      <c r="F14270"/>
    </row>
    <row r="14271" spans="6:6" x14ac:dyDescent="0.35">
      <c r="F14271"/>
    </row>
    <row r="14272" spans="6:6" x14ac:dyDescent="0.35">
      <c r="F14272"/>
    </row>
    <row r="14273" spans="6:6" x14ac:dyDescent="0.35">
      <c r="F14273"/>
    </row>
    <row r="14274" spans="6:6" x14ac:dyDescent="0.35">
      <c r="F14274"/>
    </row>
    <row r="14275" spans="6:6" x14ac:dyDescent="0.35">
      <c r="F14275"/>
    </row>
    <row r="14276" spans="6:6" x14ac:dyDescent="0.35">
      <c r="F14276"/>
    </row>
    <row r="14277" spans="6:6" x14ac:dyDescent="0.35">
      <c r="F14277"/>
    </row>
    <row r="14278" spans="6:6" x14ac:dyDescent="0.35">
      <c r="F14278"/>
    </row>
    <row r="14279" spans="6:6" x14ac:dyDescent="0.35">
      <c r="F14279"/>
    </row>
    <row r="14280" spans="6:6" x14ac:dyDescent="0.35">
      <c r="F14280"/>
    </row>
    <row r="14281" spans="6:6" x14ac:dyDescent="0.35">
      <c r="F14281"/>
    </row>
    <row r="14282" spans="6:6" x14ac:dyDescent="0.35">
      <c r="F14282"/>
    </row>
    <row r="14283" spans="6:6" x14ac:dyDescent="0.35">
      <c r="F14283"/>
    </row>
    <row r="14284" spans="6:6" x14ac:dyDescent="0.35">
      <c r="F14284"/>
    </row>
    <row r="14285" spans="6:6" x14ac:dyDescent="0.35">
      <c r="F14285"/>
    </row>
    <row r="14286" spans="6:6" x14ac:dyDescent="0.35">
      <c r="F14286"/>
    </row>
    <row r="14287" spans="6:6" x14ac:dyDescent="0.35">
      <c r="F14287"/>
    </row>
    <row r="14288" spans="6:6" x14ac:dyDescent="0.35">
      <c r="F14288"/>
    </row>
    <row r="14289" spans="6:6" x14ac:dyDescent="0.35">
      <c r="F14289"/>
    </row>
    <row r="14290" spans="6:6" x14ac:dyDescent="0.35">
      <c r="F14290"/>
    </row>
    <row r="14291" spans="6:6" x14ac:dyDescent="0.35">
      <c r="F14291"/>
    </row>
    <row r="14292" spans="6:6" x14ac:dyDescent="0.35">
      <c r="F14292"/>
    </row>
    <row r="14293" spans="6:6" x14ac:dyDescent="0.35">
      <c r="F14293"/>
    </row>
    <row r="14294" spans="6:6" x14ac:dyDescent="0.35">
      <c r="F14294"/>
    </row>
    <row r="14295" spans="6:6" x14ac:dyDescent="0.35">
      <c r="F14295"/>
    </row>
    <row r="14296" spans="6:6" x14ac:dyDescent="0.35">
      <c r="F14296"/>
    </row>
    <row r="14297" spans="6:6" x14ac:dyDescent="0.35">
      <c r="F14297"/>
    </row>
    <row r="14298" spans="6:6" x14ac:dyDescent="0.35">
      <c r="F14298"/>
    </row>
    <row r="14299" spans="6:6" x14ac:dyDescent="0.35">
      <c r="F14299"/>
    </row>
    <row r="14300" spans="6:6" x14ac:dyDescent="0.35">
      <c r="F14300"/>
    </row>
    <row r="14301" spans="6:6" x14ac:dyDescent="0.35">
      <c r="F14301"/>
    </row>
    <row r="14302" spans="6:6" x14ac:dyDescent="0.35">
      <c r="F14302"/>
    </row>
    <row r="14303" spans="6:6" x14ac:dyDescent="0.35">
      <c r="F14303"/>
    </row>
    <row r="14304" spans="6:6" x14ac:dyDescent="0.35">
      <c r="F14304"/>
    </row>
    <row r="14305" spans="6:6" x14ac:dyDescent="0.35">
      <c r="F14305"/>
    </row>
    <row r="14306" spans="6:6" x14ac:dyDescent="0.35">
      <c r="F14306"/>
    </row>
    <row r="14307" spans="6:6" x14ac:dyDescent="0.35">
      <c r="F14307"/>
    </row>
    <row r="14308" spans="6:6" x14ac:dyDescent="0.35">
      <c r="F14308"/>
    </row>
    <row r="14309" spans="6:6" x14ac:dyDescent="0.35">
      <c r="F14309"/>
    </row>
    <row r="14310" spans="6:6" x14ac:dyDescent="0.35">
      <c r="F14310"/>
    </row>
    <row r="14311" spans="6:6" x14ac:dyDescent="0.35">
      <c r="F14311"/>
    </row>
    <row r="14312" spans="6:6" x14ac:dyDescent="0.35">
      <c r="F14312"/>
    </row>
    <row r="14313" spans="6:6" x14ac:dyDescent="0.35">
      <c r="F14313"/>
    </row>
    <row r="14314" spans="6:6" x14ac:dyDescent="0.35">
      <c r="F14314"/>
    </row>
    <row r="14315" spans="6:6" x14ac:dyDescent="0.35">
      <c r="F14315"/>
    </row>
    <row r="14316" spans="6:6" x14ac:dyDescent="0.35">
      <c r="F14316"/>
    </row>
    <row r="14317" spans="6:6" x14ac:dyDescent="0.35">
      <c r="F14317"/>
    </row>
    <row r="14318" spans="6:6" x14ac:dyDescent="0.35">
      <c r="F14318"/>
    </row>
    <row r="14319" spans="6:6" x14ac:dyDescent="0.35">
      <c r="F14319"/>
    </row>
    <row r="14320" spans="6:6" x14ac:dyDescent="0.35">
      <c r="F14320"/>
    </row>
    <row r="14321" spans="6:6" x14ac:dyDescent="0.35">
      <c r="F14321"/>
    </row>
    <row r="14322" spans="6:6" x14ac:dyDescent="0.35">
      <c r="F14322"/>
    </row>
    <row r="14323" spans="6:6" x14ac:dyDescent="0.35">
      <c r="F14323"/>
    </row>
    <row r="14324" spans="6:6" x14ac:dyDescent="0.35">
      <c r="F14324"/>
    </row>
    <row r="14325" spans="6:6" x14ac:dyDescent="0.35">
      <c r="F14325"/>
    </row>
    <row r="14326" spans="6:6" x14ac:dyDescent="0.35">
      <c r="F14326"/>
    </row>
    <row r="14327" spans="6:6" x14ac:dyDescent="0.35">
      <c r="F14327"/>
    </row>
    <row r="14328" spans="6:6" x14ac:dyDescent="0.35">
      <c r="F14328"/>
    </row>
    <row r="14329" spans="6:6" x14ac:dyDescent="0.35">
      <c r="F14329"/>
    </row>
    <row r="14330" spans="6:6" x14ac:dyDescent="0.35">
      <c r="F14330"/>
    </row>
    <row r="14331" spans="6:6" x14ac:dyDescent="0.35">
      <c r="F14331"/>
    </row>
    <row r="14332" spans="6:6" x14ac:dyDescent="0.35">
      <c r="F14332"/>
    </row>
    <row r="14333" spans="6:6" x14ac:dyDescent="0.35">
      <c r="F14333"/>
    </row>
    <row r="14334" spans="6:6" x14ac:dyDescent="0.35">
      <c r="F14334"/>
    </row>
    <row r="14335" spans="6:6" x14ac:dyDescent="0.35">
      <c r="F14335"/>
    </row>
    <row r="14336" spans="6:6" x14ac:dyDescent="0.35">
      <c r="F14336"/>
    </row>
    <row r="14337" spans="6:6" x14ac:dyDescent="0.35">
      <c r="F14337"/>
    </row>
    <row r="14338" spans="6:6" x14ac:dyDescent="0.35">
      <c r="F14338"/>
    </row>
    <row r="14339" spans="6:6" x14ac:dyDescent="0.35">
      <c r="F14339"/>
    </row>
    <row r="14340" spans="6:6" x14ac:dyDescent="0.35">
      <c r="F14340"/>
    </row>
    <row r="14341" spans="6:6" x14ac:dyDescent="0.35">
      <c r="F14341"/>
    </row>
    <row r="14342" spans="6:6" x14ac:dyDescent="0.35">
      <c r="F14342"/>
    </row>
    <row r="14343" spans="6:6" x14ac:dyDescent="0.35">
      <c r="F14343"/>
    </row>
    <row r="14344" spans="6:6" x14ac:dyDescent="0.35">
      <c r="F14344"/>
    </row>
    <row r="14345" spans="6:6" x14ac:dyDescent="0.35">
      <c r="F14345"/>
    </row>
    <row r="14346" spans="6:6" x14ac:dyDescent="0.35">
      <c r="F14346"/>
    </row>
    <row r="14347" spans="6:6" x14ac:dyDescent="0.35">
      <c r="F14347"/>
    </row>
    <row r="14348" spans="6:6" x14ac:dyDescent="0.35">
      <c r="F14348"/>
    </row>
    <row r="14349" spans="6:6" x14ac:dyDescent="0.35">
      <c r="F14349"/>
    </row>
    <row r="14350" spans="6:6" x14ac:dyDescent="0.35">
      <c r="F14350"/>
    </row>
    <row r="14351" spans="6:6" x14ac:dyDescent="0.35">
      <c r="F14351"/>
    </row>
    <row r="14352" spans="6:6" x14ac:dyDescent="0.35">
      <c r="F14352"/>
    </row>
    <row r="14353" spans="6:6" x14ac:dyDescent="0.35">
      <c r="F14353"/>
    </row>
    <row r="14354" spans="6:6" x14ac:dyDescent="0.35">
      <c r="F14354"/>
    </row>
    <row r="14355" spans="6:6" x14ac:dyDescent="0.35">
      <c r="F14355"/>
    </row>
    <row r="14356" spans="6:6" x14ac:dyDescent="0.35">
      <c r="F14356"/>
    </row>
    <row r="14357" spans="6:6" x14ac:dyDescent="0.35">
      <c r="F14357"/>
    </row>
    <row r="14358" spans="6:6" x14ac:dyDescent="0.35">
      <c r="F14358"/>
    </row>
    <row r="14359" spans="6:6" x14ac:dyDescent="0.35">
      <c r="F14359"/>
    </row>
    <row r="14360" spans="6:6" x14ac:dyDescent="0.35">
      <c r="F14360"/>
    </row>
    <row r="14361" spans="6:6" x14ac:dyDescent="0.35">
      <c r="F14361"/>
    </row>
    <row r="14362" spans="6:6" x14ac:dyDescent="0.35">
      <c r="F14362"/>
    </row>
    <row r="14363" spans="6:6" x14ac:dyDescent="0.35">
      <c r="F14363"/>
    </row>
    <row r="14364" spans="6:6" x14ac:dyDescent="0.35">
      <c r="F14364"/>
    </row>
    <row r="14365" spans="6:6" x14ac:dyDescent="0.35">
      <c r="F14365"/>
    </row>
    <row r="14366" spans="6:6" x14ac:dyDescent="0.35">
      <c r="F14366"/>
    </row>
    <row r="14367" spans="6:6" x14ac:dyDescent="0.35">
      <c r="F14367"/>
    </row>
    <row r="14368" spans="6:6" x14ac:dyDescent="0.35">
      <c r="F14368"/>
    </row>
    <row r="14369" spans="6:6" x14ac:dyDescent="0.35">
      <c r="F14369"/>
    </row>
    <row r="14370" spans="6:6" x14ac:dyDescent="0.35">
      <c r="F14370"/>
    </row>
    <row r="14371" spans="6:6" x14ac:dyDescent="0.35">
      <c r="F14371"/>
    </row>
    <row r="14372" spans="6:6" x14ac:dyDescent="0.35">
      <c r="F14372"/>
    </row>
    <row r="14373" spans="6:6" x14ac:dyDescent="0.35">
      <c r="F14373"/>
    </row>
    <row r="14374" spans="6:6" x14ac:dyDescent="0.35">
      <c r="F14374"/>
    </row>
    <row r="14375" spans="6:6" x14ac:dyDescent="0.35">
      <c r="F14375"/>
    </row>
    <row r="14376" spans="6:6" x14ac:dyDescent="0.35">
      <c r="F14376"/>
    </row>
    <row r="14377" spans="6:6" x14ac:dyDescent="0.35">
      <c r="F14377"/>
    </row>
    <row r="14378" spans="6:6" x14ac:dyDescent="0.35">
      <c r="F14378"/>
    </row>
    <row r="14379" spans="6:6" x14ac:dyDescent="0.35">
      <c r="F14379"/>
    </row>
    <row r="14380" spans="6:6" x14ac:dyDescent="0.35">
      <c r="F14380"/>
    </row>
    <row r="14381" spans="6:6" x14ac:dyDescent="0.35">
      <c r="F14381"/>
    </row>
    <row r="14382" spans="6:6" x14ac:dyDescent="0.35">
      <c r="F14382"/>
    </row>
    <row r="14383" spans="6:6" x14ac:dyDescent="0.35">
      <c r="F14383"/>
    </row>
    <row r="14384" spans="6:6" x14ac:dyDescent="0.35">
      <c r="F14384"/>
    </row>
    <row r="14385" spans="6:6" x14ac:dyDescent="0.35">
      <c r="F14385"/>
    </row>
    <row r="14386" spans="6:6" x14ac:dyDescent="0.35">
      <c r="F14386"/>
    </row>
    <row r="14387" spans="6:6" x14ac:dyDescent="0.35">
      <c r="F14387"/>
    </row>
    <row r="14388" spans="6:6" x14ac:dyDescent="0.35">
      <c r="F14388"/>
    </row>
    <row r="14389" spans="6:6" x14ac:dyDescent="0.35">
      <c r="F14389"/>
    </row>
    <row r="14390" spans="6:6" x14ac:dyDescent="0.35">
      <c r="F14390"/>
    </row>
    <row r="14391" spans="6:6" x14ac:dyDescent="0.35">
      <c r="F14391"/>
    </row>
    <row r="14392" spans="6:6" x14ac:dyDescent="0.35">
      <c r="F14392"/>
    </row>
    <row r="14393" spans="6:6" x14ac:dyDescent="0.35">
      <c r="F14393"/>
    </row>
    <row r="14394" spans="6:6" x14ac:dyDescent="0.35">
      <c r="F14394"/>
    </row>
    <row r="14395" spans="6:6" x14ac:dyDescent="0.35">
      <c r="F14395"/>
    </row>
    <row r="14396" spans="6:6" x14ac:dyDescent="0.35">
      <c r="F14396"/>
    </row>
    <row r="14397" spans="6:6" x14ac:dyDescent="0.35">
      <c r="F14397"/>
    </row>
    <row r="14398" spans="6:6" x14ac:dyDescent="0.35">
      <c r="F14398"/>
    </row>
    <row r="14399" spans="6:6" x14ac:dyDescent="0.35">
      <c r="F14399"/>
    </row>
    <row r="14400" spans="6:6" x14ac:dyDescent="0.35">
      <c r="F14400"/>
    </row>
    <row r="14401" spans="6:6" x14ac:dyDescent="0.35">
      <c r="F14401"/>
    </row>
    <row r="14402" spans="6:6" x14ac:dyDescent="0.35">
      <c r="F14402"/>
    </row>
    <row r="14403" spans="6:6" x14ac:dyDescent="0.35">
      <c r="F14403"/>
    </row>
    <row r="14404" spans="6:6" x14ac:dyDescent="0.35">
      <c r="F14404"/>
    </row>
    <row r="14405" spans="6:6" x14ac:dyDescent="0.35">
      <c r="F14405"/>
    </row>
    <row r="14406" spans="6:6" x14ac:dyDescent="0.35">
      <c r="F14406"/>
    </row>
    <row r="14407" spans="6:6" x14ac:dyDescent="0.35">
      <c r="F14407"/>
    </row>
    <row r="14408" spans="6:6" x14ac:dyDescent="0.35">
      <c r="F14408"/>
    </row>
    <row r="14409" spans="6:6" x14ac:dyDescent="0.35">
      <c r="F14409"/>
    </row>
    <row r="14410" spans="6:6" x14ac:dyDescent="0.35">
      <c r="F14410"/>
    </row>
    <row r="14411" spans="6:6" x14ac:dyDescent="0.35">
      <c r="F14411"/>
    </row>
    <row r="14412" spans="6:6" x14ac:dyDescent="0.35">
      <c r="F14412"/>
    </row>
    <row r="14413" spans="6:6" x14ac:dyDescent="0.35">
      <c r="F14413"/>
    </row>
    <row r="14414" spans="6:6" x14ac:dyDescent="0.35">
      <c r="F14414"/>
    </row>
    <row r="14415" spans="6:6" x14ac:dyDescent="0.35">
      <c r="F14415"/>
    </row>
    <row r="14416" spans="6:6" x14ac:dyDescent="0.35">
      <c r="F14416"/>
    </row>
    <row r="14417" spans="6:6" x14ac:dyDescent="0.35">
      <c r="F14417"/>
    </row>
    <row r="14418" spans="6:6" x14ac:dyDescent="0.35">
      <c r="F14418"/>
    </row>
    <row r="14419" spans="6:6" x14ac:dyDescent="0.35">
      <c r="F14419"/>
    </row>
    <row r="14420" spans="6:6" x14ac:dyDescent="0.35">
      <c r="F14420"/>
    </row>
    <row r="14421" spans="6:6" x14ac:dyDescent="0.35">
      <c r="F14421"/>
    </row>
    <row r="14422" spans="6:6" x14ac:dyDescent="0.35">
      <c r="F14422"/>
    </row>
    <row r="14423" spans="6:6" x14ac:dyDescent="0.35">
      <c r="F14423"/>
    </row>
    <row r="14424" spans="6:6" x14ac:dyDescent="0.35">
      <c r="F14424"/>
    </row>
    <row r="14425" spans="6:6" x14ac:dyDescent="0.35">
      <c r="F14425"/>
    </row>
    <row r="14426" spans="6:6" x14ac:dyDescent="0.35">
      <c r="F14426"/>
    </row>
    <row r="14427" spans="6:6" x14ac:dyDescent="0.35">
      <c r="F14427"/>
    </row>
    <row r="14428" spans="6:6" x14ac:dyDescent="0.35">
      <c r="F14428"/>
    </row>
    <row r="14429" spans="6:6" x14ac:dyDescent="0.35">
      <c r="F14429"/>
    </row>
    <row r="14430" spans="6:6" x14ac:dyDescent="0.35">
      <c r="F14430"/>
    </row>
    <row r="14431" spans="6:6" x14ac:dyDescent="0.35">
      <c r="F14431"/>
    </row>
    <row r="14432" spans="6:6" x14ac:dyDescent="0.35">
      <c r="F14432"/>
    </row>
    <row r="14433" spans="6:6" x14ac:dyDescent="0.35">
      <c r="F14433"/>
    </row>
    <row r="14434" spans="6:6" x14ac:dyDescent="0.35">
      <c r="F14434"/>
    </row>
    <row r="14435" spans="6:6" x14ac:dyDescent="0.35">
      <c r="F14435"/>
    </row>
    <row r="14436" spans="6:6" x14ac:dyDescent="0.35">
      <c r="F14436"/>
    </row>
    <row r="14437" spans="6:6" x14ac:dyDescent="0.35">
      <c r="F14437"/>
    </row>
    <row r="14438" spans="6:6" x14ac:dyDescent="0.35">
      <c r="F14438"/>
    </row>
    <row r="14439" spans="6:6" x14ac:dyDescent="0.35">
      <c r="F14439"/>
    </row>
    <row r="14440" spans="6:6" x14ac:dyDescent="0.35">
      <c r="F14440"/>
    </row>
    <row r="14441" spans="6:6" x14ac:dyDescent="0.35">
      <c r="F14441"/>
    </row>
    <row r="14442" spans="6:6" x14ac:dyDescent="0.35">
      <c r="F14442"/>
    </row>
    <row r="14443" spans="6:6" x14ac:dyDescent="0.35">
      <c r="F14443"/>
    </row>
    <row r="14444" spans="6:6" x14ac:dyDescent="0.35">
      <c r="F14444"/>
    </row>
    <row r="14445" spans="6:6" x14ac:dyDescent="0.35">
      <c r="F14445"/>
    </row>
    <row r="14446" spans="6:6" x14ac:dyDescent="0.35">
      <c r="F14446"/>
    </row>
    <row r="14447" spans="6:6" x14ac:dyDescent="0.35">
      <c r="F14447"/>
    </row>
    <row r="14448" spans="6:6" x14ac:dyDescent="0.35">
      <c r="F14448"/>
    </row>
    <row r="14449" spans="6:6" x14ac:dyDescent="0.35">
      <c r="F14449"/>
    </row>
    <row r="14450" spans="6:6" x14ac:dyDescent="0.35">
      <c r="F14450"/>
    </row>
    <row r="14451" spans="6:6" x14ac:dyDescent="0.35">
      <c r="F14451"/>
    </row>
    <row r="14452" spans="6:6" x14ac:dyDescent="0.35">
      <c r="F14452"/>
    </row>
    <row r="14453" spans="6:6" x14ac:dyDescent="0.35">
      <c r="F14453"/>
    </row>
    <row r="14454" spans="6:6" x14ac:dyDescent="0.35">
      <c r="F14454"/>
    </row>
    <row r="14455" spans="6:6" x14ac:dyDescent="0.35">
      <c r="F14455"/>
    </row>
    <row r="14456" spans="6:6" x14ac:dyDescent="0.35">
      <c r="F14456"/>
    </row>
    <row r="14457" spans="6:6" x14ac:dyDescent="0.35">
      <c r="F14457"/>
    </row>
    <row r="14458" spans="6:6" x14ac:dyDescent="0.35">
      <c r="F14458"/>
    </row>
    <row r="14459" spans="6:6" x14ac:dyDescent="0.35">
      <c r="F14459"/>
    </row>
    <row r="14460" spans="6:6" x14ac:dyDescent="0.35">
      <c r="F14460"/>
    </row>
    <row r="14461" spans="6:6" x14ac:dyDescent="0.35">
      <c r="F14461"/>
    </row>
    <row r="14462" spans="6:6" x14ac:dyDescent="0.35">
      <c r="F14462"/>
    </row>
    <row r="14463" spans="6:6" x14ac:dyDescent="0.35">
      <c r="F14463"/>
    </row>
    <row r="14464" spans="6:6" x14ac:dyDescent="0.35">
      <c r="F14464"/>
    </row>
    <row r="14465" spans="6:6" x14ac:dyDescent="0.35">
      <c r="F14465"/>
    </row>
    <row r="14466" spans="6:6" x14ac:dyDescent="0.35">
      <c r="F14466"/>
    </row>
    <row r="14467" spans="6:6" x14ac:dyDescent="0.35">
      <c r="F14467"/>
    </row>
    <row r="14468" spans="6:6" x14ac:dyDescent="0.35">
      <c r="F14468"/>
    </row>
    <row r="14469" spans="6:6" x14ac:dyDescent="0.35">
      <c r="F14469"/>
    </row>
    <row r="14470" spans="6:6" x14ac:dyDescent="0.35">
      <c r="F14470"/>
    </row>
    <row r="14471" spans="6:6" x14ac:dyDescent="0.35">
      <c r="F14471"/>
    </row>
    <row r="14472" spans="6:6" x14ac:dyDescent="0.35">
      <c r="F14472"/>
    </row>
    <row r="14473" spans="6:6" x14ac:dyDescent="0.35">
      <c r="F14473"/>
    </row>
    <row r="14474" spans="6:6" x14ac:dyDescent="0.35">
      <c r="F14474"/>
    </row>
    <row r="14475" spans="6:6" x14ac:dyDescent="0.35">
      <c r="F14475"/>
    </row>
    <row r="14476" spans="6:6" x14ac:dyDescent="0.35">
      <c r="F14476"/>
    </row>
    <row r="14477" spans="6:6" x14ac:dyDescent="0.35">
      <c r="F14477"/>
    </row>
    <row r="14478" spans="6:6" x14ac:dyDescent="0.35">
      <c r="F14478"/>
    </row>
    <row r="14479" spans="6:6" x14ac:dyDescent="0.35">
      <c r="F14479"/>
    </row>
    <row r="14480" spans="6:6" x14ac:dyDescent="0.35">
      <c r="F14480"/>
    </row>
    <row r="14481" spans="6:6" x14ac:dyDescent="0.35">
      <c r="F14481"/>
    </row>
    <row r="14482" spans="6:6" x14ac:dyDescent="0.35">
      <c r="F14482"/>
    </row>
    <row r="14483" spans="6:6" x14ac:dyDescent="0.35">
      <c r="F14483"/>
    </row>
    <row r="14484" spans="6:6" x14ac:dyDescent="0.35">
      <c r="F14484"/>
    </row>
    <row r="14485" spans="6:6" x14ac:dyDescent="0.35">
      <c r="F14485"/>
    </row>
    <row r="14486" spans="6:6" x14ac:dyDescent="0.35">
      <c r="F14486"/>
    </row>
    <row r="14487" spans="6:6" x14ac:dyDescent="0.35">
      <c r="F14487"/>
    </row>
    <row r="14488" spans="6:6" x14ac:dyDescent="0.35">
      <c r="F14488"/>
    </row>
    <row r="14489" spans="6:6" x14ac:dyDescent="0.35">
      <c r="F14489"/>
    </row>
    <row r="14490" spans="6:6" x14ac:dyDescent="0.35">
      <c r="F14490"/>
    </row>
    <row r="14491" spans="6:6" x14ac:dyDescent="0.35">
      <c r="F14491"/>
    </row>
    <row r="14492" spans="6:6" x14ac:dyDescent="0.35">
      <c r="F14492"/>
    </row>
    <row r="14493" spans="6:6" x14ac:dyDescent="0.35">
      <c r="F14493"/>
    </row>
    <row r="14494" spans="6:6" x14ac:dyDescent="0.35">
      <c r="F14494"/>
    </row>
    <row r="14495" spans="6:6" x14ac:dyDescent="0.35">
      <c r="F14495"/>
    </row>
    <row r="14496" spans="6:6" x14ac:dyDescent="0.35">
      <c r="F14496"/>
    </row>
    <row r="14497" spans="6:6" x14ac:dyDescent="0.35">
      <c r="F14497"/>
    </row>
    <row r="14498" spans="6:6" x14ac:dyDescent="0.35">
      <c r="F14498"/>
    </row>
    <row r="14499" spans="6:6" x14ac:dyDescent="0.35">
      <c r="F14499"/>
    </row>
    <row r="14500" spans="6:6" x14ac:dyDescent="0.35">
      <c r="F14500"/>
    </row>
    <row r="14501" spans="6:6" x14ac:dyDescent="0.35">
      <c r="F14501"/>
    </row>
    <row r="14502" spans="6:6" x14ac:dyDescent="0.35">
      <c r="F14502"/>
    </row>
    <row r="14503" spans="6:6" x14ac:dyDescent="0.35">
      <c r="F14503"/>
    </row>
    <row r="14504" spans="6:6" x14ac:dyDescent="0.35">
      <c r="F14504"/>
    </row>
    <row r="14505" spans="6:6" x14ac:dyDescent="0.35">
      <c r="F14505"/>
    </row>
    <row r="14506" spans="6:6" x14ac:dyDescent="0.35">
      <c r="F14506"/>
    </row>
    <row r="14507" spans="6:6" x14ac:dyDescent="0.35">
      <c r="F14507"/>
    </row>
    <row r="14508" spans="6:6" x14ac:dyDescent="0.35">
      <c r="F14508"/>
    </row>
    <row r="14509" spans="6:6" x14ac:dyDescent="0.35">
      <c r="F14509"/>
    </row>
    <row r="14510" spans="6:6" x14ac:dyDescent="0.35">
      <c r="F14510"/>
    </row>
    <row r="14511" spans="6:6" x14ac:dyDescent="0.35">
      <c r="F14511"/>
    </row>
    <row r="14512" spans="6:6" x14ac:dyDescent="0.35">
      <c r="F14512"/>
    </row>
    <row r="14513" spans="6:6" x14ac:dyDescent="0.35">
      <c r="F14513"/>
    </row>
    <row r="14514" spans="6:6" x14ac:dyDescent="0.35">
      <c r="F14514"/>
    </row>
    <row r="14515" spans="6:6" x14ac:dyDescent="0.35">
      <c r="F14515"/>
    </row>
    <row r="14516" spans="6:6" x14ac:dyDescent="0.35">
      <c r="F14516"/>
    </row>
    <row r="14517" spans="6:6" x14ac:dyDescent="0.35">
      <c r="F14517"/>
    </row>
    <row r="14518" spans="6:6" x14ac:dyDescent="0.35">
      <c r="F14518"/>
    </row>
    <row r="14519" spans="6:6" x14ac:dyDescent="0.35">
      <c r="F14519"/>
    </row>
    <row r="14520" spans="6:6" x14ac:dyDescent="0.35">
      <c r="F14520"/>
    </row>
    <row r="14521" spans="6:6" x14ac:dyDescent="0.35">
      <c r="F14521"/>
    </row>
    <row r="14522" spans="6:6" x14ac:dyDescent="0.35">
      <c r="F14522"/>
    </row>
    <row r="14523" spans="6:6" x14ac:dyDescent="0.35">
      <c r="F14523"/>
    </row>
    <row r="14524" spans="6:6" x14ac:dyDescent="0.35">
      <c r="F14524"/>
    </row>
    <row r="14525" spans="6:6" x14ac:dyDescent="0.35">
      <c r="F14525"/>
    </row>
    <row r="14526" spans="6:6" x14ac:dyDescent="0.35">
      <c r="F14526"/>
    </row>
    <row r="14527" spans="6:6" x14ac:dyDescent="0.35">
      <c r="F14527"/>
    </row>
    <row r="14528" spans="6:6" x14ac:dyDescent="0.35">
      <c r="F14528"/>
    </row>
    <row r="14529" spans="6:6" x14ac:dyDescent="0.35">
      <c r="F14529"/>
    </row>
    <row r="14530" spans="6:6" x14ac:dyDescent="0.35">
      <c r="F14530"/>
    </row>
    <row r="14531" spans="6:6" x14ac:dyDescent="0.35">
      <c r="F14531"/>
    </row>
    <row r="14532" spans="6:6" x14ac:dyDescent="0.35">
      <c r="F14532"/>
    </row>
    <row r="14533" spans="6:6" x14ac:dyDescent="0.35">
      <c r="F14533"/>
    </row>
    <row r="14534" spans="6:6" x14ac:dyDescent="0.35">
      <c r="F14534"/>
    </row>
    <row r="14535" spans="6:6" x14ac:dyDescent="0.35">
      <c r="F14535"/>
    </row>
    <row r="14536" spans="6:6" x14ac:dyDescent="0.35">
      <c r="F14536"/>
    </row>
    <row r="14537" spans="6:6" x14ac:dyDescent="0.35">
      <c r="F14537"/>
    </row>
    <row r="14538" spans="6:6" x14ac:dyDescent="0.35">
      <c r="F14538"/>
    </row>
    <row r="14539" spans="6:6" x14ac:dyDescent="0.35">
      <c r="F14539"/>
    </row>
    <row r="14540" spans="6:6" x14ac:dyDescent="0.35">
      <c r="F14540"/>
    </row>
    <row r="14541" spans="6:6" x14ac:dyDescent="0.35">
      <c r="F14541"/>
    </row>
    <row r="14542" spans="6:6" x14ac:dyDescent="0.35">
      <c r="F14542"/>
    </row>
    <row r="14543" spans="6:6" x14ac:dyDescent="0.35">
      <c r="F14543"/>
    </row>
    <row r="14544" spans="6:6" x14ac:dyDescent="0.35">
      <c r="F14544"/>
    </row>
    <row r="14545" spans="6:6" x14ac:dyDescent="0.35">
      <c r="F14545"/>
    </row>
    <row r="14546" spans="6:6" x14ac:dyDescent="0.35">
      <c r="F14546"/>
    </row>
    <row r="14547" spans="6:6" x14ac:dyDescent="0.35">
      <c r="F14547"/>
    </row>
    <row r="14548" spans="6:6" x14ac:dyDescent="0.35">
      <c r="F14548"/>
    </row>
    <row r="14549" spans="6:6" x14ac:dyDescent="0.35">
      <c r="F14549"/>
    </row>
    <row r="14550" spans="6:6" x14ac:dyDescent="0.35">
      <c r="F14550"/>
    </row>
    <row r="14551" spans="6:6" x14ac:dyDescent="0.35">
      <c r="F14551"/>
    </row>
    <row r="14552" spans="6:6" x14ac:dyDescent="0.35">
      <c r="F14552"/>
    </row>
    <row r="14553" spans="6:6" x14ac:dyDescent="0.35">
      <c r="F14553"/>
    </row>
    <row r="14554" spans="6:6" x14ac:dyDescent="0.35">
      <c r="F14554"/>
    </row>
    <row r="14555" spans="6:6" x14ac:dyDescent="0.35">
      <c r="F14555"/>
    </row>
    <row r="14556" spans="6:6" x14ac:dyDescent="0.35">
      <c r="F14556"/>
    </row>
    <row r="14557" spans="6:6" x14ac:dyDescent="0.35">
      <c r="F14557"/>
    </row>
    <row r="14558" spans="6:6" x14ac:dyDescent="0.35">
      <c r="F14558"/>
    </row>
    <row r="14559" spans="6:6" x14ac:dyDescent="0.35">
      <c r="F14559"/>
    </row>
    <row r="14560" spans="6:6" x14ac:dyDescent="0.35">
      <c r="F14560"/>
    </row>
    <row r="14561" spans="6:6" x14ac:dyDescent="0.35">
      <c r="F14561"/>
    </row>
    <row r="14562" spans="6:6" x14ac:dyDescent="0.35">
      <c r="F14562"/>
    </row>
    <row r="14563" spans="6:6" x14ac:dyDescent="0.35">
      <c r="F14563"/>
    </row>
    <row r="14564" spans="6:6" x14ac:dyDescent="0.35">
      <c r="F14564"/>
    </row>
    <row r="14565" spans="6:6" x14ac:dyDescent="0.35">
      <c r="F14565"/>
    </row>
    <row r="14566" spans="6:6" x14ac:dyDescent="0.35">
      <c r="F14566"/>
    </row>
    <row r="14567" spans="6:6" x14ac:dyDescent="0.35">
      <c r="F14567"/>
    </row>
    <row r="14568" spans="6:6" x14ac:dyDescent="0.35">
      <c r="F14568"/>
    </row>
    <row r="14569" spans="6:6" x14ac:dyDescent="0.35">
      <c r="F14569"/>
    </row>
    <row r="14570" spans="6:6" x14ac:dyDescent="0.35">
      <c r="F14570"/>
    </row>
    <row r="14571" spans="6:6" x14ac:dyDescent="0.35">
      <c r="F14571"/>
    </row>
    <row r="14572" spans="6:6" x14ac:dyDescent="0.35">
      <c r="F14572"/>
    </row>
    <row r="14573" spans="6:6" x14ac:dyDescent="0.35">
      <c r="F14573"/>
    </row>
    <row r="14574" spans="6:6" x14ac:dyDescent="0.35">
      <c r="F14574"/>
    </row>
    <row r="14575" spans="6:6" x14ac:dyDescent="0.35">
      <c r="F14575"/>
    </row>
    <row r="14576" spans="6:6" x14ac:dyDescent="0.35">
      <c r="F14576"/>
    </row>
    <row r="14577" spans="6:6" x14ac:dyDescent="0.35">
      <c r="F14577"/>
    </row>
    <row r="14578" spans="6:6" x14ac:dyDescent="0.35">
      <c r="F14578"/>
    </row>
    <row r="14579" spans="6:6" x14ac:dyDescent="0.35">
      <c r="F14579"/>
    </row>
    <row r="14580" spans="6:6" x14ac:dyDescent="0.35">
      <c r="F14580"/>
    </row>
    <row r="14581" spans="6:6" x14ac:dyDescent="0.35">
      <c r="F14581"/>
    </row>
    <row r="14582" spans="6:6" x14ac:dyDescent="0.35">
      <c r="F14582"/>
    </row>
    <row r="14583" spans="6:6" x14ac:dyDescent="0.35">
      <c r="F14583"/>
    </row>
    <row r="14584" spans="6:6" x14ac:dyDescent="0.35">
      <c r="F14584"/>
    </row>
    <row r="14585" spans="6:6" x14ac:dyDescent="0.35">
      <c r="F14585"/>
    </row>
    <row r="14586" spans="6:6" x14ac:dyDescent="0.35">
      <c r="F14586"/>
    </row>
    <row r="14587" spans="6:6" x14ac:dyDescent="0.35">
      <c r="F14587"/>
    </row>
    <row r="14588" spans="6:6" x14ac:dyDescent="0.35">
      <c r="F14588"/>
    </row>
    <row r="14589" spans="6:6" x14ac:dyDescent="0.35">
      <c r="F14589"/>
    </row>
    <row r="14590" spans="6:6" x14ac:dyDescent="0.35">
      <c r="F14590"/>
    </row>
    <row r="14591" spans="6:6" x14ac:dyDescent="0.35">
      <c r="F14591"/>
    </row>
    <row r="14592" spans="6:6" x14ac:dyDescent="0.35">
      <c r="F14592"/>
    </row>
    <row r="14593" spans="6:6" x14ac:dyDescent="0.35">
      <c r="F14593"/>
    </row>
    <row r="14594" spans="6:6" x14ac:dyDescent="0.35">
      <c r="F14594"/>
    </row>
    <row r="14595" spans="6:6" x14ac:dyDescent="0.35">
      <c r="F14595"/>
    </row>
    <row r="14596" spans="6:6" x14ac:dyDescent="0.35">
      <c r="F14596"/>
    </row>
    <row r="14597" spans="6:6" x14ac:dyDescent="0.35">
      <c r="F14597"/>
    </row>
    <row r="14598" spans="6:6" x14ac:dyDescent="0.35">
      <c r="F14598"/>
    </row>
    <row r="14599" spans="6:6" x14ac:dyDescent="0.35">
      <c r="F14599"/>
    </row>
    <row r="14600" spans="6:6" x14ac:dyDescent="0.35">
      <c r="F14600"/>
    </row>
    <row r="14601" spans="6:6" x14ac:dyDescent="0.35">
      <c r="F14601"/>
    </row>
    <row r="14602" spans="6:6" x14ac:dyDescent="0.35">
      <c r="F14602"/>
    </row>
    <row r="14603" spans="6:6" x14ac:dyDescent="0.35">
      <c r="F14603"/>
    </row>
    <row r="14604" spans="6:6" x14ac:dyDescent="0.35">
      <c r="F14604"/>
    </row>
    <row r="14605" spans="6:6" x14ac:dyDescent="0.35">
      <c r="F14605"/>
    </row>
    <row r="14606" spans="6:6" x14ac:dyDescent="0.35">
      <c r="F14606"/>
    </row>
    <row r="14607" spans="6:6" x14ac:dyDescent="0.35">
      <c r="F14607"/>
    </row>
    <row r="14608" spans="6:6" x14ac:dyDescent="0.35">
      <c r="F14608"/>
    </row>
    <row r="14609" spans="6:6" x14ac:dyDescent="0.35">
      <c r="F14609"/>
    </row>
    <row r="14610" spans="6:6" x14ac:dyDescent="0.35">
      <c r="F14610"/>
    </row>
    <row r="14611" spans="6:6" x14ac:dyDescent="0.35">
      <c r="F14611"/>
    </row>
    <row r="14612" spans="6:6" x14ac:dyDescent="0.35">
      <c r="F14612"/>
    </row>
    <row r="14613" spans="6:6" x14ac:dyDescent="0.35">
      <c r="F14613"/>
    </row>
    <row r="14614" spans="6:6" x14ac:dyDescent="0.35">
      <c r="F14614"/>
    </row>
    <row r="14615" spans="6:6" x14ac:dyDescent="0.35">
      <c r="F14615"/>
    </row>
    <row r="14616" spans="6:6" x14ac:dyDescent="0.35">
      <c r="F14616"/>
    </row>
    <row r="14617" spans="6:6" x14ac:dyDescent="0.35">
      <c r="F14617"/>
    </row>
    <row r="14618" spans="6:6" x14ac:dyDescent="0.35">
      <c r="F14618"/>
    </row>
    <row r="14619" spans="6:6" x14ac:dyDescent="0.35">
      <c r="F14619"/>
    </row>
    <row r="14620" spans="6:6" x14ac:dyDescent="0.35">
      <c r="F14620"/>
    </row>
    <row r="14621" spans="6:6" x14ac:dyDescent="0.35">
      <c r="F14621"/>
    </row>
    <row r="14622" spans="6:6" x14ac:dyDescent="0.35">
      <c r="F14622"/>
    </row>
    <row r="14623" spans="6:6" x14ac:dyDescent="0.35">
      <c r="F14623"/>
    </row>
    <row r="14624" spans="6:6" x14ac:dyDescent="0.35">
      <c r="F14624"/>
    </row>
    <row r="14625" spans="6:6" x14ac:dyDescent="0.35">
      <c r="F14625"/>
    </row>
    <row r="14626" spans="6:6" x14ac:dyDescent="0.35">
      <c r="F14626"/>
    </row>
    <row r="14627" spans="6:6" x14ac:dyDescent="0.35">
      <c r="F14627"/>
    </row>
    <row r="14628" spans="6:6" x14ac:dyDescent="0.35">
      <c r="F14628"/>
    </row>
    <row r="14629" spans="6:6" x14ac:dyDescent="0.35">
      <c r="F14629"/>
    </row>
    <row r="14630" spans="6:6" x14ac:dyDescent="0.35">
      <c r="F14630"/>
    </row>
    <row r="14631" spans="6:6" x14ac:dyDescent="0.35">
      <c r="F14631"/>
    </row>
    <row r="14632" spans="6:6" x14ac:dyDescent="0.35">
      <c r="F14632"/>
    </row>
    <row r="14633" spans="6:6" x14ac:dyDescent="0.35">
      <c r="F14633"/>
    </row>
    <row r="14634" spans="6:6" x14ac:dyDescent="0.35">
      <c r="F14634"/>
    </row>
    <row r="14635" spans="6:6" x14ac:dyDescent="0.35">
      <c r="F14635"/>
    </row>
    <row r="14636" spans="6:6" x14ac:dyDescent="0.35">
      <c r="F14636"/>
    </row>
    <row r="14637" spans="6:6" x14ac:dyDescent="0.35">
      <c r="F14637"/>
    </row>
    <row r="14638" spans="6:6" x14ac:dyDescent="0.35">
      <c r="F14638"/>
    </row>
    <row r="14639" spans="6:6" x14ac:dyDescent="0.35">
      <c r="F14639"/>
    </row>
    <row r="14640" spans="6:6" x14ac:dyDescent="0.35">
      <c r="F14640"/>
    </row>
    <row r="14641" spans="6:6" x14ac:dyDescent="0.35">
      <c r="F14641"/>
    </row>
    <row r="14642" spans="6:6" x14ac:dyDescent="0.35">
      <c r="F14642"/>
    </row>
    <row r="14643" spans="6:6" x14ac:dyDescent="0.35">
      <c r="F14643"/>
    </row>
    <row r="14644" spans="6:6" x14ac:dyDescent="0.35">
      <c r="F14644"/>
    </row>
    <row r="14645" spans="6:6" x14ac:dyDescent="0.35">
      <c r="F14645"/>
    </row>
    <row r="14646" spans="6:6" x14ac:dyDescent="0.35">
      <c r="F14646"/>
    </row>
    <row r="14647" spans="6:6" x14ac:dyDescent="0.35">
      <c r="F14647"/>
    </row>
    <row r="14648" spans="6:6" x14ac:dyDescent="0.35">
      <c r="F14648"/>
    </row>
    <row r="14649" spans="6:6" x14ac:dyDescent="0.35">
      <c r="F14649"/>
    </row>
    <row r="14650" spans="6:6" x14ac:dyDescent="0.35">
      <c r="F14650"/>
    </row>
    <row r="14651" spans="6:6" x14ac:dyDescent="0.35">
      <c r="F14651"/>
    </row>
    <row r="14652" spans="6:6" x14ac:dyDescent="0.35">
      <c r="F14652"/>
    </row>
    <row r="14653" spans="6:6" x14ac:dyDescent="0.35">
      <c r="F14653"/>
    </row>
    <row r="14654" spans="6:6" x14ac:dyDescent="0.35">
      <c r="F14654"/>
    </row>
    <row r="14655" spans="6:6" x14ac:dyDescent="0.35">
      <c r="F14655"/>
    </row>
    <row r="14656" spans="6:6" x14ac:dyDescent="0.35">
      <c r="F14656"/>
    </row>
    <row r="14657" spans="6:6" x14ac:dyDescent="0.35">
      <c r="F14657"/>
    </row>
    <row r="14658" spans="6:6" x14ac:dyDescent="0.35">
      <c r="F14658"/>
    </row>
    <row r="14659" spans="6:6" x14ac:dyDescent="0.35">
      <c r="F14659"/>
    </row>
    <row r="14660" spans="6:6" x14ac:dyDescent="0.35">
      <c r="F14660"/>
    </row>
    <row r="14661" spans="6:6" x14ac:dyDescent="0.35">
      <c r="F14661"/>
    </row>
    <row r="14662" spans="6:6" x14ac:dyDescent="0.35">
      <c r="F14662"/>
    </row>
    <row r="14663" spans="6:6" x14ac:dyDescent="0.35">
      <c r="F14663"/>
    </row>
    <row r="14664" spans="6:6" x14ac:dyDescent="0.35">
      <c r="F14664"/>
    </row>
    <row r="14665" spans="6:6" x14ac:dyDescent="0.35">
      <c r="F14665"/>
    </row>
    <row r="14666" spans="6:6" x14ac:dyDescent="0.35">
      <c r="F14666"/>
    </row>
    <row r="14667" spans="6:6" x14ac:dyDescent="0.35">
      <c r="F14667"/>
    </row>
    <row r="14668" spans="6:6" x14ac:dyDescent="0.35">
      <c r="F14668"/>
    </row>
    <row r="14669" spans="6:6" x14ac:dyDescent="0.35">
      <c r="F14669"/>
    </row>
    <row r="14670" spans="6:6" x14ac:dyDescent="0.35">
      <c r="F14670"/>
    </row>
    <row r="14671" spans="6:6" x14ac:dyDescent="0.35">
      <c r="F14671"/>
    </row>
    <row r="14672" spans="6:6" x14ac:dyDescent="0.35">
      <c r="F14672"/>
    </row>
    <row r="14673" spans="6:6" x14ac:dyDescent="0.35">
      <c r="F14673"/>
    </row>
    <row r="14674" spans="6:6" x14ac:dyDescent="0.35">
      <c r="F14674"/>
    </row>
    <row r="14675" spans="6:6" x14ac:dyDescent="0.35">
      <c r="F14675"/>
    </row>
    <row r="14676" spans="6:6" x14ac:dyDescent="0.35">
      <c r="F14676"/>
    </row>
    <row r="14677" spans="6:6" x14ac:dyDescent="0.35">
      <c r="F14677"/>
    </row>
    <row r="14678" spans="6:6" x14ac:dyDescent="0.35">
      <c r="F14678"/>
    </row>
    <row r="14679" spans="6:6" x14ac:dyDescent="0.35">
      <c r="F14679"/>
    </row>
    <row r="14680" spans="6:6" x14ac:dyDescent="0.35">
      <c r="F14680"/>
    </row>
    <row r="14681" spans="6:6" x14ac:dyDescent="0.35">
      <c r="F14681"/>
    </row>
    <row r="14682" spans="6:6" x14ac:dyDescent="0.35">
      <c r="F14682"/>
    </row>
    <row r="14683" spans="6:6" x14ac:dyDescent="0.35">
      <c r="F14683"/>
    </row>
    <row r="14684" spans="6:6" x14ac:dyDescent="0.35">
      <c r="F14684"/>
    </row>
    <row r="14685" spans="6:6" x14ac:dyDescent="0.35">
      <c r="F14685"/>
    </row>
    <row r="14686" spans="6:6" x14ac:dyDescent="0.35">
      <c r="F14686"/>
    </row>
    <row r="14687" spans="6:6" x14ac:dyDescent="0.35">
      <c r="F14687"/>
    </row>
    <row r="14688" spans="6:6" x14ac:dyDescent="0.35">
      <c r="F14688"/>
    </row>
    <row r="14689" spans="6:6" x14ac:dyDescent="0.35">
      <c r="F14689"/>
    </row>
    <row r="14690" spans="6:6" x14ac:dyDescent="0.35">
      <c r="F14690"/>
    </row>
    <row r="14691" spans="6:6" x14ac:dyDescent="0.35">
      <c r="F14691"/>
    </row>
    <row r="14692" spans="6:6" x14ac:dyDescent="0.35">
      <c r="F14692"/>
    </row>
    <row r="14693" spans="6:6" x14ac:dyDescent="0.35">
      <c r="F14693"/>
    </row>
    <row r="14694" spans="6:6" x14ac:dyDescent="0.35">
      <c r="F14694"/>
    </row>
    <row r="14695" spans="6:6" x14ac:dyDescent="0.35">
      <c r="F14695"/>
    </row>
    <row r="14696" spans="6:6" x14ac:dyDescent="0.35">
      <c r="F14696"/>
    </row>
    <row r="14697" spans="6:6" x14ac:dyDescent="0.35">
      <c r="F14697"/>
    </row>
    <row r="14698" spans="6:6" x14ac:dyDescent="0.35">
      <c r="F14698"/>
    </row>
    <row r="14699" spans="6:6" x14ac:dyDescent="0.35">
      <c r="F14699"/>
    </row>
    <row r="14700" spans="6:6" x14ac:dyDescent="0.35">
      <c r="F14700"/>
    </row>
    <row r="14701" spans="6:6" x14ac:dyDescent="0.35">
      <c r="F14701"/>
    </row>
    <row r="14702" spans="6:6" x14ac:dyDescent="0.35">
      <c r="F14702"/>
    </row>
    <row r="14703" spans="6:6" x14ac:dyDescent="0.35">
      <c r="F14703"/>
    </row>
    <row r="14704" spans="6:6" x14ac:dyDescent="0.35">
      <c r="F14704"/>
    </row>
    <row r="14705" spans="6:6" x14ac:dyDescent="0.35">
      <c r="F14705"/>
    </row>
    <row r="14706" spans="6:6" x14ac:dyDescent="0.35">
      <c r="F14706"/>
    </row>
    <row r="14707" spans="6:6" x14ac:dyDescent="0.35">
      <c r="F14707"/>
    </row>
    <row r="14708" spans="6:6" x14ac:dyDescent="0.35">
      <c r="F14708"/>
    </row>
    <row r="14709" spans="6:6" x14ac:dyDescent="0.35">
      <c r="F14709"/>
    </row>
    <row r="14710" spans="6:6" x14ac:dyDescent="0.35">
      <c r="F14710"/>
    </row>
    <row r="14711" spans="6:6" x14ac:dyDescent="0.35">
      <c r="F14711"/>
    </row>
    <row r="14712" spans="6:6" x14ac:dyDescent="0.35">
      <c r="F14712"/>
    </row>
    <row r="14713" spans="6:6" x14ac:dyDescent="0.35">
      <c r="F14713"/>
    </row>
    <row r="14714" spans="6:6" x14ac:dyDescent="0.35">
      <c r="F14714"/>
    </row>
    <row r="14715" spans="6:6" x14ac:dyDescent="0.35">
      <c r="F14715"/>
    </row>
    <row r="14716" spans="6:6" x14ac:dyDescent="0.35">
      <c r="F14716"/>
    </row>
    <row r="14717" spans="6:6" x14ac:dyDescent="0.35">
      <c r="F14717"/>
    </row>
    <row r="14718" spans="6:6" x14ac:dyDescent="0.35">
      <c r="F14718"/>
    </row>
    <row r="14719" spans="6:6" x14ac:dyDescent="0.35">
      <c r="F14719"/>
    </row>
    <row r="14720" spans="6:6" x14ac:dyDescent="0.35">
      <c r="F14720"/>
    </row>
    <row r="14721" spans="6:6" x14ac:dyDescent="0.35">
      <c r="F14721"/>
    </row>
    <row r="14722" spans="6:6" x14ac:dyDescent="0.35">
      <c r="F14722"/>
    </row>
    <row r="14723" spans="6:6" x14ac:dyDescent="0.35">
      <c r="F14723"/>
    </row>
    <row r="14724" spans="6:6" x14ac:dyDescent="0.35">
      <c r="F14724"/>
    </row>
    <row r="14725" spans="6:6" x14ac:dyDescent="0.35">
      <c r="F14725"/>
    </row>
    <row r="14726" spans="6:6" x14ac:dyDescent="0.35">
      <c r="F14726"/>
    </row>
    <row r="14727" spans="6:6" x14ac:dyDescent="0.35">
      <c r="F14727"/>
    </row>
    <row r="14728" spans="6:6" x14ac:dyDescent="0.35">
      <c r="F14728"/>
    </row>
    <row r="14729" spans="6:6" x14ac:dyDescent="0.35">
      <c r="F14729"/>
    </row>
    <row r="14730" spans="6:6" x14ac:dyDescent="0.35">
      <c r="F14730"/>
    </row>
    <row r="14731" spans="6:6" x14ac:dyDescent="0.35">
      <c r="F14731"/>
    </row>
    <row r="14732" spans="6:6" x14ac:dyDescent="0.35">
      <c r="F14732"/>
    </row>
    <row r="14733" spans="6:6" x14ac:dyDescent="0.35">
      <c r="F14733"/>
    </row>
    <row r="14734" spans="6:6" x14ac:dyDescent="0.35">
      <c r="F14734"/>
    </row>
    <row r="14735" spans="6:6" x14ac:dyDescent="0.35">
      <c r="F14735"/>
    </row>
    <row r="14736" spans="6:6" x14ac:dyDescent="0.35">
      <c r="F14736"/>
    </row>
    <row r="14737" spans="6:6" x14ac:dyDescent="0.35">
      <c r="F14737"/>
    </row>
    <row r="14738" spans="6:6" x14ac:dyDescent="0.35">
      <c r="F14738"/>
    </row>
    <row r="14739" spans="6:6" x14ac:dyDescent="0.35">
      <c r="F14739"/>
    </row>
    <row r="14740" spans="6:6" x14ac:dyDescent="0.35">
      <c r="F14740"/>
    </row>
    <row r="14741" spans="6:6" x14ac:dyDescent="0.35">
      <c r="F14741"/>
    </row>
    <row r="14742" spans="6:6" x14ac:dyDescent="0.35">
      <c r="F14742"/>
    </row>
    <row r="14743" spans="6:6" x14ac:dyDescent="0.35">
      <c r="F14743"/>
    </row>
    <row r="14744" spans="6:6" x14ac:dyDescent="0.35">
      <c r="F14744"/>
    </row>
    <row r="14745" spans="6:6" x14ac:dyDescent="0.35">
      <c r="F14745"/>
    </row>
    <row r="14746" spans="6:6" x14ac:dyDescent="0.35">
      <c r="F14746"/>
    </row>
    <row r="14747" spans="6:6" x14ac:dyDescent="0.35">
      <c r="F14747"/>
    </row>
    <row r="14748" spans="6:6" x14ac:dyDescent="0.35">
      <c r="F14748"/>
    </row>
    <row r="14749" spans="6:6" x14ac:dyDescent="0.35">
      <c r="F14749"/>
    </row>
    <row r="14750" spans="6:6" x14ac:dyDescent="0.35">
      <c r="F14750"/>
    </row>
    <row r="14751" spans="6:6" x14ac:dyDescent="0.35">
      <c r="F14751"/>
    </row>
    <row r="14752" spans="6:6" x14ac:dyDescent="0.35">
      <c r="F14752"/>
    </row>
    <row r="14753" spans="6:6" x14ac:dyDescent="0.35">
      <c r="F14753"/>
    </row>
    <row r="14754" spans="6:6" x14ac:dyDescent="0.35">
      <c r="F14754"/>
    </row>
    <row r="14755" spans="6:6" x14ac:dyDescent="0.35">
      <c r="F14755"/>
    </row>
    <row r="14756" spans="6:6" x14ac:dyDescent="0.35">
      <c r="F14756"/>
    </row>
    <row r="14757" spans="6:6" x14ac:dyDescent="0.35">
      <c r="F14757"/>
    </row>
    <row r="14758" spans="6:6" x14ac:dyDescent="0.35">
      <c r="F14758"/>
    </row>
    <row r="14759" spans="6:6" x14ac:dyDescent="0.35">
      <c r="F14759"/>
    </row>
    <row r="14760" spans="6:6" x14ac:dyDescent="0.35">
      <c r="F14760"/>
    </row>
    <row r="14761" spans="6:6" x14ac:dyDescent="0.35">
      <c r="F14761"/>
    </row>
    <row r="14762" spans="6:6" x14ac:dyDescent="0.35">
      <c r="F14762"/>
    </row>
    <row r="14763" spans="6:6" x14ac:dyDescent="0.35">
      <c r="F14763"/>
    </row>
    <row r="14764" spans="6:6" x14ac:dyDescent="0.35">
      <c r="F14764"/>
    </row>
    <row r="14765" spans="6:6" x14ac:dyDescent="0.35">
      <c r="F14765"/>
    </row>
    <row r="14766" spans="6:6" x14ac:dyDescent="0.35">
      <c r="F14766"/>
    </row>
    <row r="14767" spans="6:6" x14ac:dyDescent="0.35">
      <c r="F14767"/>
    </row>
    <row r="14768" spans="6:6" x14ac:dyDescent="0.35">
      <c r="F14768"/>
    </row>
    <row r="14769" spans="6:6" x14ac:dyDescent="0.35">
      <c r="F14769"/>
    </row>
    <row r="14770" spans="6:6" x14ac:dyDescent="0.35">
      <c r="F14770"/>
    </row>
    <row r="14771" spans="6:6" x14ac:dyDescent="0.35">
      <c r="F14771"/>
    </row>
    <row r="14772" spans="6:6" x14ac:dyDescent="0.35">
      <c r="F14772"/>
    </row>
    <row r="14773" spans="6:6" x14ac:dyDescent="0.35">
      <c r="F14773"/>
    </row>
    <row r="14774" spans="6:6" x14ac:dyDescent="0.35">
      <c r="F14774"/>
    </row>
    <row r="14775" spans="6:6" x14ac:dyDescent="0.35">
      <c r="F14775"/>
    </row>
    <row r="14776" spans="6:6" x14ac:dyDescent="0.35">
      <c r="F14776"/>
    </row>
    <row r="14777" spans="6:6" x14ac:dyDescent="0.35">
      <c r="F14777"/>
    </row>
    <row r="14778" spans="6:6" x14ac:dyDescent="0.35">
      <c r="F14778"/>
    </row>
    <row r="14779" spans="6:6" x14ac:dyDescent="0.35">
      <c r="F14779"/>
    </row>
    <row r="14780" spans="6:6" x14ac:dyDescent="0.35">
      <c r="F14780"/>
    </row>
    <row r="14781" spans="6:6" x14ac:dyDescent="0.35">
      <c r="F14781"/>
    </row>
    <row r="14782" spans="6:6" x14ac:dyDescent="0.35">
      <c r="F14782"/>
    </row>
    <row r="14783" spans="6:6" x14ac:dyDescent="0.35">
      <c r="F14783"/>
    </row>
    <row r="14784" spans="6:6" x14ac:dyDescent="0.35">
      <c r="F14784"/>
    </row>
    <row r="14785" spans="6:6" x14ac:dyDescent="0.35">
      <c r="F14785"/>
    </row>
    <row r="14786" spans="6:6" x14ac:dyDescent="0.35">
      <c r="F14786"/>
    </row>
    <row r="14787" spans="6:6" x14ac:dyDescent="0.35">
      <c r="F14787"/>
    </row>
    <row r="14788" spans="6:6" x14ac:dyDescent="0.35">
      <c r="F14788"/>
    </row>
    <row r="14789" spans="6:6" x14ac:dyDescent="0.35">
      <c r="F14789"/>
    </row>
    <row r="14790" spans="6:6" x14ac:dyDescent="0.35">
      <c r="F14790"/>
    </row>
    <row r="14791" spans="6:6" x14ac:dyDescent="0.35">
      <c r="F14791"/>
    </row>
    <row r="14792" spans="6:6" x14ac:dyDescent="0.35">
      <c r="F14792"/>
    </row>
    <row r="14793" spans="6:6" x14ac:dyDescent="0.35">
      <c r="F14793"/>
    </row>
    <row r="14794" spans="6:6" x14ac:dyDescent="0.35">
      <c r="F14794"/>
    </row>
    <row r="14795" spans="6:6" x14ac:dyDescent="0.35">
      <c r="F14795"/>
    </row>
    <row r="14796" spans="6:6" x14ac:dyDescent="0.35">
      <c r="F14796"/>
    </row>
    <row r="14797" spans="6:6" x14ac:dyDescent="0.35">
      <c r="F14797"/>
    </row>
    <row r="14798" spans="6:6" x14ac:dyDescent="0.35">
      <c r="F14798"/>
    </row>
    <row r="14799" spans="6:6" x14ac:dyDescent="0.35">
      <c r="F14799"/>
    </row>
    <row r="14800" spans="6:6" x14ac:dyDescent="0.35">
      <c r="F14800"/>
    </row>
    <row r="14801" spans="6:6" x14ac:dyDescent="0.35">
      <c r="F14801"/>
    </row>
    <row r="14802" spans="6:6" x14ac:dyDescent="0.35">
      <c r="F14802"/>
    </row>
    <row r="14803" spans="6:6" x14ac:dyDescent="0.35">
      <c r="F14803"/>
    </row>
    <row r="14804" spans="6:6" x14ac:dyDescent="0.35">
      <c r="F14804"/>
    </row>
    <row r="14805" spans="6:6" x14ac:dyDescent="0.35">
      <c r="F14805"/>
    </row>
    <row r="14806" spans="6:6" x14ac:dyDescent="0.35">
      <c r="F14806"/>
    </row>
    <row r="14807" spans="6:6" x14ac:dyDescent="0.35">
      <c r="F14807"/>
    </row>
    <row r="14808" spans="6:6" x14ac:dyDescent="0.35">
      <c r="F14808"/>
    </row>
    <row r="14809" spans="6:6" x14ac:dyDescent="0.35">
      <c r="F14809"/>
    </row>
    <row r="14810" spans="6:6" x14ac:dyDescent="0.35">
      <c r="F14810"/>
    </row>
    <row r="14811" spans="6:6" x14ac:dyDescent="0.35">
      <c r="F14811"/>
    </row>
    <row r="14812" spans="6:6" x14ac:dyDescent="0.35">
      <c r="F14812"/>
    </row>
    <row r="14813" spans="6:6" x14ac:dyDescent="0.35">
      <c r="F14813"/>
    </row>
    <row r="14814" spans="6:6" x14ac:dyDescent="0.35">
      <c r="F14814"/>
    </row>
    <row r="14815" spans="6:6" x14ac:dyDescent="0.35">
      <c r="F14815"/>
    </row>
    <row r="14816" spans="6:6" x14ac:dyDescent="0.35">
      <c r="F14816"/>
    </row>
    <row r="14817" spans="6:6" x14ac:dyDescent="0.35">
      <c r="F14817"/>
    </row>
    <row r="14818" spans="6:6" x14ac:dyDescent="0.35">
      <c r="F14818"/>
    </row>
    <row r="14819" spans="6:6" x14ac:dyDescent="0.35">
      <c r="F14819"/>
    </row>
    <row r="14820" spans="6:6" x14ac:dyDescent="0.35">
      <c r="F14820"/>
    </row>
    <row r="14821" spans="6:6" x14ac:dyDescent="0.35">
      <c r="F14821"/>
    </row>
    <row r="14822" spans="6:6" x14ac:dyDescent="0.35">
      <c r="F14822"/>
    </row>
    <row r="14823" spans="6:6" x14ac:dyDescent="0.35">
      <c r="F14823"/>
    </row>
    <row r="14824" spans="6:6" x14ac:dyDescent="0.35">
      <c r="F14824"/>
    </row>
    <row r="14825" spans="6:6" x14ac:dyDescent="0.35">
      <c r="F14825"/>
    </row>
    <row r="14826" spans="6:6" x14ac:dyDescent="0.35">
      <c r="F14826"/>
    </row>
    <row r="14827" spans="6:6" x14ac:dyDescent="0.35">
      <c r="F14827"/>
    </row>
    <row r="14828" spans="6:6" x14ac:dyDescent="0.35">
      <c r="F14828"/>
    </row>
    <row r="14829" spans="6:6" x14ac:dyDescent="0.35">
      <c r="F14829"/>
    </row>
    <row r="14830" spans="6:6" x14ac:dyDescent="0.35">
      <c r="F14830"/>
    </row>
    <row r="14831" spans="6:6" x14ac:dyDescent="0.35">
      <c r="F14831"/>
    </row>
    <row r="14832" spans="6:6" x14ac:dyDescent="0.35">
      <c r="F14832"/>
    </row>
    <row r="14833" spans="6:6" x14ac:dyDescent="0.35">
      <c r="F14833"/>
    </row>
    <row r="14834" spans="6:6" x14ac:dyDescent="0.35">
      <c r="F14834"/>
    </row>
    <row r="14835" spans="6:6" x14ac:dyDescent="0.35">
      <c r="F14835"/>
    </row>
    <row r="14836" spans="6:6" x14ac:dyDescent="0.35">
      <c r="F14836"/>
    </row>
    <row r="14837" spans="6:6" x14ac:dyDescent="0.35">
      <c r="F14837"/>
    </row>
    <row r="14838" spans="6:6" x14ac:dyDescent="0.35">
      <c r="F14838"/>
    </row>
    <row r="14839" spans="6:6" x14ac:dyDescent="0.35">
      <c r="F14839"/>
    </row>
    <row r="14840" spans="6:6" x14ac:dyDescent="0.35">
      <c r="F14840"/>
    </row>
    <row r="14841" spans="6:6" x14ac:dyDescent="0.35">
      <c r="F14841"/>
    </row>
    <row r="14842" spans="6:6" x14ac:dyDescent="0.35">
      <c r="F14842"/>
    </row>
    <row r="14843" spans="6:6" x14ac:dyDescent="0.35">
      <c r="F14843"/>
    </row>
    <row r="14844" spans="6:6" x14ac:dyDescent="0.35">
      <c r="F14844"/>
    </row>
    <row r="14845" spans="6:6" x14ac:dyDescent="0.35">
      <c r="F14845"/>
    </row>
    <row r="14846" spans="6:6" x14ac:dyDescent="0.35">
      <c r="F14846"/>
    </row>
    <row r="14847" spans="6:6" x14ac:dyDescent="0.35">
      <c r="F14847"/>
    </row>
    <row r="14848" spans="6:6" x14ac:dyDescent="0.35">
      <c r="F14848"/>
    </row>
    <row r="14849" spans="6:6" x14ac:dyDescent="0.35">
      <c r="F14849"/>
    </row>
    <row r="14850" spans="6:6" x14ac:dyDescent="0.35">
      <c r="F14850"/>
    </row>
    <row r="14851" spans="6:6" x14ac:dyDescent="0.35">
      <c r="F14851"/>
    </row>
    <row r="14852" spans="6:6" x14ac:dyDescent="0.35">
      <c r="F14852"/>
    </row>
    <row r="14853" spans="6:6" x14ac:dyDescent="0.35">
      <c r="F14853"/>
    </row>
    <row r="14854" spans="6:6" x14ac:dyDescent="0.35">
      <c r="F14854"/>
    </row>
    <row r="14855" spans="6:6" x14ac:dyDescent="0.35">
      <c r="F14855"/>
    </row>
    <row r="14856" spans="6:6" x14ac:dyDescent="0.35">
      <c r="F14856"/>
    </row>
    <row r="14857" spans="6:6" x14ac:dyDescent="0.35">
      <c r="F14857"/>
    </row>
    <row r="14858" spans="6:6" x14ac:dyDescent="0.35">
      <c r="F14858"/>
    </row>
    <row r="14859" spans="6:6" x14ac:dyDescent="0.35">
      <c r="F14859"/>
    </row>
    <row r="14860" spans="6:6" x14ac:dyDescent="0.35">
      <c r="F14860"/>
    </row>
    <row r="14861" spans="6:6" x14ac:dyDescent="0.35">
      <c r="F14861"/>
    </row>
    <row r="14862" spans="6:6" x14ac:dyDescent="0.35">
      <c r="F14862"/>
    </row>
    <row r="14863" spans="6:6" x14ac:dyDescent="0.35">
      <c r="F14863"/>
    </row>
    <row r="14864" spans="6:6" x14ac:dyDescent="0.35">
      <c r="F14864"/>
    </row>
    <row r="14865" spans="6:6" x14ac:dyDescent="0.35">
      <c r="F14865"/>
    </row>
    <row r="14866" spans="6:6" x14ac:dyDescent="0.35">
      <c r="F14866"/>
    </row>
    <row r="14867" spans="6:6" x14ac:dyDescent="0.35">
      <c r="F14867"/>
    </row>
    <row r="14868" spans="6:6" x14ac:dyDescent="0.35">
      <c r="F14868"/>
    </row>
    <row r="14869" spans="6:6" x14ac:dyDescent="0.35">
      <c r="F14869"/>
    </row>
    <row r="14870" spans="6:6" x14ac:dyDescent="0.35">
      <c r="F14870"/>
    </row>
    <row r="14871" spans="6:6" x14ac:dyDescent="0.35">
      <c r="F14871"/>
    </row>
    <row r="14872" spans="6:6" x14ac:dyDescent="0.35">
      <c r="F14872"/>
    </row>
    <row r="14873" spans="6:6" x14ac:dyDescent="0.35">
      <c r="F14873"/>
    </row>
    <row r="14874" spans="6:6" x14ac:dyDescent="0.35">
      <c r="F14874"/>
    </row>
    <row r="14875" spans="6:6" x14ac:dyDescent="0.35">
      <c r="F14875"/>
    </row>
    <row r="14876" spans="6:6" x14ac:dyDescent="0.35">
      <c r="F14876"/>
    </row>
    <row r="14877" spans="6:6" x14ac:dyDescent="0.35">
      <c r="F14877"/>
    </row>
    <row r="14878" spans="6:6" x14ac:dyDescent="0.35">
      <c r="F14878"/>
    </row>
    <row r="14879" spans="6:6" x14ac:dyDescent="0.35">
      <c r="F14879"/>
    </row>
    <row r="14880" spans="6:6" x14ac:dyDescent="0.35">
      <c r="F14880"/>
    </row>
    <row r="14881" spans="6:6" x14ac:dyDescent="0.35">
      <c r="F14881"/>
    </row>
    <row r="14882" spans="6:6" x14ac:dyDescent="0.35">
      <c r="F14882"/>
    </row>
    <row r="14883" spans="6:6" x14ac:dyDescent="0.35">
      <c r="F14883"/>
    </row>
    <row r="14884" spans="6:6" x14ac:dyDescent="0.35">
      <c r="F14884"/>
    </row>
    <row r="14885" spans="6:6" x14ac:dyDescent="0.35">
      <c r="F14885"/>
    </row>
    <row r="14886" spans="6:6" x14ac:dyDescent="0.35">
      <c r="F14886"/>
    </row>
    <row r="14887" spans="6:6" x14ac:dyDescent="0.35">
      <c r="F14887"/>
    </row>
    <row r="14888" spans="6:6" x14ac:dyDescent="0.35">
      <c r="F14888"/>
    </row>
    <row r="14889" spans="6:6" x14ac:dyDescent="0.35">
      <c r="F14889"/>
    </row>
    <row r="14890" spans="6:6" x14ac:dyDescent="0.35">
      <c r="F14890"/>
    </row>
    <row r="14891" spans="6:6" x14ac:dyDescent="0.35">
      <c r="F14891"/>
    </row>
    <row r="14892" spans="6:6" x14ac:dyDescent="0.35">
      <c r="F14892"/>
    </row>
    <row r="14893" spans="6:6" x14ac:dyDescent="0.35">
      <c r="F14893"/>
    </row>
    <row r="14894" spans="6:6" x14ac:dyDescent="0.35">
      <c r="F14894"/>
    </row>
    <row r="14895" spans="6:6" x14ac:dyDescent="0.35">
      <c r="F14895"/>
    </row>
    <row r="14896" spans="6:6" x14ac:dyDescent="0.35">
      <c r="F14896"/>
    </row>
    <row r="14897" spans="6:6" x14ac:dyDescent="0.35">
      <c r="F14897"/>
    </row>
    <row r="14898" spans="6:6" x14ac:dyDescent="0.35">
      <c r="F14898"/>
    </row>
    <row r="14899" spans="6:6" x14ac:dyDescent="0.35">
      <c r="F14899"/>
    </row>
    <row r="14900" spans="6:6" x14ac:dyDescent="0.35">
      <c r="F14900"/>
    </row>
    <row r="14901" spans="6:6" x14ac:dyDescent="0.35">
      <c r="F14901"/>
    </row>
    <row r="14902" spans="6:6" x14ac:dyDescent="0.35">
      <c r="F14902"/>
    </row>
    <row r="14903" spans="6:6" x14ac:dyDescent="0.35">
      <c r="F14903"/>
    </row>
    <row r="14904" spans="6:6" x14ac:dyDescent="0.35">
      <c r="F14904"/>
    </row>
    <row r="14905" spans="6:6" x14ac:dyDescent="0.35">
      <c r="F14905"/>
    </row>
    <row r="14906" spans="6:6" x14ac:dyDescent="0.35">
      <c r="F14906"/>
    </row>
    <row r="14907" spans="6:6" x14ac:dyDescent="0.35">
      <c r="F14907"/>
    </row>
    <row r="14908" spans="6:6" x14ac:dyDescent="0.35">
      <c r="F14908"/>
    </row>
    <row r="14909" spans="6:6" x14ac:dyDescent="0.35">
      <c r="F14909"/>
    </row>
    <row r="14910" spans="6:6" x14ac:dyDescent="0.35">
      <c r="F14910"/>
    </row>
    <row r="14911" spans="6:6" x14ac:dyDescent="0.35">
      <c r="F14911"/>
    </row>
    <row r="14912" spans="6:6" x14ac:dyDescent="0.35">
      <c r="F14912"/>
    </row>
    <row r="14913" spans="6:6" x14ac:dyDescent="0.35">
      <c r="F14913"/>
    </row>
    <row r="14914" spans="6:6" x14ac:dyDescent="0.35">
      <c r="F14914"/>
    </row>
    <row r="14915" spans="6:6" x14ac:dyDescent="0.35">
      <c r="F14915"/>
    </row>
    <row r="14916" spans="6:6" x14ac:dyDescent="0.35">
      <c r="F14916"/>
    </row>
    <row r="14917" spans="6:6" x14ac:dyDescent="0.35">
      <c r="F14917"/>
    </row>
    <row r="14918" spans="6:6" x14ac:dyDescent="0.35">
      <c r="F14918"/>
    </row>
    <row r="14919" spans="6:6" x14ac:dyDescent="0.35">
      <c r="F14919"/>
    </row>
    <row r="14920" spans="6:6" x14ac:dyDescent="0.35">
      <c r="F14920"/>
    </row>
    <row r="14921" spans="6:6" x14ac:dyDescent="0.35">
      <c r="F14921"/>
    </row>
    <row r="14922" spans="6:6" x14ac:dyDescent="0.35">
      <c r="F14922"/>
    </row>
    <row r="14923" spans="6:6" x14ac:dyDescent="0.35">
      <c r="F14923"/>
    </row>
    <row r="14924" spans="6:6" x14ac:dyDescent="0.35">
      <c r="F14924"/>
    </row>
    <row r="14925" spans="6:6" x14ac:dyDescent="0.35">
      <c r="F14925"/>
    </row>
    <row r="14926" spans="6:6" x14ac:dyDescent="0.35">
      <c r="F14926"/>
    </row>
    <row r="14927" spans="6:6" x14ac:dyDescent="0.35">
      <c r="F14927"/>
    </row>
    <row r="14928" spans="6:6" x14ac:dyDescent="0.35">
      <c r="F14928"/>
    </row>
    <row r="14929" spans="6:6" x14ac:dyDescent="0.35">
      <c r="F14929"/>
    </row>
    <row r="14930" spans="6:6" x14ac:dyDescent="0.35">
      <c r="F14930"/>
    </row>
    <row r="14931" spans="6:6" x14ac:dyDescent="0.35">
      <c r="F14931"/>
    </row>
    <row r="14932" spans="6:6" x14ac:dyDescent="0.35">
      <c r="F14932"/>
    </row>
    <row r="14933" spans="6:6" x14ac:dyDescent="0.35">
      <c r="F14933"/>
    </row>
    <row r="14934" spans="6:6" x14ac:dyDescent="0.35">
      <c r="F14934"/>
    </row>
    <row r="14935" spans="6:6" x14ac:dyDescent="0.35">
      <c r="F14935"/>
    </row>
    <row r="14936" spans="6:6" x14ac:dyDescent="0.35">
      <c r="F14936"/>
    </row>
    <row r="14937" spans="6:6" x14ac:dyDescent="0.35">
      <c r="F14937"/>
    </row>
    <row r="14938" spans="6:6" x14ac:dyDescent="0.35">
      <c r="F14938"/>
    </row>
    <row r="14939" spans="6:6" x14ac:dyDescent="0.35">
      <c r="F14939"/>
    </row>
    <row r="14940" spans="6:6" x14ac:dyDescent="0.35">
      <c r="F14940"/>
    </row>
    <row r="14941" spans="6:6" x14ac:dyDescent="0.35">
      <c r="F14941"/>
    </row>
    <row r="14942" spans="6:6" x14ac:dyDescent="0.35">
      <c r="F14942"/>
    </row>
    <row r="14943" spans="6:6" x14ac:dyDescent="0.35">
      <c r="F14943"/>
    </row>
    <row r="14944" spans="6:6" x14ac:dyDescent="0.35">
      <c r="F14944"/>
    </row>
    <row r="14945" spans="6:6" x14ac:dyDescent="0.35">
      <c r="F14945"/>
    </row>
    <row r="14946" spans="6:6" x14ac:dyDescent="0.35">
      <c r="F14946"/>
    </row>
    <row r="14947" spans="6:6" x14ac:dyDescent="0.35">
      <c r="F14947"/>
    </row>
    <row r="14948" spans="6:6" x14ac:dyDescent="0.35">
      <c r="F14948"/>
    </row>
    <row r="14949" spans="6:6" x14ac:dyDescent="0.35">
      <c r="F14949"/>
    </row>
    <row r="14950" spans="6:6" x14ac:dyDescent="0.35">
      <c r="F14950"/>
    </row>
    <row r="14951" spans="6:6" x14ac:dyDescent="0.35">
      <c r="F14951"/>
    </row>
    <row r="14952" spans="6:6" x14ac:dyDescent="0.35">
      <c r="F14952"/>
    </row>
    <row r="14953" spans="6:6" x14ac:dyDescent="0.35">
      <c r="F14953"/>
    </row>
    <row r="14954" spans="6:6" x14ac:dyDescent="0.35">
      <c r="F14954"/>
    </row>
    <row r="14955" spans="6:6" x14ac:dyDescent="0.35">
      <c r="F14955"/>
    </row>
    <row r="14956" spans="6:6" x14ac:dyDescent="0.35">
      <c r="F14956"/>
    </row>
    <row r="14957" spans="6:6" x14ac:dyDescent="0.35">
      <c r="F14957"/>
    </row>
    <row r="14958" spans="6:6" x14ac:dyDescent="0.35">
      <c r="F14958"/>
    </row>
    <row r="14959" spans="6:6" x14ac:dyDescent="0.35">
      <c r="F14959"/>
    </row>
    <row r="14960" spans="6:6" x14ac:dyDescent="0.35">
      <c r="F14960"/>
    </row>
    <row r="14961" spans="6:6" x14ac:dyDescent="0.35">
      <c r="F14961"/>
    </row>
    <row r="14962" spans="6:6" x14ac:dyDescent="0.35">
      <c r="F14962"/>
    </row>
    <row r="14963" spans="6:6" x14ac:dyDescent="0.35">
      <c r="F14963"/>
    </row>
    <row r="14964" spans="6:6" x14ac:dyDescent="0.35">
      <c r="F14964"/>
    </row>
    <row r="14965" spans="6:6" x14ac:dyDescent="0.35">
      <c r="F14965"/>
    </row>
    <row r="14966" spans="6:6" x14ac:dyDescent="0.35">
      <c r="F14966"/>
    </row>
    <row r="14967" spans="6:6" x14ac:dyDescent="0.35">
      <c r="F14967"/>
    </row>
    <row r="14968" spans="6:6" x14ac:dyDescent="0.35">
      <c r="F14968"/>
    </row>
    <row r="14969" spans="6:6" x14ac:dyDescent="0.35">
      <c r="F14969"/>
    </row>
    <row r="14970" spans="6:6" x14ac:dyDescent="0.35">
      <c r="F14970"/>
    </row>
    <row r="14971" spans="6:6" x14ac:dyDescent="0.35">
      <c r="F14971"/>
    </row>
    <row r="14972" spans="6:6" x14ac:dyDescent="0.35">
      <c r="F14972"/>
    </row>
    <row r="14973" spans="6:6" x14ac:dyDescent="0.35">
      <c r="F14973"/>
    </row>
    <row r="14974" spans="6:6" x14ac:dyDescent="0.35">
      <c r="F14974"/>
    </row>
    <row r="14975" spans="6:6" x14ac:dyDescent="0.35">
      <c r="F14975"/>
    </row>
    <row r="14976" spans="6:6" x14ac:dyDescent="0.35">
      <c r="F14976"/>
    </row>
    <row r="14977" spans="6:6" x14ac:dyDescent="0.35">
      <c r="F14977"/>
    </row>
    <row r="14978" spans="6:6" x14ac:dyDescent="0.35">
      <c r="F14978"/>
    </row>
    <row r="14979" spans="6:6" x14ac:dyDescent="0.35">
      <c r="F14979"/>
    </row>
    <row r="14980" spans="6:6" x14ac:dyDescent="0.35">
      <c r="F14980"/>
    </row>
    <row r="14981" spans="6:6" x14ac:dyDescent="0.35">
      <c r="F14981"/>
    </row>
    <row r="14982" spans="6:6" x14ac:dyDescent="0.35">
      <c r="F14982"/>
    </row>
    <row r="14983" spans="6:6" x14ac:dyDescent="0.35">
      <c r="F14983"/>
    </row>
    <row r="14984" spans="6:6" x14ac:dyDescent="0.35">
      <c r="F14984"/>
    </row>
    <row r="14985" spans="6:6" x14ac:dyDescent="0.35">
      <c r="F14985"/>
    </row>
    <row r="14986" spans="6:6" x14ac:dyDescent="0.35">
      <c r="F14986"/>
    </row>
    <row r="14987" spans="6:6" x14ac:dyDescent="0.35">
      <c r="F14987"/>
    </row>
    <row r="14988" spans="6:6" x14ac:dyDescent="0.35">
      <c r="F14988"/>
    </row>
    <row r="14989" spans="6:6" x14ac:dyDescent="0.35">
      <c r="F14989"/>
    </row>
    <row r="14990" spans="6:6" x14ac:dyDescent="0.35">
      <c r="F14990"/>
    </row>
    <row r="14991" spans="6:6" x14ac:dyDescent="0.35">
      <c r="F14991"/>
    </row>
    <row r="14992" spans="6:6" x14ac:dyDescent="0.35">
      <c r="F14992"/>
    </row>
    <row r="14993" spans="6:6" x14ac:dyDescent="0.35">
      <c r="F14993"/>
    </row>
    <row r="14994" spans="6:6" x14ac:dyDescent="0.35">
      <c r="F14994"/>
    </row>
    <row r="14995" spans="6:6" x14ac:dyDescent="0.35">
      <c r="F14995"/>
    </row>
    <row r="14996" spans="6:6" x14ac:dyDescent="0.35">
      <c r="F14996"/>
    </row>
    <row r="14997" spans="6:6" x14ac:dyDescent="0.35">
      <c r="F14997"/>
    </row>
    <row r="14998" spans="6:6" x14ac:dyDescent="0.35">
      <c r="F14998"/>
    </row>
    <row r="14999" spans="6:6" x14ac:dyDescent="0.35">
      <c r="F14999"/>
    </row>
    <row r="15000" spans="6:6" x14ac:dyDescent="0.35">
      <c r="F15000"/>
    </row>
    <row r="15001" spans="6:6" x14ac:dyDescent="0.35">
      <c r="F15001"/>
    </row>
    <row r="15002" spans="6:6" x14ac:dyDescent="0.35">
      <c r="F15002"/>
    </row>
    <row r="15003" spans="6:6" x14ac:dyDescent="0.35">
      <c r="F15003"/>
    </row>
    <row r="15004" spans="6:6" x14ac:dyDescent="0.35">
      <c r="F15004"/>
    </row>
    <row r="15005" spans="6:6" x14ac:dyDescent="0.35">
      <c r="F15005"/>
    </row>
    <row r="15006" spans="6:6" x14ac:dyDescent="0.35">
      <c r="F15006"/>
    </row>
    <row r="15007" spans="6:6" x14ac:dyDescent="0.35">
      <c r="F15007"/>
    </row>
    <row r="15008" spans="6:6" x14ac:dyDescent="0.35">
      <c r="F15008"/>
    </row>
    <row r="15009" spans="6:6" x14ac:dyDescent="0.35">
      <c r="F15009"/>
    </row>
    <row r="15010" spans="6:6" x14ac:dyDescent="0.35">
      <c r="F15010"/>
    </row>
    <row r="15011" spans="6:6" x14ac:dyDescent="0.35">
      <c r="F15011"/>
    </row>
    <row r="15012" spans="6:6" x14ac:dyDescent="0.35">
      <c r="F15012"/>
    </row>
    <row r="15013" spans="6:6" x14ac:dyDescent="0.35">
      <c r="F15013"/>
    </row>
    <row r="15014" spans="6:6" x14ac:dyDescent="0.35">
      <c r="F15014"/>
    </row>
    <row r="15015" spans="6:6" x14ac:dyDescent="0.35">
      <c r="F15015"/>
    </row>
    <row r="15016" spans="6:6" x14ac:dyDescent="0.35">
      <c r="F15016"/>
    </row>
    <row r="15017" spans="6:6" x14ac:dyDescent="0.35">
      <c r="F15017"/>
    </row>
    <row r="15018" spans="6:6" x14ac:dyDescent="0.35">
      <c r="F15018"/>
    </row>
    <row r="15019" spans="6:6" x14ac:dyDescent="0.35">
      <c r="F15019"/>
    </row>
    <row r="15020" spans="6:6" x14ac:dyDescent="0.35">
      <c r="F15020"/>
    </row>
    <row r="15021" spans="6:6" x14ac:dyDescent="0.35">
      <c r="F15021"/>
    </row>
    <row r="15022" spans="6:6" x14ac:dyDescent="0.35">
      <c r="F15022"/>
    </row>
    <row r="15023" spans="6:6" x14ac:dyDescent="0.35">
      <c r="F15023"/>
    </row>
    <row r="15024" spans="6:6" x14ac:dyDescent="0.35">
      <c r="F15024"/>
    </row>
    <row r="15025" spans="6:6" x14ac:dyDescent="0.35">
      <c r="F15025"/>
    </row>
    <row r="15026" spans="6:6" x14ac:dyDescent="0.35">
      <c r="F15026"/>
    </row>
    <row r="15027" spans="6:6" x14ac:dyDescent="0.35">
      <c r="F15027"/>
    </row>
    <row r="15028" spans="6:6" x14ac:dyDescent="0.35">
      <c r="F15028"/>
    </row>
    <row r="15029" spans="6:6" x14ac:dyDescent="0.35">
      <c r="F15029"/>
    </row>
    <row r="15030" spans="6:6" x14ac:dyDescent="0.35">
      <c r="F15030"/>
    </row>
    <row r="15031" spans="6:6" x14ac:dyDescent="0.35">
      <c r="F15031"/>
    </row>
    <row r="15032" spans="6:6" x14ac:dyDescent="0.35">
      <c r="F15032"/>
    </row>
    <row r="15033" spans="6:6" x14ac:dyDescent="0.35">
      <c r="F15033"/>
    </row>
    <row r="15034" spans="6:6" x14ac:dyDescent="0.35">
      <c r="F15034"/>
    </row>
    <row r="15035" spans="6:6" x14ac:dyDescent="0.35">
      <c r="F15035"/>
    </row>
    <row r="15036" spans="6:6" x14ac:dyDescent="0.35">
      <c r="F15036"/>
    </row>
    <row r="15037" spans="6:6" x14ac:dyDescent="0.35">
      <c r="F15037"/>
    </row>
    <row r="15038" spans="6:6" x14ac:dyDescent="0.35">
      <c r="F15038"/>
    </row>
    <row r="15039" spans="6:6" x14ac:dyDescent="0.35">
      <c r="F15039"/>
    </row>
    <row r="15040" spans="6:6" x14ac:dyDescent="0.35">
      <c r="F15040"/>
    </row>
    <row r="15041" spans="6:6" x14ac:dyDescent="0.35">
      <c r="F15041"/>
    </row>
    <row r="15042" spans="6:6" x14ac:dyDescent="0.35">
      <c r="F15042"/>
    </row>
    <row r="15043" spans="6:6" x14ac:dyDescent="0.35">
      <c r="F15043"/>
    </row>
    <row r="15044" spans="6:6" x14ac:dyDescent="0.35">
      <c r="F15044"/>
    </row>
    <row r="15045" spans="6:6" x14ac:dyDescent="0.35">
      <c r="F15045"/>
    </row>
    <row r="15046" spans="6:6" x14ac:dyDescent="0.35">
      <c r="F15046"/>
    </row>
    <row r="15047" spans="6:6" x14ac:dyDescent="0.35">
      <c r="F15047"/>
    </row>
    <row r="15048" spans="6:6" x14ac:dyDescent="0.35">
      <c r="F15048"/>
    </row>
    <row r="15049" spans="6:6" x14ac:dyDescent="0.35">
      <c r="F15049"/>
    </row>
    <row r="15050" spans="6:6" x14ac:dyDescent="0.35">
      <c r="F15050"/>
    </row>
    <row r="15051" spans="6:6" x14ac:dyDescent="0.35">
      <c r="F15051"/>
    </row>
    <row r="15052" spans="6:6" x14ac:dyDescent="0.35">
      <c r="F15052"/>
    </row>
    <row r="15053" spans="6:6" x14ac:dyDescent="0.35">
      <c r="F15053"/>
    </row>
    <row r="15054" spans="6:6" x14ac:dyDescent="0.35">
      <c r="F15054"/>
    </row>
    <row r="15055" spans="6:6" x14ac:dyDescent="0.35">
      <c r="F15055"/>
    </row>
    <row r="15056" spans="6:6" x14ac:dyDescent="0.35">
      <c r="F15056"/>
    </row>
    <row r="15057" spans="6:6" x14ac:dyDescent="0.35">
      <c r="F15057"/>
    </row>
    <row r="15058" spans="6:6" x14ac:dyDescent="0.35">
      <c r="F15058"/>
    </row>
    <row r="15059" spans="6:6" x14ac:dyDescent="0.35">
      <c r="F15059"/>
    </row>
    <row r="15060" spans="6:6" x14ac:dyDescent="0.35">
      <c r="F15060"/>
    </row>
    <row r="15061" spans="6:6" x14ac:dyDescent="0.35">
      <c r="F15061"/>
    </row>
    <row r="15062" spans="6:6" x14ac:dyDescent="0.35">
      <c r="F15062"/>
    </row>
    <row r="15063" spans="6:6" x14ac:dyDescent="0.35">
      <c r="F15063"/>
    </row>
    <row r="15064" spans="6:6" x14ac:dyDescent="0.35">
      <c r="F15064"/>
    </row>
    <row r="15065" spans="6:6" x14ac:dyDescent="0.35">
      <c r="F15065"/>
    </row>
    <row r="15066" spans="6:6" x14ac:dyDescent="0.35">
      <c r="F15066"/>
    </row>
    <row r="15067" spans="6:6" x14ac:dyDescent="0.35">
      <c r="F15067"/>
    </row>
    <row r="15068" spans="6:6" x14ac:dyDescent="0.35">
      <c r="F15068"/>
    </row>
    <row r="15069" spans="6:6" x14ac:dyDescent="0.35">
      <c r="F15069"/>
    </row>
    <row r="15070" spans="6:6" x14ac:dyDescent="0.35">
      <c r="F15070"/>
    </row>
    <row r="15071" spans="6:6" x14ac:dyDescent="0.35">
      <c r="F15071"/>
    </row>
    <row r="15072" spans="6:6" x14ac:dyDescent="0.35">
      <c r="F15072"/>
    </row>
    <row r="15073" spans="6:6" x14ac:dyDescent="0.35">
      <c r="F15073"/>
    </row>
    <row r="15074" spans="6:6" x14ac:dyDescent="0.35">
      <c r="F15074"/>
    </row>
    <row r="15075" spans="6:6" x14ac:dyDescent="0.35">
      <c r="F15075"/>
    </row>
    <row r="15076" spans="6:6" x14ac:dyDescent="0.35">
      <c r="F15076"/>
    </row>
    <row r="15077" spans="6:6" x14ac:dyDescent="0.35">
      <c r="F15077"/>
    </row>
    <row r="15078" spans="6:6" x14ac:dyDescent="0.35">
      <c r="F15078"/>
    </row>
    <row r="15079" spans="6:6" x14ac:dyDescent="0.35">
      <c r="F15079"/>
    </row>
    <row r="15080" spans="6:6" x14ac:dyDescent="0.35">
      <c r="F15080"/>
    </row>
    <row r="15081" spans="6:6" x14ac:dyDescent="0.35">
      <c r="F15081"/>
    </row>
    <row r="15082" spans="6:6" x14ac:dyDescent="0.35">
      <c r="F15082"/>
    </row>
    <row r="15083" spans="6:6" x14ac:dyDescent="0.35">
      <c r="F15083"/>
    </row>
    <row r="15084" spans="6:6" x14ac:dyDescent="0.35">
      <c r="F15084"/>
    </row>
    <row r="15085" spans="6:6" x14ac:dyDescent="0.35">
      <c r="F15085"/>
    </row>
    <row r="15086" spans="6:6" x14ac:dyDescent="0.35">
      <c r="F15086"/>
    </row>
    <row r="15087" spans="6:6" x14ac:dyDescent="0.35">
      <c r="F15087"/>
    </row>
    <row r="15088" spans="6:6" x14ac:dyDescent="0.35">
      <c r="F15088"/>
    </row>
    <row r="15089" spans="6:6" x14ac:dyDescent="0.35">
      <c r="F15089"/>
    </row>
    <row r="15090" spans="6:6" x14ac:dyDescent="0.35">
      <c r="F15090"/>
    </row>
    <row r="15091" spans="6:6" x14ac:dyDescent="0.35">
      <c r="F15091"/>
    </row>
    <row r="15092" spans="6:6" x14ac:dyDescent="0.35">
      <c r="F15092"/>
    </row>
    <row r="15093" spans="6:6" x14ac:dyDescent="0.35">
      <c r="F15093"/>
    </row>
    <row r="15094" spans="6:6" x14ac:dyDescent="0.35">
      <c r="F15094"/>
    </row>
    <row r="15095" spans="6:6" x14ac:dyDescent="0.35">
      <c r="F15095"/>
    </row>
    <row r="15096" spans="6:6" x14ac:dyDescent="0.35">
      <c r="F15096"/>
    </row>
    <row r="15097" spans="6:6" x14ac:dyDescent="0.35">
      <c r="F15097"/>
    </row>
    <row r="15098" spans="6:6" x14ac:dyDescent="0.35">
      <c r="F15098"/>
    </row>
    <row r="15099" spans="6:6" x14ac:dyDescent="0.35">
      <c r="F15099"/>
    </row>
    <row r="15100" spans="6:6" x14ac:dyDescent="0.35">
      <c r="F15100"/>
    </row>
    <row r="15101" spans="6:6" x14ac:dyDescent="0.35">
      <c r="F15101"/>
    </row>
    <row r="15102" spans="6:6" x14ac:dyDescent="0.35">
      <c r="F15102"/>
    </row>
    <row r="15103" spans="6:6" x14ac:dyDescent="0.35">
      <c r="F15103"/>
    </row>
    <row r="15104" spans="6:6" x14ac:dyDescent="0.35">
      <c r="F15104"/>
    </row>
    <row r="15105" spans="6:6" x14ac:dyDescent="0.35">
      <c r="F15105"/>
    </row>
    <row r="15106" spans="6:6" x14ac:dyDescent="0.35">
      <c r="F15106"/>
    </row>
    <row r="15107" spans="6:6" x14ac:dyDescent="0.35">
      <c r="F15107"/>
    </row>
    <row r="15108" spans="6:6" x14ac:dyDescent="0.35">
      <c r="F15108"/>
    </row>
    <row r="15109" spans="6:6" x14ac:dyDescent="0.35">
      <c r="F15109"/>
    </row>
    <row r="15110" spans="6:6" x14ac:dyDescent="0.35">
      <c r="F15110"/>
    </row>
    <row r="15111" spans="6:6" x14ac:dyDescent="0.35">
      <c r="F15111"/>
    </row>
    <row r="15112" spans="6:6" x14ac:dyDescent="0.35">
      <c r="F15112"/>
    </row>
    <row r="15113" spans="6:6" x14ac:dyDescent="0.35">
      <c r="F15113"/>
    </row>
    <row r="15114" spans="6:6" x14ac:dyDescent="0.35">
      <c r="F15114"/>
    </row>
    <row r="15115" spans="6:6" x14ac:dyDescent="0.35">
      <c r="F15115"/>
    </row>
    <row r="15116" spans="6:6" x14ac:dyDescent="0.35">
      <c r="F15116"/>
    </row>
    <row r="15117" spans="6:6" x14ac:dyDescent="0.35">
      <c r="F15117"/>
    </row>
    <row r="15118" spans="6:6" x14ac:dyDescent="0.35">
      <c r="F15118"/>
    </row>
    <row r="15119" spans="6:6" x14ac:dyDescent="0.35">
      <c r="F15119"/>
    </row>
    <row r="15120" spans="6:6" x14ac:dyDescent="0.35">
      <c r="F15120"/>
    </row>
    <row r="15121" spans="6:6" x14ac:dyDescent="0.35">
      <c r="F15121"/>
    </row>
    <row r="15122" spans="6:6" x14ac:dyDescent="0.35">
      <c r="F15122"/>
    </row>
    <row r="15123" spans="6:6" x14ac:dyDescent="0.35">
      <c r="F15123"/>
    </row>
    <row r="15124" spans="6:6" x14ac:dyDescent="0.35">
      <c r="F15124"/>
    </row>
    <row r="15125" spans="6:6" x14ac:dyDescent="0.35">
      <c r="F15125"/>
    </row>
    <row r="15126" spans="6:6" x14ac:dyDescent="0.35">
      <c r="F15126"/>
    </row>
    <row r="15127" spans="6:6" x14ac:dyDescent="0.35">
      <c r="F15127"/>
    </row>
    <row r="15128" spans="6:6" x14ac:dyDescent="0.35">
      <c r="F15128"/>
    </row>
    <row r="15129" spans="6:6" x14ac:dyDescent="0.35">
      <c r="F15129"/>
    </row>
    <row r="15130" spans="6:6" x14ac:dyDescent="0.35">
      <c r="F15130"/>
    </row>
    <row r="15131" spans="6:6" x14ac:dyDescent="0.35">
      <c r="F15131"/>
    </row>
    <row r="15132" spans="6:6" x14ac:dyDescent="0.35">
      <c r="F15132"/>
    </row>
    <row r="15133" spans="6:6" x14ac:dyDescent="0.35">
      <c r="F15133"/>
    </row>
    <row r="15134" spans="6:6" x14ac:dyDescent="0.35">
      <c r="F15134"/>
    </row>
    <row r="15135" spans="6:6" x14ac:dyDescent="0.35">
      <c r="F15135"/>
    </row>
    <row r="15136" spans="6:6" x14ac:dyDescent="0.35">
      <c r="F15136"/>
    </row>
    <row r="15137" spans="6:6" x14ac:dyDescent="0.35">
      <c r="F15137"/>
    </row>
    <row r="15138" spans="6:6" x14ac:dyDescent="0.35">
      <c r="F15138"/>
    </row>
    <row r="15139" spans="6:6" x14ac:dyDescent="0.35">
      <c r="F15139"/>
    </row>
    <row r="15140" spans="6:6" x14ac:dyDescent="0.35">
      <c r="F15140"/>
    </row>
    <row r="15141" spans="6:6" x14ac:dyDescent="0.35">
      <c r="F15141"/>
    </row>
    <row r="15142" spans="6:6" x14ac:dyDescent="0.35">
      <c r="F15142"/>
    </row>
    <row r="15143" spans="6:6" x14ac:dyDescent="0.35">
      <c r="F15143"/>
    </row>
    <row r="15144" spans="6:6" x14ac:dyDescent="0.35">
      <c r="F15144"/>
    </row>
    <row r="15145" spans="6:6" x14ac:dyDescent="0.35">
      <c r="F15145"/>
    </row>
    <row r="15146" spans="6:6" x14ac:dyDescent="0.35">
      <c r="F15146"/>
    </row>
    <row r="15147" spans="6:6" x14ac:dyDescent="0.35">
      <c r="F15147"/>
    </row>
    <row r="15148" spans="6:6" x14ac:dyDescent="0.35">
      <c r="F15148"/>
    </row>
    <row r="15149" spans="6:6" x14ac:dyDescent="0.35">
      <c r="F15149"/>
    </row>
    <row r="15150" spans="6:6" x14ac:dyDescent="0.35">
      <c r="F15150"/>
    </row>
    <row r="15151" spans="6:6" x14ac:dyDescent="0.35">
      <c r="F15151"/>
    </row>
    <row r="15152" spans="6:6" x14ac:dyDescent="0.35">
      <c r="F15152"/>
    </row>
    <row r="15153" spans="6:6" x14ac:dyDescent="0.35">
      <c r="F15153"/>
    </row>
    <row r="15154" spans="6:6" x14ac:dyDescent="0.35">
      <c r="F15154"/>
    </row>
    <row r="15155" spans="6:6" x14ac:dyDescent="0.35">
      <c r="F15155"/>
    </row>
    <row r="15156" spans="6:6" x14ac:dyDescent="0.35">
      <c r="F15156"/>
    </row>
    <row r="15157" spans="6:6" x14ac:dyDescent="0.35">
      <c r="F15157"/>
    </row>
    <row r="15158" spans="6:6" x14ac:dyDescent="0.35">
      <c r="F15158"/>
    </row>
    <row r="15159" spans="6:6" x14ac:dyDescent="0.35">
      <c r="F15159"/>
    </row>
    <row r="15160" spans="6:6" x14ac:dyDescent="0.35">
      <c r="F15160"/>
    </row>
    <row r="15161" spans="6:6" x14ac:dyDescent="0.35">
      <c r="F15161"/>
    </row>
    <row r="15162" spans="6:6" x14ac:dyDescent="0.35">
      <c r="F15162"/>
    </row>
    <row r="15163" spans="6:6" x14ac:dyDescent="0.35">
      <c r="F15163"/>
    </row>
    <row r="15164" spans="6:6" x14ac:dyDescent="0.35">
      <c r="F15164"/>
    </row>
    <row r="15165" spans="6:6" x14ac:dyDescent="0.35">
      <c r="F15165"/>
    </row>
    <row r="15166" spans="6:6" x14ac:dyDescent="0.35">
      <c r="F15166"/>
    </row>
    <row r="15167" spans="6:6" x14ac:dyDescent="0.35">
      <c r="F15167"/>
    </row>
    <row r="15168" spans="6:6" x14ac:dyDescent="0.35">
      <c r="F15168"/>
    </row>
    <row r="15169" spans="6:6" x14ac:dyDescent="0.35">
      <c r="F15169"/>
    </row>
    <row r="15170" spans="6:6" x14ac:dyDescent="0.35">
      <c r="F15170"/>
    </row>
    <row r="15171" spans="6:6" x14ac:dyDescent="0.35">
      <c r="F15171"/>
    </row>
    <row r="15172" spans="6:6" x14ac:dyDescent="0.35">
      <c r="F15172"/>
    </row>
    <row r="15173" spans="6:6" x14ac:dyDescent="0.35">
      <c r="F15173"/>
    </row>
    <row r="15174" spans="6:6" x14ac:dyDescent="0.35">
      <c r="F15174"/>
    </row>
    <row r="15175" spans="6:6" x14ac:dyDescent="0.35">
      <c r="F15175"/>
    </row>
    <row r="15176" spans="6:6" x14ac:dyDescent="0.35">
      <c r="F15176"/>
    </row>
    <row r="15177" spans="6:6" x14ac:dyDescent="0.35">
      <c r="F15177"/>
    </row>
    <row r="15178" spans="6:6" x14ac:dyDescent="0.35">
      <c r="F15178"/>
    </row>
    <row r="15179" spans="6:6" x14ac:dyDescent="0.35">
      <c r="F15179"/>
    </row>
    <row r="15180" spans="6:6" x14ac:dyDescent="0.35">
      <c r="F15180"/>
    </row>
    <row r="15181" spans="6:6" x14ac:dyDescent="0.35">
      <c r="F15181"/>
    </row>
    <row r="15182" spans="6:6" x14ac:dyDescent="0.35">
      <c r="F15182"/>
    </row>
    <row r="15183" spans="6:6" x14ac:dyDescent="0.35">
      <c r="F15183"/>
    </row>
    <row r="15184" spans="6:6" x14ac:dyDescent="0.35">
      <c r="F15184"/>
    </row>
    <row r="15185" spans="6:6" x14ac:dyDescent="0.35">
      <c r="F15185"/>
    </row>
    <row r="15186" spans="6:6" x14ac:dyDescent="0.35">
      <c r="F15186"/>
    </row>
    <row r="15187" spans="6:6" x14ac:dyDescent="0.35">
      <c r="F15187"/>
    </row>
    <row r="15188" spans="6:6" x14ac:dyDescent="0.35">
      <c r="F15188"/>
    </row>
    <row r="15189" spans="6:6" x14ac:dyDescent="0.35">
      <c r="F15189"/>
    </row>
    <row r="15190" spans="6:6" x14ac:dyDescent="0.35">
      <c r="F15190"/>
    </row>
    <row r="15191" spans="6:6" x14ac:dyDescent="0.35">
      <c r="F15191"/>
    </row>
    <row r="15192" spans="6:6" x14ac:dyDescent="0.35">
      <c r="F15192"/>
    </row>
    <row r="15193" spans="6:6" x14ac:dyDescent="0.35">
      <c r="F15193"/>
    </row>
    <row r="15194" spans="6:6" x14ac:dyDescent="0.35">
      <c r="F15194"/>
    </row>
    <row r="15195" spans="6:6" x14ac:dyDescent="0.35">
      <c r="F15195"/>
    </row>
    <row r="15196" spans="6:6" x14ac:dyDescent="0.35">
      <c r="F15196"/>
    </row>
    <row r="15197" spans="6:6" x14ac:dyDescent="0.35">
      <c r="F15197"/>
    </row>
    <row r="15198" spans="6:6" x14ac:dyDescent="0.35">
      <c r="F15198"/>
    </row>
    <row r="15199" spans="6:6" x14ac:dyDescent="0.35">
      <c r="F15199"/>
    </row>
    <row r="15200" spans="6:6" x14ac:dyDescent="0.35">
      <c r="F15200"/>
    </row>
    <row r="15201" spans="6:6" x14ac:dyDescent="0.35">
      <c r="F15201"/>
    </row>
    <row r="15202" spans="6:6" x14ac:dyDescent="0.35">
      <c r="F15202"/>
    </row>
    <row r="15203" spans="6:6" x14ac:dyDescent="0.35">
      <c r="F15203"/>
    </row>
    <row r="15204" spans="6:6" x14ac:dyDescent="0.35">
      <c r="F15204"/>
    </row>
    <row r="15205" spans="6:6" x14ac:dyDescent="0.35">
      <c r="F15205"/>
    </row>
    <row r="15206" spans="6:6" x14ac:dyDescent="0.35">
      <c r="F15206"/>
    </row>
    <row r="15207" spans="6:6" x14ac:dyDescent="0.35">
      <c r="F15207"/>
    </row>
    <row r="15208" spans="6:6" x14ac:dyDescent="0.35">
      <c r="F15208"/>
    </row>
    <row r="15209" spans="6:6" x14ac:dyDescent="0.35">
      <c r="F15209"/>
    </row>
    <row r="15210" spans="6:6" x14ac:dyDescent="0.35">
      <c r="F15210"/>
    </row>
    <row r="15211" spans="6:6" x14ac:dyDescent="0.35">
      <c r="F15211"/>
    </row>
    <row r="15212" spans="6:6" x14ac:dyDescent="0.35">
      <c r="F15212"/>
    </row>
    <row r="15213" spans="6:6" x14ac:dyDescent="0.35">
      <c r="F15213"/>
    </row>
    <row r="15214" spans="6:6" x14ac:dyDescent="0.35">
      <c r="F15214"/>
    </row>
    <row r="15215" spans="6:6" x14ac:dyDescent="0.35">
      <c r="F15215"/>
    </row>
    <row r="15216" spans="6:6" x14ac:dyDescent="0.35">
      <c r="F15216"/>
    </row>
    <row r="15217" spans="6:6" x14ac:dyDescent="0.35">
      <c r="F15217"/>
    </row>
    <row r="15218" spans="6:6" x14ac:dyDescent="0.35">
      <c r="F15218"/>
    </row>
    <row r="15219" spans="6:6" x14ac:dyDescent="0.35">
      <c r="F15219"/>
    </row>
    <row r="15220" spans="6:6" x14ac:dyDescent="0.35">
      <c r="F15220"/>
    </row>
    <row r="15221" spans="6:6" x14ac:dyDescent="0.35">
      <c r="F15221"/>
    </row>
    <row r="15222" spans="6:6" x14ac:dyDescent="0.35">
      <c r="F15222"/>
    </row>
    <row r="15223" spans="6:6" x14ac:dyDescent="0.35">
      <c r="F15223"/>
    </row>
    <row r="15224" spans="6:6" x14ac:dyDescent="0.35">
      <c r="F15224"/>
    </row>
    <row r="15225" spans="6:6" x14ac:dyDescent="0.35">
      <c r="F15225"/>
    </row>
    <row r="15226" spans="6:6" x14ac:dyDescent="0.35">
      <c r="F15226"/>
    </row>
    <row r="15227" spans="6:6" x14ac:dyDescent="0.35">
      <c r="F15227"/>
    </row>
    <row r="15228" spans="6:6" x14ac:dyDescent="0.35">
      <c r="F15228"/>
    </row>
    <row r="15229" spans="6:6" x14ac:dyDescent="0.35">
      <c r="F15229"/>
    </row>
    <row r="15230" spans="6:6" x14ac:dyDescent="0.35">
      <c r="F15230"/>
    </row>
    <row r="15231" spans="6:6" x14ac:dyDescent="0.35">
      <c r="F15231"/>
    </row>
    <row r="15232" spans="6:6" x14ac:dyDescent="0.35">
      <c r="F15232"/>
    </row>
    <row r="15233" spans="6:6" x14ac:dyDescent="0.35">
      <c r="F15233"/>
    </row>
    <row r="15234" spans="6:6" x14ac:dyDescent="0.35">
      <c r="F15234"/>
    </row>
    <row r="15235" spans="6:6" x14ac:dyDescent="0.35">
      <c r="F15235"/>
    </row>
    <row r="15236" spans="6:6" x14ac:dyDescent="0.35">
      <c r="F15236"/>
    </row>
    <row r="15237" spans="6:6" x14ac:dyDescent="0.35">
      <c r="F15237"/>
    </row>
    <row r="15238" spans="6:6" x14ac:dyDescent="0.35">
      <c r="F15238"/>
    </row>
    <row r="15239" spans="6:6" x14ac:dyDescent="0.35">
      <c r="F15239"/>
    </row>
    <row r="15240" spans="6:6" x14ac:dyDescent="0.35">
      <c r="F15240"/>
    </row>
    <row r="15241" spans="6:6" x14ac:dyDescent="0.35">
      <c r="F15241"/>
    </row>
    <row r="15242" spans="6:6" x14ac:dyDescent="0.35">
      <c r="F15242"/>
    </row>
    <row r="15243" spans="6:6" x14ac:dyDescent="0.35">
      <c r="F15243"/>
    </row>
    <row r="15244" spans="6:6" x14ac:dyDescent="0.35">
      <c r="F15244"/>
    </row>
    <row r="15245" spans="6:6" x14ac:dyDescent="0.35">
      <c r="F15245"/>
    </row>
    <row r="15246" spans="6:6" x14ac:dyDescent="0.35">
      <c r="F15246"/>
    </row>
    <row r="15247" spans="6:6" x14ac:dyDescent="0.35">
      <c r="F15247"/>
    </row>
    <row r="15248" spans="6:6" x14ac:dyDescent="0.35">
      <c r="F15248"/>
    </row>
    <row r="15249" spans="6:6" x14ac:dyDescent="0.35">
      <c r="F15249"/>
    </row>
    <row r="15250" spans="6:6" x14ac:dyDescent="0.35">
      <c r="F15250"/>
    </row>
    <row r="15251" spans="6:6" x14ac:dyDescent="0.35">
      <c r="F15251"/>
    </row>
    <row r="15252" spans="6:6" x14ac:dyDescent="0.35">
      <c r="F15252"/>
    </row>
    <row r="15253" spans="6:6" x14ac:dyDescent="0.35">
      <c r="F15253"/>
    </row>
    <row r="15254" spans="6:6" x14ac:dyDescent="0.35">
      <c r="F15254"/>
    </row>
    <row r="15255" spans="6:6" x14ac:dyDescent="0.35">
      <c r="F15255"/>
    </row>
    <row r="15256" spans="6:6" x14ac:dyDescent="0.35">
      <c r="F15256"/>
    </row>
    <row r="15257" spans="6:6" x14ac:dyDescent="0.35">
      <c r="F15257"/>
    </row>
    <row r="15258" spans="6:6" x14ac:dyDescent="0.35">
      <c r="F15258"/>
    </row>
    <row r="15259" spans="6:6" x14ac:dyDescent="0.35">
      <c r="F15259"/>
    </row>
    <row r="15260" spans="6:6" x14ac:dyDescent="0.35">
      <c r="F15260"/>
    </row>
    <row r="15261" spans="6:6" x14ac:dyDescent="0.35">
      <c r="F15261"/>
    </row>
    <row r="15262" spans="6:6" x14ac:dyDescent="0.35">
      <c r="F15262"/>
    </row>
    <row r="15263" spans="6:6" x14ac:dyDescent="0.35">
      <c r="F15263"/>
    </row>
    <row r="15264" spans="6:6" x14ac:dyDescent="0.35">
      <c r="F15264"/>
    </row>
    <row r="15265" spans="6:6" x14ac:dyDescent="0.35">
      <c r="F15265"/>
    </row>
    <row r="15266" spans="6:6" x14ac:dyDescent="0.35">
      <c r="F15266"/>
    </row>
    <row r="15267" spans="6:6" x14ac:dyDescent="0.35">
      <c r="F15267"/>
    </row>
    <row r="15268" spans="6:6" x14ac:dyDescent="0.35">
      <c r="F15268"/>
    </row>
    <row r="15269" spans="6:6" x14ac:dyDescent="0.35">
      <c r="F15269"/>
    </row>
    <row r="15270" spans="6:6" x14ac:dyDescent="0.35">
      <c r="F15270"/>
    </row>
    <row r="15271" spans="6:6" x14ac:dyDescent="0.35">
      <c r="F15271"/>
    </row>
    <row r="15272" spans="6:6" x14ac:dyDescent="0.35">
      <c r="F15272"/>
    </row>
    <row r="15273" spans="6:6" x14ac:dyDescent="0.35">
      <c r="F15273"/>
    </row>
    <row r="15274" spans="6:6" x14ac:dyDescent="0.35">
      <c r="F15274"/>
    </row>
    <row r="15275" spans="6:6" x14ac:dyDescent="0.35">
      <c r="F15275"/>
    </row>
    <row r="15276" spans="6:6" x14ac:dyDescent="0.35">
      <c r="F15276"/>
    </row>
    <row r="15277" spans="6:6" x14ac:dyDescent="0.35">
      <c r="F15277"/>
    </row>
    <row r="15278" spans="6:6" x14ac:dyDescent="0.35">
      <c r="F15278"/>
    </row>
    <row r="15279" spans="6:6" x14ac:dyDescent="0.35">
      <c r="F15279"/>
    </row>
    <row r="15280" spans="6:6" x14ac:dyDescent="0.35">
      <c r="F15280"/>
    </row>
    <row r="15281" spans="6:6" x14ac:dyDescent="0.35">
      <c r="F15281"/>
    </row>
    <row r="15282" spans="6:6" x14ac:dyDescent="0.35">
      <c r="F15282"/>
    </row>
    <row r="15283" spans="6:6" x14ac:dyDescent="0.35">
      <c r="F15283"/>
    </row>
    <row r="15284" spans="6:6" x14ac:dyDescent="0.35">
      <c r="F15284"/>
    </row>
    <row r="15285" spans="6:6" x14ac:dyDescent="0.35">
      <c r="F15285"/>
    </row>
    <row r="15286" spans="6:6" x14ac:dyDescent="0.35">
      <c r="F15286"/>
    </row>
    <row r="15287" spans="6:6" x14ac:dyDescent="0.35">
      <c r="F15287"/>
    </row>
    <row r="15288" spans="6:6" x14ac:dyDescent="0.35">
      <c r="F15288"/>
    </row>
    <row r="15289" spans="6:6" x14ac:dyDescent="0.35">
      <c r="F15289"/>
    </row>
    <row r="15290" spans="6:6" x14ac:dyDescent="0.35">
      <c r="F15290"/>
    </row>
    <row r="15291" spans="6:6" x14ac:dyDescent="0.35">
      <c r="F15291"/>
    </row>
    <row r="15292" spans="6:6" x14ac:dyDescent="0.35">
      <c r="F15292"/>
    </row>
    <row r="15293" spans="6:6" x14ac:dyDescent="0.35">
      <c r="F15293"/>
    </row>
    <row r="15294" spans="6:6" x14ac:dyDescent="0.35">
      <c r="F15294"/>
    </row>
    <row r="15295" spans="6:6" x14ac:dyDescent="0.35">
      <c r="F15295"/>
    </row>
    <row r="15296" spans="6:6" x14ac:dyDescent="0.35">
      <c r="F15296"/>
    </row>
    <row r="15297" spans="6:6" x14ac:dyDescent="0.35">
      <c r="F15297"/>
    </row>
    <row r="15298" spans="6:6" x14ac:dyDescent="0.35">
      <c r="F15298"/>
    </row>
    <row r="15299" spans="6:6" x14ac:dyDescent="0.35">
      <c r="F15299"/>
    </row>
    <row r="15300" spans="6:6" x14ac:dyDescent="0.35">
      <c r="F15300"/>
    </row>
    <row r="15301" spans="6:6" x14ac:dyDescent="0.35">
      <c r="F15301"/>
    </row>
    <row r="15302" spans="6:6" x14ac:dyDescent="0.35">
      <c r="F15302"/>
    </row>
    <row r="15303" spans="6:6" x14ac:dyDescent="0.35">
      <c r="F15303"/>
    </row>
    <row r="15304" spans="6:6" x14ac:dyDescent="0.35">
      <c r="F15304"/>
    </row>
    <row r="15305" spans="6:6" x14ac:dyDescent="0.35">
      <c r="F15305"/>
    </row>
    <row r="15306" spans="6:6" x14ac:dyDescent="0.35">
      <c r="F15306"/>
    </row>
    <row r="15307" spans="6:6" x14ac:dyDescent="0.35">
      <c r="F15307"/>
    </row>
    <row r="15308" spans="6:6" x14ac:dyDescent="0.35">
      <c r="F15308"/>
    </row>
    <row r="15309" spans="6:6" x14ac:dyDescent="0.35">
      <c r="F15309"/>
    </row>
    <row r="15310" spans="6:6" x14ac:dyDescent="0.35">
      <c r="F15310"/>
    </row>
    <row r="15311" spans="6:6" x14ac:dyDescent="0.35">
      <c r="F15311"/>
    </row>
    <row r="15312" spans="6:6" x14ac:dyDescent="0.35">
      <c r="F15312"/>
    </row>
    <row r="15313" spans="6:6" x14ac:dyDescent="0.35">
      <c r="F15313"/>
    </row>
    <row r="15314" spans="6:6" x14ac:dyDescent="0.35">
      <c r="F15314"/>
    </row>
    <row r="15315" spans="6:6" x14ac:dyDescent="0.35">
      <c r="F15315"/>
    </row>
    <row r="15316" spans="6:6" x14ac:dyDescent="0.35">
      <c r="F15316"/>
    </row>
    <row r="15317" spans="6:6" x14ac:dyDescent="0.35">
      <c r="F15317"/>
    </row>
    <row r="15318" spans="6:6" x14ac:dyDescent="0.35">
      <c r="F15318"/>
    </row>
    <row r="15319" spans="6:6" x14ac:dyDescent="0.35">
      <c r="F15319"/>
    </row>
    <row r="15320" spans="6:6" x14ac:dyDescent="0.35">
      <c r="F15320"/>
    </row>
    <row r="15321" spans="6:6" x14ac:dyDescent="0.35">
      <c r="F15321"/>
    </row>
    <row r="15322" spans="6:6" x14ac:dyDescent="0.35">
      <c r="F15322"/>
    </row>
    <row r="15323" spans="6:6" x14ac:dyDescent="0.35">
      <c r="F15323"/>
    </row>
    <row r="15324" spans="6:6" x14ac:dyDescent="0.35">
      <c r="F15324"/>
    </row>
    <row r="15325" spans="6:6" x14ac:dyDescent="0.35">
      <c r="F15325"/>
    </row>
    <row r="15326" spans="6:6" x14ac:dyDescent="0.35">
      <c r="F15326"/>
    </row>
    <row r="15327" spans="6:6" x14ac:dyDescent="0.35">
      <c r="F15327"/>
    </row>
    <row r="15328" spans="6:6" x14ac:dyDescent="0.35">
      <c r="F15328"/>
    </row>
    <row r="15329" spans="6:6" x14ac:dyDescent="0.35">
      <c r="F15329"/>
    </row>
    <row r="15330" spans="6:6" x14ac:dyDescent="0.35">
      <c r="F15330"/>
    </row>
    <row r="15331" spans="6:6" x14ac:dyDescent="0.35">
      <c r="F15331"/>
    </row>
    <row r="15332" spans="6:6" x14ac:dyDescent="0.35">
      <c r="F15332"/>
    </row>
    <row r="15333" spans="6:6" x14ac:dyDescent="0.35">
      <c r="F15333"/>
    </row>
    <row r="15334" spans="6:6" x14ac:dyDescent="0.35">
      <c r="F15334"/>
    </row>
    <row r="15335" spans="6:6" x14ac:dyDescent="0.35">
      <c r="F15335"/>
    </row>
    <row r="15336" spans="6:6" x14ac:dyDescent="0.35">
      <c r="F15336"/>
    </row>
    <row r="15337" spans="6:6" x14ac:dyDescent="0.35">
      <c r="F15337"/>
    </row>
    <row r="15338" spans="6:6" x14ac:dyDescent="0.35">
      <c r="F15338"/>
    </row>
    <row r="15339" spans="6:6" x14ac:dyDescent="0.35">
      <c r="F15339"/>
    </row>
    <row r="15340" spans="6:6" x14ac:dyDescent="0.35">
      <c r="F15340"/>
    </row>
    <row r="15341" spans="6:6" x14ac:dyDescent="0.35">
      <c r="F15341"/>
    </row>
    <row r="15342" spans="6:6" x14ac:dyDescent="0.35">
      <c r="F15342"/>
    </row>
    <row r="15343" spans="6:6" x14ac:dyDescent="0.35">
      <c r="F15343"/>
    </row>
    <row r="15344" spans="6:6" x14ac:dyDescent="0.35">
      <c r="F15344"/>
    </row>
    <row r="15345" spans="6:6" x14ac:dyDescent="0.35">
      <c r="F15345"/>
    </row>
    <row r="15346" spans="6:6" x14ac:dyDescent="0.35">
      <c r="F15346"/>
    </row>
    <row r="15347" spans="6:6" x14ac:dyDescent="0.35">
      <c r="F15347"/>
    </row>
    <row r="15348" spans="6:6" x14ac:dyDescent="0.35">
      <c r="F15348"/>
    </row>
    <row r="15349" spans="6:6" x14ac:dyDescent="0.35">
      <c r="F15349"/>
    </row>
    <row r="15350" spans="6:6" x14ac:dyDescent="0.35">
      <c r="F15350"/>
    </row>
    <row r="15351" spans="6:6" x14ac:dyDescent="0.35">
      <c r="F15351"/>
    </row>
    <row r="15352" spans="6:6" x14ac:dyDescent="0.35">
      <c r="F15352"/>
    </row>
    <row r="15353" spans="6:6" x14ac:dyDescent="0.35">
      <c r="F15353"/>
    </row>
    <row r="15354" spans="6:6" x14ac:dyDescent="0.35">
      <c r="F15354"/>
    </row>
    <row r="15355" spans="6:6" x14ac:dyDescent="0.35">
      <c r="F15355"/>
    </row>
    <row r="15356" spans="6:6" x14ac:dyDescent="0.35">
      <c r="F15356"/>
    </row>
    <row r="15357" spans="6:6" x14ac:dyDescent="0.35">
      <c r="F15357"/>
    </row>
    <row r="15358" spans="6:6" x14ac:dyDescent="0.35">
      <c r="F15358"/>
    </row>
    <row r="15359" spans="6:6" x14ac:dyDescent="0.35">
      <c r="F15359"/>
    </row>
    <row r="15360" spans="6:6" x14ac:dyDescent="0.35">
      <c r="F15360"/>
    </row>
    <row r="15361" spans="6:6" x14ac:dyDescent="0.35">
      <c r="F15361"/>
    </row>
    <row r="15362" spans="6:6" x14ac:dyDescent="0.35">
      <c r="F15362"/>
    </row>
    <row r="15363" spans="6:6" x14ac:dyDescent="0.35">
      <c r="F15363"/>
    </row>
    <row r="15364" spans="6:6" x14ac:dyDescent="0.35">
      <c r="F15364"/>
    </row>
    <row r="15365" spans="6:6" x14ac:dyDescent="0.35">
      <c r="F15365"/>
    </row>
    <row r="15366" spans="6:6" x14ac:dyDescent="0.35">
      <c r="F15366"/>
    </row>
    <row r="15367" spans="6:6" x14ac:dyDescent="0.35">
      <c r="F15367"/>
    </row>
    <row r="15368" spans="6:6" x14ac:dyDescent="0.35">
      <c r="F15368"/>
    </row>
    <row r="15369" spans="6:6" x14ac:dyDescent="0.35">
      <c r="F15369"/>
    </row>
    <row r="15370" spans="6:6" x14ac:dyDescent="0.35">
      <c r="F15370"/>
    </row>
    <row r="15371" spans="6:6" x14ac:dyDescent="0.35">
      <c r="F15371"/>
    </row>
    <row r="15372" spans="6:6" x14ac:dyDescent="0.35">
      <c r="F15372"/>
    </row>
    <row r="15373" spans="6:6" x14ac:dyDescent="0.35">
      <c r="F15373"/>
    </row>
    <row r="15374" spans="6:6" x14ac:dyDescent="0.35">
      <c r="F15374"/>
    </row>
    <row r="15375" spans="6:6" x14ac:dyDescent="0.35">
      <c r="F15375"/>
    </row>
    <row r="15376" spans="6:6" x14ac:dyDescent="0.35">
      <c r="F15376"/>
    </row>
    <row r="15377" spans="6:6" x14ac:dyDescent="0.35">
      <c r="F15377"/>
    </row>
    <row r="15378" spans="6:6" x14ac:dyDescent="0.35">
      <c r="F15378"/>
    </row>
    <row r="15379" spans="6:6" x14ac:dyDescent="0.35">
      <c r="F15379"/>
    </row>
    <row r="15380" spans="6:6" x14ac:dyDescent="0.35">
      <c r="F15380"/>
    </row>
    <row r="15381" spans="6:6" x14ac:dyDescent="0.35">
      <c r="F15381"/>
    </row>
    <row r="15382" spans="6:6" x14ac:dyDescent="0.35">
      <c r="F15382"/>
    </row>
    <row r="15383" spans="6:6" x14ac:dyDescent="0.35">
      <c r="F15383"/>
    </row>
    <row r="15384" spans="6:6" x14ac:dyDescent="0.35">
      <c r="F15384"/>
    </row>
    <row r="15385" spans="6:6" x14ac:dyDescent="0.35">
      <c r="F15385"/>
    </row>
    <row r="15386" spans="6:6" x14ac:dyDescent="0.35">
      <c r="F15386"/>
    </row>
    <row r="15387" spans="6:6" x14ac:dyDescent="0.35">
      <c r="F15387"/>
    </row>
    <row r="15388" spans="6:6" x14ac:dyDescent="0.35">
      <c r="F15388"/>
    </row>
    <row r="15389" spans="6:6" x14ac:dyDescent="0.35">
      <c r="F15389"/>
    </row>
    <row r="15390" spans="6:6" x14ac:dyDescent="0.35">
      <c r="F15390"/>
    </row>
    <row r="15391" spans="6:6" x14ac:dyDescent="0.35">
      <c r="F15391"/>
    </row>
    <row r="15392" spans="6:6" x14ac:dyDescent="0.35">
      <c r="F15392"/>
    </row>
    <row r="15393" spans="6:6" x14ac:dyDescent="0.35">
      <c r="F15393"/>
    </row>
    <row r="15394" spans="6:6" x14ac:dyDescent="0.35">
      <c r="F15394"/>
    </row>
    <row r="15395" spans="6:6" x14ac:dyDescent="0.35">
      <c r="F15395"/>
    </row>
    <row r="15396" spans="6:6" x14ac:dyDescent="0.35">
      <c r="F15396"/>
    </row>
    <row r="15397" spans="6:6" x14ac:dyDescent="0.35">
      <c r="F15397"/>
    </row>
    <row r="15398" spans="6:6" x14ac:dyDescent="0.35">
      <c r="F15398"/>
    </row>
    <row r="15399" spans="6:6" x14ac:dyDescent="0.35">
      <c r="F15399"/>
    </row>
    <row r="15400" spans="6:6" x14ac:dyDescent="0.35">
      <c r="F15400"/>
    </row>
    <row r="15401" spans="6:6" x14ac:dyDescent="0.35">
      <c r="F15401"/>
    </row>
    <row r="15402" spans="6:6" x14ac:dyDescent="0.35">
      <c r="F15402"/>
    </row>
    <row r="15403" spans="6:6" x14ac:dyDescent="0.35">
      <c r="F15403"/>
    </row>
    <row r="15404" spans="6:6" x14ac:dyDescent="0.35">
      <c r="F15404"/>
    </row>
    <row r="15405" spans="6:6" x14ac:dyDescent="0.35">
      <c r="F15405"/>
    </row>
    <row r="15406" spans="6:6" x14ac:dyDescent="0.35">
      <c r="F15406"/>
    </row>
    <row r="15407" spans="6:6" x14ac:dyDescent="0.35">
      <c r="F15407"/>
    </row>
    <row r="15408" spans="6:6" x14ac:dyDescent="0.35">
      <c r="F15408"/>
    </row>
    <row r="15409" spans="6:6" x14ac:dyDescent="0.35">
      <c r="F15409"/>
    </row>
    <row r="15410" spans="6:6" x14ac:dyDescent="0.35">
      <c r="F15410"/>
    </row>
    <row r="15411" spans="6:6" x14ac:dyDescent="0.35">
      <c r="F15411"/>
    </row>
    <row r="15412" spans="6:6" x14ac:dyDescent="0.35">
      <c r="F15412"/>
    </row>
    <row r="15413" spans="6:6" x14ac:dyDescent="0.35">
      <c r="F15413"/>
    </row>
    <row r="15414" spans="6:6" x14ac:dyDescent="0.35">
      <c r="F15414"/>
    </row>
    <row r="15415" spans="6:6" x14ac:dyDescent="0.35">
      <c r="F15415"/>
    </row>
    <row r="15416" spans="6:6" x14ac:dyDescent="0.35">
      <c r="F15416"/>
    </row>
    <row r="15417" spans="6:6" x14ac:dyDescent="0.35">
      <c r="F15417"/>
    </row>
    <row r="15418" spans="6:6" x14ac:dyDescent="0.35">
      <c r="F15418"/>
    </row>
    <row r="15419" spans="6:6" x14ac:dyDescent="0.35">
      <c r="F15419"/>
    </row>
    <row r="15420" spans="6:6" x14ac:dyDescent="0.35">
      <c r="F15420"/>
    </row>
    <row r="15421" spans="6:6" x14ac:dyDescent="0.35">
      <c r="F15421"/>
    </row>
    <row r="15422" spans="6:6" x14ac:dyDescent="0.35">
      <c r="F15422"/>
    </row>
    <row r="15423" spans="6:6" x14ac:dyDescent="0.35">
      <c r="F15423"/>
    </row>
    <row r="15424" spans="6:6" x14ac:dyDescent="0.35">
      <c r="F15424"/>
    </row>
    <row r="15425" spans="6:6" x14ac:dyDescent="0.35">
      <c r="F15425"/>
    </row>
    <row r="15426" spans="6:6" x14ac:dyDescent="0.35">
      <c r="F15426"/>
    </row>
    <row r="15427" spans="6:6" x14ac:dyDescent="0.35">
      <c r="F15427"/>
    </row>
    <row r="15428" spans="6:6" x14ac:dyDescent="0.35">
      <c r="F15428"/>
    </row>
    <row r="15429" spans="6:6" x14ac:dyDescent="0.35">
      <c r="F15429"/>
    </row>
    <row r="15430" spans="6:6" x14ac:dyDescent="0.35">
      <c r="F15430"/>
    </row>
    <row r="15431" spans="6:6" x14ac:dyDescent="0.35">
      <c r="F15431"/>
    </row>
    <row r="15432" spans="6:6" x14ac:dyDescent="0.35">
      <c r="F15432"/>
    </row>
    <row r="15433" spans="6:6" x14ac:dyDescent="0.35">
      <c r="F15433"/>
    </row>
    <row r="15434" spans="6:6" x14ac:dyDescent="0.35">
      <c r="F15434"/>
    </row>
    <row r="15435" spans="6:6" x14ac:dyDescent="0.35">
      <c r="F15435"/>
    </row>
    <row r="15436" spans="6:6" x14ac:dyDescent="0.35">
      <c r="F15436"/>
    </row>
    <row r="15437" spans="6:6" x14ac:dyDescent="0.35">
      <c r="F15437"/>
    </row>
    <row r="15438" spans="6:6" x14ac:dyDescent="0.35">
      <c r="F15438"/>
    </row>
    <row r="15439" spans="6:6" x14ac:dyDescent="0.35">
      <c r="F15439"/>
    </row>
    <row r="15440" spans="6:6" x14ac:dyDescent="0.35">
      <c r="F15440"/>
    </row>
    <row r="15441" spans="6:6" x14ac:dyDescent="0.35">
      <c r="F15441"/>
    </row>
    <row r="15442" spans="6:6" x14ac:dyDescent="0.35">
      <c r="F15442"/>
    </row>
    <row r="15443" spans="6:6" x14ac:dyDescent="0.35">
      <c r="F15443"/>
    </row>
    <row r="15444" spans="6:6" x14ac:dyDescent="0.35">
      <c r="F15444"/>
    </row>
    <row r="15445" spans="6:6" x14ac:dyDescent="0.35">
      <c r="F15445"/>
    </row>
    <row r="15446" spans="6:6" x14ac:dyDescent="0.35">
      <c r="F15446"/>
    </row>
    <row r="15447" spans="6:6" x14ac:dyDescent="0.35">
      <c r="F15447"/>
    </row>
    <row r="15448" spans="6:6" x14ac:dyDescent="0.35">
      <c r="F15448"/>
    </row>
    <row r="15449" spans="6:6" x14ac:dyDescent="0.35">
      <c r="F15449"/>
    </row>
    <row r="15450" spans="6:6" x14ac:dyDescent="0.35">
      <c r="F15450"/>
    </row>
    <row r="15451" spans="6:6" x14ac:dyDescent="0.35">
      <c r="F15451"/>
    </row>
    <row r="15452" spans="6:6" x14ac:dyDescent="0.35">
      <c r="F15452"/>
    </row>
    <row r="15453" spans="6:6" x14ac:dyDescent="0.35">
      <c r="F15453"/>
    </row>
    <row r="15454" spans="6:6" x14ac:dyDescent="0.35">
      <c r="F15454"/>
    </row>
    <row r="15455" spans="6:6" x14ac:dyDescent="0.35">
      <c r="F15455"/>
    </row>
    <row r="15456" spans="6:6" x14ac:dyDescent="0.35">
      <c r="F15456"/>
    </row>
    <row r="15457" spans="6:6" x14ac:dyDescent="0.35">
      <c r="F15457"/>
    </row>
    <row r="15458" spans="6:6" x14ac:dyDescent="0.35">
      <c r="F15458"/>
    </row>
    <row r="15459" spans="6:6" x14ac:dyDescent="0.35">
      <c r="F15459"/>
    </row>
    <row r="15460" spans="6:6" x14ac:dyDescent="0.35">
      <c r="F15460"/>
    </row>
    <row r="15461" spans="6:6" x14ac:dyDescent="0.35">
      <c r="F15461"/>
    </row>
    <row r="15462" spans="6:6" x14ac:dyDescent="0.35">
      <c r="F15462"/>
    </row>
    <row r="15463" spans="6:6" x14ac:dyDescent="0.35">
      <c r="F15463"/>
    </row>
    <row r="15464" spans="6:6" x14ac:dyDescent="0.35">
      <c r="F15464"/>
    </row>
    <row r="15465" spans="6:6" x14ac:dyDescent="0.35">
      <c r="F15465"/>
    </row>
    <row r="15466" spans="6:6" x14ac:dyDescent="0.35">
      <c r="F15466"/>
    </row>
    <row r="15467" spans="6:6" x14ac:dyDescent="0.35">
      <c r="F15467"/>
    </row>
    <row r="15468" spans="6:6" x14ac:dyDescent="0.35">
      <c r="F15468"/>
    </row>
    <row r="15469" spans="6:6" x14ac:dyDescent="0.35">
      <c r="F15469"/>
    </row>
    <row r="15470" spans="6:6" x14ac:dyDescent="0.35">
      <c r="F15470"/>
    </row>
    <row r="15471" spans="6:6" x14ac:dyDescent="0.35">
      <c r="F15471"/>
    </row>
    <row r="15472" spans="6:6" x14ac:dyDescent="0.35">
      <c r="F15472"/>
    </row>
    <row r="15473" spans="6:6" x14ac:dyDescent="0.35">
      <c r="F15473"/>
    </row>
    <row r="15474" spans="6:6" x14ac:dyDescent="0.35">
      <c r="F15474"/>
    </row>
    <row r="15475" spans="6:6" x14ac:dyDescent="0.35">
      <c r="F15475"/>
    </row>
    <row r="15476" spans="6:6" x14ac:dyDescent="0.35">
      <c r="F15476"/>
    </row>
    <row r="15477" spans="6:6" x14ac:dyDescent="0.35">
      <c r="F15477"/>
    </row>
    <row r="15478" spans="6:6" x14ac:dyDescent="0.35">
      <c r="F15478"/>
    </row>
    <row r="15479" spans="6:6" x14ac:dyDescent="0.35">
      <c r="F15479"/>
    </row>
    <row r="15480" spans="6:6" x14ac:dyDescent="0.35">
      <c r="F15480"/>
    </row>
    <row r="15481" spans="6:6" x14ac:dyDescent="0.35">
      <c r="F15481"/>
    </row>
    <row r="15482" spans="6:6" x14ac:dyDescent="0.35">
      <c r="F15482"/>
    </row>
    <row r="15483" spans="6:6" x14ac:dyDescent="0.35">
      <c r="F15483"/>
    </row>
    <row r="15484" spans="6:6" x14ac:dyDescent="0.35">
      <c r="F15484"/>
    </row>
    <row r="15485" spans="6:6" x14ac:dyDescent="0.35">
      <c r="F15485"/>
    </row>
    <row r="15486" spans="6:6" x14ac:dyDescent="0.35">
      <c r="F15486"/>
    </row>
    <row r="15487" spans="6:6" x14ac:dyDescent="0.35">
      <c r="F15487"/>
    </row>
    <row r="15488" spans="6:6" x14ac:dyDescent="0.35">
      <c r="F15488"/>
    </row>
    <row r="15489" spans="6:6" x14ac:dyDescent="0.35">
      <c r="F15489"/>
    </row>
    <row r="15490" spans="6:6" x14ac:dyDescent="0.35">
      <c r="F15490"/>
    </row>
    <row r="15491" spans="6:6" x14ac:dyDescent="0.35">
      <c r="F15491"/>
    </row>
    <row r="15492" spans="6:6" x14ac:dyDescent="0.35">
      <c r="F15492"/>
    </row>
    <row r="15493" spans="6:6" x14ac:dyDescent="0.35">
      <c r="F15493"/>
    </row>
    <row r="15494" spans="6:6" x14ac:dyDescent="0.35">
      <c r="F15494"/>
    </row>
    <row r="15495" spans="6:6" x14ac:dyDescent="0.35">
      <c r="F15495"/>
    </row>
    <row r="15496" spans="6:6" x14ac:dyDescent="0.35">
      <c r="F15496"/>
    </row>
    <row r="15497" spans="6:6" x14ac:dyDescent="0.35">
      <c r="F15497"/>
    </row>
    <row r="15498" spans="6:6" x14ac:dyDescent="0.35">
      <c r="F15498"/>
    </row>
    <row r="15499" spans="6:6" x14ac:dyDescent="0.35">
      <c r="F15499"/>
    </row>
    <row r="15500" spans="6:6" x14ac:dyDescent="0.35">
      <c r="F15500"/>
    </row>
    <row r="15501" spans="6:6" x14ac:dyDescent="0.35">
      <c r="F15501"/>
    </row>
    <row r="15502" spans="6:6" x14ac:dyDescent="0.35">
      <c r="F15502"/>
    </row>
    <row r="15503" spans="6:6" x14ac:dyDescent="0.35">
      <c r="F15503"/>
    </row>
    <row r="15504" spans="6:6" x14ac:dyDescent="0.35">
      <c r="F15504"/>
    </row>
    <row r="15505" spans="6:6" x14ac:dyDescent="0.35">
      <c r="F15505"/>
    </row>
    <row r="15506" spans="6:6" x14ac:dyDescent="0.35">
      <c r="F15506"/>
    </row>
    <row r="15507" spans="6:6" x14ac:dyDescent="0.35">
      <c r="F15507"/>
    </row>
    <row r="15508" spans="6:6" x14ac:dyDescent="0.35">
      <c r="F15508"/>
    </row>
    <row r="15509" spans="6:6" x14ac:dyDescent="0.35">
      <c r="F15509"/>
    </row>
    <row r="15510" spans="6:6" x14ac:dyDescent="0.35">
      <c r="F15510"/>
    </row>
    <row r="15511" spans="6:6" x14ac:dyDescent="0.35">
      <c r="F15511"/>
    </row>
    <row r="15512" spans="6:6" x14ac:dyDescent="0.35">
      <c r="F15512"/>
    </row>
    <row r="15513" spans="6:6" x14ac:dyDescent="0.35">
      <c r="F15513"/>
    </row>
    <row r="15514" spans="6:6" x14ac:dyDescent="0.35">
      <c r="F15514"/>
    </row>
    <row r="15515" spans="6:6" x14ac:dyDescent="0.35">
      <c r="F15515"/>
    </row>
    <row r="15516" spans="6:6" x14ac:dyDescent="0.35">
      <c r="F15516"/>
    </row>
    <row r="15517" spans="6:6" x14ac:dyDescent="0.35">
      <c r="F15517"/>
    </row>
    <row r="15518" spans="6:6" x14ac:dyDescent="0.35">
      <c r="F15518"/>
    </row>
    <row r="15519" spans="6:6" x14ac:dyDescent="0.35">
      <c r="F15519"/>
    </row>
    <row r="15520" spans="6:6" x14ac:dyDescent="0.35">
      <c r="F15520"/>
    </row>
    <row r="15521" spans="6:6" x14ac:dyDescent="0.35">
      <c r="F15521"/>
    </row>
    <row r="15522" spans="6:6" x14ac:dyDescent="0.35">
      <c r="F15522"/>
    </row>
    <row r="15523" spans="6:6" x14ac:dyDescent="0.35">
      <c r="F15523"/>
    </row>
    <row r="15524" spans="6:6" x14ac:dyDescent="0.35">
      <c r="F15524"/>
    </row>
    <row r="15525" spans="6:6" x14ac:dyDescent="0.35">
      <c r="F15525"/>
    </row>
    <row r="15526" spans="6:6" x14ac:dyDescent="0.35">
      <c r="F15526"/>
    </row>
    <row r="15527" spans="6:6" x14ac:dyDescent="0.35">
      <c r="F15527"/>
    </row>
    <row r="15528" spans="6:6" x14ac:dyDescent="0.35">
      <c r="F15528"/>
    </row>
    <row r="15529" spans="6:6" x14ac:dyDescent="0.35">
      <c r="F15529"/>
    </row>
    <row r="15530" spans="6:6" x14ac:dyDescent="0.35">
      <c r="F15530"/>
    </row>
    <row r="15531" spans="6:6" x14ac:dyDescent="0.35">
      <c r="F15531"/>
    </row>
    <row r="15532" spans="6:6" x14ac:dyDescent="0.35">
      <c r="F15532"/>
    </row>
    <row r="15533" spans="6:6" x14ac:dyDescent="0.35">
      <c r="F15533"/>
    </row>
    <row r="15534" spans="6:6" x14ac:dyDescent="0.35">
      <c r="F15534"/>
    </row>
    <row r="15535" spans="6:6" x14ac:dyDescent="0.35">
      <c r="F15535"/>
    </row>
    <row r="15536" spans="6:6" x14ac:dyDescent="0.35">
      <c r="F15536"/>
    </row>
    <row r="15537" spans="6:6" x14ac:dyDescent="0.35">
      <c r="F15537"/>
    </row>
    <row r="15538" spans="6:6" x14ac:dyDescent="0.35">
      <c r="F15538"/>
    </row>
    <row r="15539" spans="6:6" x14ac:dyDescent="0.35">
      <c r="F15539"/>
    </row>
    <row r="15540" spans="6:6" x14ac:dyDescent="0.35">
      <c r="F15540"/>
    </row>
    <row r="15541" spans="6:6" x14ac:dyDescent="0.35">
      <c r="F15541"/>
    </row>
    <row r="15542" spans="6:6" x14ac:dyDescent="0.35">
      <c r="F15542"/>
    </row>
    <row r="15543" spans="6:6" x14ac:dyDescent="0.35">
      <c r="F15543"/>
    </row>
    <row r="15544" spans="6:6" x14ac:dyDescent="0.35">
      <c r="F15544"/>
    </row>
    <row r="15545" spans="6:6" x14ac:dyDescent="0.35">
      <c r="F15545"/>
    </row>
    <row r="15546" spans="6:6" x14ac:dyDescent="0.35">
      <c r="F15546"/>
    </row>
    <row r="15547" spans="6:6" x14ac:dyDescent="0.35">
      <c r="F15547"/>
    </row>
    <row r="15548" spans="6:6" x14ac:dyDescent="0.35">
      <c r="F15548"/>
    </row>
    <row r="15549" spans="6:6" x14ac:dyDescent="0.35">
      <c r="F15549"/>
    </row>
    <row r="15550" spans="6:6" x14ac:dyDescent="0.35">
      <c r="F15550"/>
    </row>
    <row r="15551" spans="6:6" x14ac:dyDescent="0.35">
      <c r="F15551"/>
    </row>
    <row r="15552" spans="6:6" x14ac:dyDescent="0.35">
      <c r="F15552"/>
    </row>
    <row r="15553" spans="6:6" x14ac:dyDescent="0.35">
      <c r="F15553"/>
    </row>
    <row r="15554" spans="6:6" x14ac:dyDescent="0.35">
      <c r="F15554"/>
    </row>
    <row r="15555" spans="6:6" x14ac:dyDescent="0.35">
      <c r="F15555"/>
    </row>
    <row r="15556" spans="6:6" x14ac:dyDescent="0.35">
      <c r="F15556"/>
    </row>
    <row r="15557" spans="6:6" x14ac:dyDescent="0.35">
      <c r="F15557"/>
    </row>
    <row r="15558" spans="6:6" x14ac:dyDescent="0.35">
      <c r="F15558"/>
    </row>
    <row r="15559" spans="6:6" x14ac:dyDescent="0.35">
      <c r="F15559"/>
    </row>
    <row r="15560" spans="6:6" x14ac:dyDescent="0.35">
      <c r="F15560"/>
    </row>
    <row r="15561" spans="6:6" x14ac:dyDescent="0.35">
      <c r="F15561"/>
    </row>
    <row r="15562" spans="6:6" x14ac:dyDescent="0.35">
      <c r="F15562"/>
    </row>
    <row r="15563" spans="6:6" x14ac:dyDescent="0.35">
      <c r="F15563"/>
    </row>
    <row r="15564" spans="6:6" x14ac:dyDescent="0.35">
      <c r="F15564"/>
    </row>
    <row r="15565" spans="6:6" x14ac:dyDescent="0.35">
      <c r="F15565"/>
    </row>
    <row r="15566" spans="6:6" x14ac:dyDescent="0.35">
      <c r="F15566"/>
    </row>
    <row r="15567" spans="6:6" x14ac:dyDescent="0.35">
      <c r="F15567"/>
    </row>
    <row r="15568" spans="6:6" x14ac:dyDescent="0.35">
      <c r="F15568"/>
    </row>
    <row r="15569" spans="6:6" x14ac:dyDescent="0.35">
      <c r="F15569"/>
    </row>
    <row r="15570" spans="6:6" x14ac:dyDescent="0.35">
      <c r="F15570"/>
    </row>
    <row r="15571" spans="6:6" x14ac:dyDescent="0.35">
      <c r="F15571"/>
    </row>
    <row r="15572" spans="6:6" x14ac:dyDescent="0.35">
      <c r="F15572"/>
    </row>
    <row r="15573" spans="6:6" x14ac:dyDescent="0.35">
      <c r="F15573"/>
    </row>
    <row r="15574" spans="6:6" x14ac:dyDescent="0.35">
      <c r="F15574"/>
    </row>
    <row r="15575" spans="6:6" x14ac:dyDescent="0.35">
      <c r="F15575"/>
    </row>
    <row r="15576" spans="6:6" x14ac:dyDescent="0.35">
      <c r="F15576"/>
    </row>
    <row r="15577" spans="6:6" x14ac:dyDescent="0.35">
      <c r="F15577"/>
    </row>
    <row r="15578" spans="6:6" x14ac:dyDescent="0.35">
      <c r="F15578"/>
    </row>
    <row r="15579" spans="6:6" x14ac:dyDescent="0.35">
      <c r="F15579"/>
    </row>
    <row r="15580" spans="6:6" x14ac:dyDescent="0.35">
      <c r="F15580"/>
    </row>
    <row r="15581" spans="6:6" x14ac:dyDescent="0.35">
      <c r="F15581"/>
    </row>
    <row r="15582" spans="6:6" x14ac:dyDescent="0.35">
      <c r="F15582"/>
    </row>
    <row r="15583" spans="6:6" x14ac:dyDescent="0.35">
      <c r="F15583"/>
    </row>
    <row r="15584" spans="6:6" x14ac:dyDescent="0.35">
      <c r="F15584"/>
    </row>
    <row r="15585" spans="6:6" x14ac:dyDescent="0.35">
      <c r="F15585"/>
    </row>
    <row r="15586" spans="6:6" x14ac:dyDescent="0.35">
      <c r="F15586"/>
    </row>
    <row r="15587" spans="6:6" x14ac:dyDescent="0.35">
      <c r="F15587"/>
    </row>
    <row r="15588" spans="6:6" x14ac:dyDescent="0.35">
      <c r="F15588"/>
    </row>
    <row r="15589" spans="6:6" x14ac:dyDescent="0.35">
      <c r="F15589"/>
    </row>
    <row r="15590" spans="6:6" x14ac:dyDescent="0.35">
      <c r="F15590"/>
    </row>
    <row r="15591" spans="6:6" x14ac:dyDescent="0.35">
      <c r="F15591"/>
    </row>
    <row r="15592" spans="6:6" x14ac:dyDescent="0.35">
      <c r="F15592"/>
    </row>
    <row r="15593" spans="6:6" x14ac:dyDescent="0.35">
      <c r="F15593"/>
    </row>
    <row r="15594" spans="6:6" x14ac:dyDescent="0.35">
      <c r="F15594"/>
    </row>
    <row r="15595" spans="6:6" x14ac:dyDescent="0.35">
      <c r="F15595"/>
    </row>
    <row r="15596" spans="6:6" x14ac:dyDescent="0.35">
      <c r="F15596"/>
    </row>
    <row r="15597" spans="6:6" x14ac:dyDescent="0.35">
      <c r="F15597"/>
    </row>
    <row r="15598" spans="6:6" x14ac:dyDescent="0.35">
      <c r="F15598"/>
    </row>
    <row r="15599" spans="6:6" x14ac:dyDescent="0.35">
      <c r="F15599"/>
    </row>
    <row r="15600" spans="6:6" x14ac:dyDescent="0.35">
      <c r="F15600"/>
    </row>
    <row r="15601" spans="6:6" x14ac:dyDescent="0.35">
      <c r="F15601"/>
    </row>
    <row r="15602" spans="6:6" x14ac:dyDescent="0.35">
      <c r="F15602"/>
    </row>
    <row r="15603" spans="6:6" x14ac:dyDescent="0.35">
      <c r="F15603"/>
    </row>
    <row r="15604" spans="6:6" x14ac:dyDescent="0.35">
      <c r="F15604"/>
    </row>
    <row r="15605" spans="6:6" x14ac:dyDescent="0.35">
      <c r="F15605"/>
    </row>
    <row r="15606" spans="6:6" x14ac:dyDescent="0.35">
      <c r="F15606"/>
    </row>
    <row r="15607" spans="6:6" x14ac:dyDescent="0.35">
      <c r="F15607"/>
    </row>
    <row r="15608" spans="6:6" x14ac:dyDescent="0.35">
      <c r="F15608"/>
    </row>
    <row r="15609" spans="6:6" x14ac:dyDescent="0.35">
      <c r="F15609"/>
    </row>
    <row r="15610" spans="6:6" x14ac:dyDescent="0.35">
      <c r="F15610"/>
    </row>
    <row r="15611" spans="6:6" x14ac:dyDescent="0.35">
      <c r="F15611"/>
    </row>
    <row r="15612" spans="6:6" x14ac:dyDescent="0.35">
      <c r="F15612"/>
    </row>
    <row r="15613" spans="6:6" x14ac:dyDescent="0.35">
      <c r="F15613"/>
    </row>
    <row r="15614" spans="6:6" x14ac:dyDescent="0.35">
      <c r="F15614"/>
    </row>
    <row r="15615" spans="6:6" x14ac:dyDescent="0.35">
      <c r="F15615"/>
    </row>
    <row r="15616" spans="6:6" x14ac:dyDescent="0.35">
      <c r="F15616"/>
    </row>
    <row r="15617" spans="6:6" x14ac:dyDescent="0.35">
      <c r="F15617"/>
    </row>
    <row r="15618" spans="6:6" x14ac:dyDescent="0.35">
      <c r="F15618"/>
    </row>
    <row r="15619" spans="6:6" x14ac:dyDescent="0.35">
      <c r="F15619"/>
    </row>
    <row r="15620" spans="6:6" x14ac:dyDescent="0.35">
      <c r="F15620"/>
    </row>
    <row r="15621" spans="6:6" x14ac:dyDescent="0.35">
      <c r="F15621"/>
    </row>
    <row r="15622" spans="6:6" x14ac:dyDescent="0.35">
      <c r="F15622"/>
    </row>
    <row r="15623" spans="6:6" x14ac:dyDescent="0.35">
      <c r="F15623"/>
    </row>
    <row r="15624" spans="6:6" x14ac:dyDescent="0.35">
      <c r="F15624"/>
    </row>
    <row r="15625" spans="6:6" x14ac:dyDescent="0.35">
      <c r="F15625"/>
    </row>
    <row r="15626" spans="6:6" x14ac:dyDescent="0.35">
      <c r="F15626"/>
    </row>
    <row r="15627" spans="6:6" x14ac:dyDescent="0.35">
      <c r="F15627"/>
    </row>
    <row r="15628" spans="6:6" x14ac:dyDescent="0.35">
      <c r="F15628"/>
    </row>
    <row r="15629" spans="6:6" x14ac:dyDescent="0.35">
      <c r="F15629"/>
    </row>
    <row r="15630" spans="6:6" x14ac:dyDescent="0.35">
      <c r="F15630"/>
    </row>
    <row r="15631" spans="6:6" x14ac:dyDescent="0.35">
      <c r="F15631"/>
    </row>
    <row r="15632" spans="6:6" x14ac:dyDescent="0.35">
      <c r="F15632"/>
    </row>
    <row r="15633" spans="6:6" x14ac:dyDescent="0.35">
      <c r="F15633"/>
    </row>
    <row r="15634" spans="6:6" x14ac:dyDescent="0.35">
      <c r="F15634"/>
    </row>
    <row r="15635" spans="6:6" x14ac:dyDescent="0.35">
      <c r="F15635"/>
    </row>
    <row r="15636" spans="6:6" x14ac:dyDescent="0.35">
      <c r="F15636"/>
    </row>
    <row r="15637" spans="6:6" x14ac:dyDescent="0.35">
      <c r="F15637"/>
    </row>
    <row r="15638" spans="6:6" x14ac:dyDescent="0.35">
      <c r="F15638"/>
    </row>
    <row r="15639" spans="6:6" x14ac:dyDescent="0.35">
      <c r="F15639"/>
    </row>
    <row r="15640" spans="6:6" x14ac:dyDescent="0.35">
      <c r="F15640"/>
    </row>
    <row r="15641" spans="6:6" x14ac:dyDescent="0.35">
      <c r="F15641"/>
    </row>
    <row r="15642" spans="6:6" x14ac:dyDescent="0.35">
      <c r="F15642"/>
    </row>
    <row r="15643" spans="6:6" x14ac:dyDescent="0.35">
      <c r="F15643"/>
    </row>
    <row r="15644" spans="6:6" x14ac:dyDescent="0.35">
      <c r="F15644"/>
    </row>
    <row r="15645" spans="6:6" x14ac:dyDescent="0.35">
      <c r="F15645"/>
    </row>
    <row r="15646" spans="6:6" x14ac:dyDescent="0.35">
      <c r="F15646"/>
    </row>
    <row r="15647" spans="6:6" x14ac:dyDescent="0.35">
      <c r="F15647"/>
    </row>
    <row r="15648" spans="6:6" x14ac:dyDescent="0.35">
      <c r="F15648"/>
    </row>
    <row r="15649" spans="6:6" x14ac:dyDescent="0.35">
      <c r="F15649"/>
    </row>
    <row r="15650" spans="6:6" x14ac:dyDescent="0.35">
      <c r="F15650"/>
    </row>
    <row r="15651" spans="6:6" x14ac:dyDescent="0.35">
      <c r="F15651"/>
    </row>
    <row r="15652" spans="6:6" x14ac:dyDescent="0.35">
      <c r="F15652"/>
    </row>
    <row r="15653" spans="6:6" x14ac:dyDescent="0.35">
      <c r="F15653"/>
    </row>
    <row r="15654" spans="6:6" x14ac:dyDescent="0.35">
      <c r="F15654"/>
    </row>
    <row r="15655" spans="6:6" x14ac:dyDescent="0.35">
      <c r="F15655"/>
    </row>
    <row r="15656" spans="6:6" x14ac:dyDescent="0.35">
      <c r="F15656"/>
    </row>
    <row r="15657" spans="6:6" x14ac:dyDescent="0.35">
      <c r="F15657"/>
    </row>
    <row r="15658" spans="6:6" x14ac:dyDescent="0.35">
      <c r="F15658"/>
    </row>
    <row r="15659" spans="6:6" x14ac:dyDescent="0.35">
      <c r="F15659"/>
    </row>
    <row r="15660" spans="6:6" x14ac:dyDescent="0.35">
      <c r="F15660"/>
    </row>
    <row r="15661" spans="6:6" x14ac:dyDescent="0.35">
      <c r="F15661"/>
    </row>
    <row r="15662" spans="6:6" x14ac:dyDescent="0.35">
      <c r="F15662"/>
    </row>
    <row r="15663" spans="6:6" x14ac:dyDescent="0.35">
      <c r="F15663"/>
    </row>
    <row r="15664" spans="6:6" x14ac:dyDescent="0.35">
      <c r="F15664"/>
    </row>
    <row r="15665" spans="6:6" x14ac:dyDescent="0.35">
      <c r="F15665"/>
    </row>
    <row r="15666" spans="6:6" x14ac:dyDescent="0.35">
      <c r="F15666"/>
    </row>
    <row r="15667" spans="6:6" x14ac:dyDescent="0.35">
      <c r="F15667"/>
    </row>
    <row r="15668" spans="6:6" x14ac:dyDescent="0.35">
      <c r="F15668"/>
    </row>
    <row r="15669" spans="6:6" x14ac:dyDescent="0.35">
      <c r="F15669"/>
    </row>
    <row r="15670" spans="6:6" x14ac:dyDescent="0.35">
      <c r="F15670"/>
    </row>
    <row r="15671" spans="6:6" x14ac:dyDescent="0.35">
      <c r="F15671"/>
    </row>
    <row r="15672" spans="6:6" x14ac:dyDescent="0.35">
      <c r="F15672"/>
    </row>
    <row r="15673" spans="6:6" x14ac:dyDescent="0.35">
      <c r="F15673"/>
    </row>
    <row r="15674" spans="6:6" x14ac:dyDescent="0.35">
      <c r="F15674"/>
    </row>
    <row r="15675" spans="6:6" x14ac:dyDescent="0.35">
      <c r="F15675"/>
    </row>
    <row r="15676" spans="6:6" x14ac:dyDescent="0.35">
      <c r="F15676"/>
    </row>
    <row r="15677" spans="6:6" x14ac:dyDescent="0.35">
      <c r="F15677"/>
    </row>
    <row r="15678" spans="6:6" x14ac:dyDescent="0.35">
      <c r="F15678"/>
    </row>
    <row r="15679" spans="6:6" x14ac:dyDescent="0.35">
      <c r="F15679"/>
    </row>
    <row r="15680" spans="6:6" x14ac:dyDescent="0.35">
      <c r="F15680"/>
    </row>
    <row r="15681" spans="6:6" x14ac:dyDescent="0.35">
      <c r="F15681"/>
    </row>
    <row r="15682" spans="6:6" x14ac:dyDescent="0.35">
      <c r="F15682"/>
    </row>
    <row r="15683" spans="6:6" x14ac:dyDescent="0.35">
      <c r="F15683"/>
    </row>
    <row r="15684" spans="6:6" x14ac:dyDescent="0.35">
      <c r="F15684"/>
    </row>
    <row r="15685" spans="6:6" x14ac:dyDescent="0.35">
      <c r="F15685"/>
    </row>
    <row r="15686" spans="6:6" x14ac:dyDescent="0.35">
      <c r="F15686"/>
    </row>
    <row r="15687" spans="6:6" x14ac:dyDescent="0.35">
      <c r="F15687"/>
    </row>
    <row r="15688" spans="6:6" x14ac:dyDescent="0.35">
      <c r="F15688"/>
    </row>
    <row r="15689" spans="6:6" x14ac:dyDescent="0.35">
      <c r="F15689"/>
    </row>
    <row r="15690" spans="6:6" x14ac:dyDescent="0.35">
      <c r="F15690"/>
    </row>
    <row r="15691" spans="6:6" x14ac:dyDescent="0.35">
      <c r="F15691"/>
    </row>
    <row r="15692" spans="6:6" x14ac:dyDescent="0.35">
      <c r="F15692"/>
    </row>
    <row r="15693" spans="6:6" x14ac:dyDescent="0.35">
      <c r="F15693"/>
    </row>
    <row r="15694" spans="6:6" x14ac:dyDescent="0.35">
      <c r="F15694"/>
    </row>
    <row r="15695" spans="6:6" x14ac:dyDescent="0.35">
      <c r="F15695"/>
    </row>
    <row r="15696" spans="6:6" x14ac:dyDescent="0.35">
      <c r="F15696"/>
    </row>
    <row r="15697" spans="6:6" x14ac:dyDescent="0.35">
      <c r="F15697"/>
    </row>
    <row r="15698" spans="6:6" x14ac:dyDescent="0.35">
      <c r="F15698"/>
    </row>
    <row r="15699" spans="6:6" x14ac:dyDescent="0.35">
      <c r="F15699"/>
    </row>
    <row r="15700" spans="6:6" x14ac:dyDescent="0.35">
      <c r="F15700"/>
    </row>
    <row r="15701" spans="6:6" x14ac:dyDescent="0.35">
      <c r="F15701"/>
    </row>
    <row r="15702" spans="6:6" x14ac:dyDescent="0.35">
      <c r="F15702"/>
    </row>
    <row r="15703" spans="6:6" x14ac:dyDescent="0.35">
      <c r="F15703"/>
    </row>
    <row r="15704" spans="6:6" x14ac:dyDescent="0.35">
      <c r="F15704"/>
    </row>
    <row r="15705" spans="6:6" x14ac:dyDescent="0.35">
      <c r="F15705"/>
    </row>
    <row r="15706" spans="6:6" x14ac:dyDescent="0.35">
      <c r="F15706"/>
    </row>
    <row r="15707" spans="6:6" x14ac:dyDescent="0.35">
      <c r="F15707"/>
    </row>
    <row r="15708" spans="6:6" x14ac:dyDescent="0.35">
      <c r="F15708"/>
    </row>
    <row r="15709" spans="6:6" x14ac:dyDescent="0.35">
      <c r="F15709"/>
    </row>
    <row r="15710" spans="6:6" x14ac:dyDescent="0.35">
      <c r="F15710"/>
    </row>
    <row r="15711" spans="6:6" x14ac:dyDescent="0.35">
      <c r="F15711"/>
    </row>
    <row r="15712" spans="6:6" x14ac:dyDescent="0.35">
      <c r="F15712"/>
    </row>
    <row r="15713" spans="6:6" x14ac:dyDescent="0.35">
      <c r="F15713"/>
    </row>
    <row r="15714" spans="6:6" x14ac:dyDescent="0.35">
      <c r="F15714"/>
    </row>
    <row r="15715" spans="6:6" x14ac:dyDescent="0.35">
      <c r="F15715"/>
    </row>
    <row r="15716" spans="6:6" x14ac:dyDescent="0.35">
      <c r="F15716"/>
    </row>
    <row r="15717" spans="6:6" x14ac:dyDescent="0.35">
      <c r="F15717"/>
    </row>
    <row r="15718" spans="6:6" x14ac:dyDescent="0.35">
      <c r="F15718"/>
    </row>
    <row r="15719" spans="6:6" x14ac:dyDescent="0.35">
      <c r="F15719"/>
    </row>
    <row r="15720" spans="6:6" x14ac:dyDescent="0.35">
      <c r="F15720"/>
    </row>
    <row r="15721" spans="6:6" x14ac:dyDescent="0.35">
      <c r="F15721"/>
    </row>
    <row r="15722" spans="6:6" x14ac:dyDescent="0.35">
      <c r="F15722"/>
    </row>
    <row r="15723" spans="6:6" x14ac:dyDescent="0.35">
      <c r="F15723"/>
    </row>
    <row r="15724" spans="6:6" x14ac:dyDescent="0.35">
      <c r="F15724"/>
    </row>
    <row r="15725" spans="6:6" x14ac:dyDescent="0.35">
      <c r="F15725"/>
    </row>
    <row r="15726" spans="6:6" x14ac:dyDescent="0.35">
      <c r="F15726"/>
    </row>
    <row r="15727" spans="6:6" x14ac:dyDescent="0.35">
      <c r="F15727"/>
    </row>
    <row r="15728" spans="6:6" x14ac:dyDescent="0.35">
      <c r="F15728"/>
    </row>
    <row r="15729" spans="6:6" x14ac:dyDescent="0.35">
      <c r="F15729"/>
    </row>
    <row r="15730" spans="6:6" x14ac:dyDescent="0.35">
      <c r="F15730"/>
    </row>
    <row r="15731" spans="6:6" x14ac:dyDescent="0.35">
      <c r="F15731"/>
    </row>
    <row r="15732" spans="6:6" x14ac:dyDescent="0.35">
      <c r="F15732"/>
    </row>
    <row r="15733" spans="6:6" x14ac:dyDescent="0.35">
      <c r="F15733"/>
    </row>
    <row r="15734" spans="6:6" x14ac:dyDescent="0.35">
      <c r="F15734"/>
    </row>
    <row r="15735" spans="6:6" x14ac:dyDescent="0.35">
      <c r="F15735"/>
    </row>
    <row r="15736" spans="6:6" x14ac:dyDescent="0.35">
      <c r="F15736"/>
    </row>
    <row r="15737" spans="6:6" x14ac:dyDescent="0.35">
      <c r="F15737"/>
    </row>
    <row r="15738" spans="6:6" x14ac:dyDescent="0.35">
      <c r="F15738"/>
    </row>
    <row r="15739" spans="6:6" x14ac:dyDescent="0.35">
      <c r="F15739"/>
    </row>
    <row r="15740" spans="6:6" x14ac:dyDescent="0.35">
      <c r="F15740"/>
    </row>
    <row r="15741" spans="6:6" x14ac:dyDescent="0.35">
      <c r="F15741"/>
    </row>
    <row r="15742" spans="6:6" x14ac:dyDescent="0.35">
      <c r="F15742"/>
    </row>
    <row r="15743" spans="6:6" x14ac:dyDescent="0.35">
      <c r="F15743"/>
    </row>
    <row r="15744" spans="6:6" x14ac:dyDescent="0.35">
      <c r="F15744"/>
    </row>
    <row r="15745" spans="6:6" x14ac:dyDescent="0.35">
      <c r="F15745"/>
    </row>
    <row r="15746" spans="6:6" x14ac:dyDescent="0.35">
      <c r="F15746"/>
    </row>
    <row r="15747" spans="6:6" x14ac:dyDescent="0.35">
      <c r="F15747"/>
    </row>
    <row r="15748" spans="6:6" x14ac:dyDescent="0.35">
      <c r="F15748"/>
    </row>
    <row r="15749" spans="6:6" x14ac:dyDescent="0.35">
      <c r="F15749"/>
    </row>
    <row r="15750" spans="6:6" x14ac:dyDescent="0.35">
      <c r="F15750"/>
    </row>
    <row r="15751" spans="6:6" x14ac:dyDescent="0.35">
      <c r="F15751"/>
    </row>
    <row r="15752" spans="6:6" x14ac:dyDescent="0.35">
      <c r="F15752"/>
    </row>
    <row r="15753" spans="6:6" x14ac:dyDescent="0.35">
      <c r="F15753"/>
    </row>
    <row r="15754" spans="6:6" x14ac:dyDescent="0.35">
      <c r="F15754"/>
    </row>
    <row r="15755" spans="6:6" x14ac:dyDescent="0.35">
      <c r="F15755"/>
    </row>
    <row r="15756" spans="6:6" x14ac:dyDescent="0.35">
      <c r="F15756"/>
    </row>
    <row r="15757" spans="6:6" x14ac:dyDescent="0.35">
      <c r="F15757"/>
    </row>
    <row r="15758" spans="6:6" x14ac:dyDescent="0.35">
      <c r="F15758"/>
    </row>
    <row r="15759" spans="6:6" x14ac:dyDescent="0.35">
      <c r="F15759"/>
    </row>
    <row r="15760" spans="6:6" x14ac:dyDescent="0.35">
      <c r="F15760"/>
    </row>
    <row r="15761" spans="6:6" x14ac:dyDescent="0.35">
      <c r="F15761"/>
    </row>
    <row r="15762" spans="6:6" x14ac:dyDescent="0.35">
      <c r="F15762"/>
    </row>
    <row r="15763" spans="6:6" x14ac:dyDescent="0.35">
      <c r="F15763"/>
    </row>
    <row r="15764" spans="6:6" x14ac:dyDescent="0.35">
      <c r="F15764"/>
    </row>
    <row r="15765" spans="6:6" x14ac:dyDescent="0.35">
      <c r="F15765"/>
    </row>
    <row r="15766" spans="6:6" x14ac:dyDescent="0.35">
      <c r="F15766"/>
    </row>
    <row r="15767" spans="6:6" x14ac:dyDescent="0.35">
      <c r="F15767"/>
    </row>
    <row r="15768" spans="6:6" x14ac:dyDescent="0.35">
      <c r="F15768"/>
    </row>
    <row r="15769" spans="6:6" x14ac:dyDescent="0.35">
      <c r="F15769"/>
    </row>
    <row r="15770" spans="6:6" x14ac:dyDescent="0.35">
      <c r="F15770"/>
    </row>
    <row r="15771" spans="6:6" x14ac:dyDescent="0.35">
      <c r="F15771"/>
    </row>
    <row r="15772" spans="6:6" x14ac:dyDescent="0.35">
      <c r="F15772"/>
    </row>
    <row r="15773" spans="6:6" x14ac:dyDescent="0.35">
      <c r="F15773"/>
    </row>
    <row r="15774" spans="6:6" x14ac:dyDescent="0.35">
      <c r="F15774"/>
    </row>
    <row r="15775" spans="6:6" x14ac:dyDescent="0.35">
      <c r="F15775"/>
    </row>
    <row r="15776" spans="6:6" x14ac:dyDescent="0.35">
      <c r="F15776"/>
    </row>
    <row r="15777" spans="6:6" x14ac:dyDescent="0.35">
      <c r="F15777"/>
    </row>
    <row r="15778" spans="6:6" x14ac:dyDescent="0.35">
      <c r="F15778"/>
    </row>
    <row r="15779" spans="6:6" x14ac:dyDescent="0.35">
      <c r="F15779"/>
    </row>
    <row r="15780" spans="6:6" x14ac:dyDescent="0.35">
      <c r="F15780"/>
    </row>
    <row r="15781" spans="6:6" x14ac:dyDescent="0.35">
      <c r="F15781"/>
    </row>
    <row r="15782" spans="6:6" x14ac:dyDescent="0.35">
      <c r="F15782"/>
    </row>
    <row r="15783" spans="6:6" x14ac:dyDescent="0.35">
      <c r="F15783"/>
    </row>
    <row r="15784" spans="6:6" x14ac:dyDescent="0.35">
      <c r="F15784"/>
    </row>
    <row r="15785" spans="6:6" x14ac:dyDescent="0.35">
      <c r="F15785"/>
    </row>
    <row r="15786" spans="6:6" x14ac:dyDescent="0.35">
      <c r="F15786"/>
    </row>
    <row r="15787" spans="6:6" x14ac:dyDescent="0.35">
      <c r="F15787"/>
    </row>
    <row r="15788" spans="6:6" x14ac:dyDescent="0.35">
      <c r="F15788"/>
    </row>
    <row r="15789" spans="6:6" x14ac:dyDescent="0.35">
      <c r="F15789"/>
    </row>
    <row r="15790" spans="6:6" x14ac:dyDescent="0.35">
      <c r="F15790"/>
    </row>
    <row r="15791" spans="6:6" x14ac:dyDescent="0.35">
      <c r="F15791"/>
    </row>
    <row r="15792" spans="6:6" x14ac:dyDescent="0.35">
      <c r="F15792"/>
    </row>
    <row r="15793" spans="6:6" x14ac:dyDescent="0.35">
      <c r="F15793"/>
    </row>
    <row r="15794" spans="6:6" x14ac:dyDescent="0.35">
      <c r="F15794"/>
    </row>
    <row r="15795" spans="6:6" x14ac:dyDescent="0.35">
      <c r="F15795"/>
    </row>
    <row r="15796" spans="6:6" x14ac:dyDescent="0.35">
      <c r="F15796"/>
    </row>
    <row r="15797" spans="6:6" x14ac:dyDescent="0.35">
      <c r="F15797"/>
    </row>
    <row r="15798" spans="6:6" x14ac:dyDescent="0.35">
      <c r="F15798"/>
    </row>
    <row r="15799" spans="6:6" x14ac:dyDescent="0.35">
      <c r="F15799"/>
    </row>
    <row r="15800" spans="6:6" x14ac:dyDescent="0.35">
      <c r="F15800"/>
    </row>
    <row r="15801" spans="6:6" x14ac:dyDescent="0.35">
      <c r="F15801"/>
    </row>
    <row r="15802" spans="6:6" x14ac:dyDescent="0.35">
      <c r="F15802"/>
    </row>
    <row r="15803" spans="6:6" x14ac:dyDescent="0.35">
      <c r="F15803"/>
    </row>
    <row r="15804" spans="6:6" x14ac:dyDescent="0.35">
      <c r="F15804"/>
    </row>
    <row r="15805" spans="6:6" x14ac:dyDescent="0.35">
      <c r="F15805"/>
    </row>
    <row r="15806" spans="6:6" x14ac:dyDescent="0.35">
      <c r="F15806"/>
    </row>
    <row r="15807" spans="6:6" x14ac:dyDescent="0.35">
      <c r="F15807"/>
    </row>
    <row r="15808" spans="6:6" x14ac:dyDescent="0.35">
      <c r="F15808"/>
    </row>
    <row r="15809" spans="6:6" x14ac:dyDescent="0.35">
      <c r="F15809"/>
    </row>
    <row r="15810" spans="6:6" x14ac:dyDescent="0.35">
      <c r="F15810"/>
    </row>
    <row r="15811" spans="6:6" x14ac:dyDescent="0.35">
      <c r="F15811"/>
    </row>
    <row r="15812" spans="6:6" x14ac:dyDescent="0.35">
      <c r="F15812"/>
    </row>
    <row r="15813" spans="6:6" x14ac:dyDescent="0.35">
      <c r="F15813"/>
    </row>
    <row r="15814" spans="6:6" x14ac:dyDescent="0.35">
      <c r="F15814"/>
    </row>
    <row r="15815" spans="6:6" x14ac:dyDescent="0.35">
      <c r="F15815"/>
    </row>
    <row r="15816" spans="6:6" x14ac:dyDescent="0.35">
      <c r="F15816"/>
    </row>
    <row r="15817" spans="6:6" x14ac:dyDescent="0.35">
      <c r="F15817"/>
    </row>
    <row r="15818" spans="6:6" x14ac:dyDescent="0.35">
      <c r="F15818"/>
    </row>
    <row r="15819" spans="6:6" x14ac:dyDescent="0.35">
      <c r="F15819"/>
    </row>
    <row r="15820" spans="6:6" x14ac:dyDescent="0.35">
      <c r="F15820"/>
    </row>
    <row r="15821" spans="6:6" x14ac:dyDescent="0.35">
      <c r="F15821"/>
    </row>
    <row r="15822" spans="6:6" x14ac:dyDescent="0.35">
      <c r="F15822"/>
    </row>
    <row r="15823" spans="6:6" x14ac:dyDescent="0.35">
      <c r="F15823"/>
    </row>
    <row r="15824" spans="6:6" x14ac:dyDescent="0.35">
      <c r="F15824"/>
    </row>
    <row r="15825" spans="6:6" x14ac:dyDescent="0.35">
      <c r="F15825"/>
    </row>
    <row r="15826" spans="6:6" x14ac:dyDescent="0.35">
      <c r="F15826"/>
    </row>
    <row r="15827" spans="6:6" x14ac:dyDescent="0.35">
      <c r="F15827"/>
    </row>
    <row r="15828" spans="6:6" x14ac:dyDescent="0.35">
      <c r="F15828"/>
    </row>
    <row r="15829" spans="6:6" x14ac:dyDescent="0.35">
      <c r="F15829"/>
    </row>
    <row r="15830" spans="6:6" x14ac:dyDescent="0.35">
      <c r="F15830"/>
    </row>
    <row r="15831" spans="6:6" x14ac:dyDescent="0.35">
      <c r="F15831"/>
    </row>
    <row r="15832" spans="6:6" x14ac:dyDescent="0.35">
      <c r="F15832"/>
    </row>
    <row r="15833" spans="6:6" x14ac:dyDescent="0.35">
      <c r="F15833"/>
    </row>
    <row r="15834" spans="6:6" x14ac:dyDescent="0.35">
      <c r="F15834"/>
    </row>
    <row r="15835" spans="6:6" x14ac:dyDescent="0.35">
      <c r="F15835"/>
    </row>
    <row r="15836" spans="6:6" x14ac:dyDescent="0.35">
      <c r="F15836"/>
    </row>
    <row r="15837" spans="6:6" x14ac:dyDescent="0.35">
      <c r="F15837"/>
    </row>
    <row r="15838" spans="6:6" x14ac:dyDescent="0.35">
      <c r="F15838"/>
    </row>
    <row r="15839" spans="6:6" x14ac:dyDescent="0.35">
      <c r="F15839"/>
    </row>
    <row r="15840" spans="6:6" x14ac:dyDescent="0.35">
      <c r="F15840"/>
    </row>
    <row r="15841" spans="6:6" x14ac:dyDescent="0.35">
      <c r="F15841"/>
    </row>
    <row r="15842" spans="6:6" x14ac:dyDescent="0.35">
      <c r="F15842"/>
    </row>
    <row r="15843" spans="6:6" x14ac:dyDescent="0.35">
      <c r="F15843"/>
    </row>
    <row r="15844" spans="6:6" x14ac:dyDescent="0.35">
      <c r="F15844"/>
    </row>
    <row r="15845" spans="6:6" x14ac:dyDescent="0.35">
      <c r="F15845"/>
    </row>
    <row r="15846" spans="6:6" x14ac:dyDescent="0.35">
      <c r="F15846"/>
    </row>
    <row r="15847" spans="6:6" x14ac:dyDescent="0.35">
      <c r="F15847"/>
    </row>
    <row r="15848" spans="6:6" x14ac:dyDescent="0.35">
      <c r="F15848"/>
    </row>
    <row r="15849" spans="6:6" x14ac:dyDescent="0.35">
      <c r="F15849"/>
    </row>
    <row r="15850" spans="6:6" x14ac:dyDescent="0.35">
      <c r="F15850"/>
    </row>
    <row r="15851" spans="6:6" x14ac:dyDescent="0.35">
      <c r="F15851"/>
    </row>
    <row r="15852" spans="6:6" x14ac:dyDescent="0.35">
      <c r="F15852"/>
    </row>
    <row r="15853" spans="6:6" x14ac:dyDescent="0.35">
      <c r="F15853"/>
    </row>
    <row r="15854" spans="6:6" x14ac:dyDescent="0.35">
      <c r="F15854"/>
    </row>
    <row r="15855" spans="6:6" x14ac:dyDescent="0.35">
      <c r="F15855"/>
    </row>
    <row r="15856" spans="6:6" x14ac:dyDescent="0.35">
      <c r="F15856"/>
    </row>
    <row r="15857" spans="6:6" x14ac:dyDescent="0.35">
      <c r="F15857"/>
    </row>
    <row r="15858" spans="6:6" x14ac:dyDescent="0.35">
      <c r="F15858"/>
    </row>
    <row r="15859" spans="6:6" x14ac:dyDescent="0.35">
      <c r="F15859"/>
    </row>
    <row r="15860" spans="6:6" x14ac:dyDescent="0.35">
      <c r="F15860"/>
    </row>
    <row r="15861" spans="6:6" x14ac:dyDescent="0.35">
      <c r="F15861"/>
    </row>
    <row r="15862" spans="6:6" x14ac:dyDescent="0.35">
      <c r="F15862"/>
    </row>
    <row r="15863" spans="6:6" x14ac:dyDescent="0.35">
      <c r="F15863"/>
    </row>
    <row r="15864" spans="6:6" x14ac:dyDescent="0.35">
      <c r="F15864"/>
    </row>
    <row r="15865" spans="6:6" x14ac:dyDescent="0.35">
      <c r="F15865"/>
    </row>
    <row r="15866" spans="6:6" x14ac:dyDescent="0.35">
      <c r="F15866"/>
    </row>
    <row r="15867" spans="6:6" x14ac:dyDescent="0.35">
      <c r="F15867"/>
    </row>
    <row r="15868" spans="6:6" x14ac:dyDescent="0.35">
      <c r="F15868"/>
    </row>
    <row r="15869" spans="6:6" x14ac:dyDescent="0.35">
      <c r="F15869"/>
    </row>
    <row r="15870" spans="6:6" x14ac:dyDescent="0.35">
      <c r="F15870"/>
    </row>
    <row r="15871" spans="6:6" x14ac:dyDescent="0.35">
      <c r="F15871"/>
    </row>
    <row r="15872" spans="6:6" x14ac:dyDescent="0.35">
      <c r="F15872"/>
    </row>
    <row r="15873" spans="6:6" x14ac:dyDescent="0.35">
      <c r="F15873"/>
    </row>
    <row r="15874" spans="6:6" x14ac:dyDescent="0.35">
      <c r="F15874"/>
    </row>
    <row r="15875" spans="6:6" x14ac:dyDescent="0.35">
      <c r="F15875"/>
    </row>
    <row r="15876" spans="6:6" x14ac:dyDescent="0.35">
      <c r="F15876"/>
    </row>
    <row r="15877" spans="6:6" x14ac:dyDescent="0.35">
      <c r="F15877"/>
    </row>
    <row r="15878" spans="6:6" x14ac:dyDescent="0.35">
      <c r="F15878"/>
    </row>
    <row r="15879" spans="6:6" x14ac:dyDescent="0.35">
      <c r="F15879"/>
    </row>
    <row r="15880" spans="6:6" x14ac:dyDescent="0.35">
      <c r="F15880"/>
    </row>
    <row r="15881" spans="6:6" x14ac:dyDescent="0.35">
      <c r="F15881"/>
    </row>
    <row r="15882" spans="6:6" x14ac:dyDescent="0.35">
      <c r="F15882"/>
    </row>
    <row r="15883" spans="6:6" x14ac:dyDescent="0.35">
      <c r="F15883"/>
    </row>
    <row r="15884" spans="6:6" x14ac:dyDescent="0.35">
      <c r="F15884"/>
    </row>
    <row r="15885" spans="6:6" x14ac:dyDescent="0.35">
      <c r="F15885"/>
    </row>
    <row r="15886" spans="6:6" x14ac:dyDescent="0.35">
      <c r="F15886"/>
    </row>
    <row r="15887" spans="6:6" x14ac:dyDescent="0.35">
      <c r="F15887"/>
    </row>
    <row r="15888" spans="6:6" x14ac:dyDescent="0.35">
      <c r="F15888"/>
    </row>
    <row r="15889" spans="6:6" x14ac:dyDescent="0.35">
      <c r="F15889"/>
    </row>
    <row r="15890" spans="6:6" x14ac:dyDescent="0.35">
      <c r="F15890"/>
    </row>
    <row r="15891" spans="6:6" x14ac:dyDescent="0.35">
      <c r="F15891"/>
    </row>
    <row r="15892" spans="6:6" x14ac:dyDescent="0.35">
      <c r="F15892"/>
    </row>
    <row r="15893" spans="6:6" x14ac:dyDescent="0.35">
      <c r="F15893"/>
    </row>
    <row r="15894" spans="6:6" x14ac:dyDescent="0.35">
      <c r="F15894"/>
    </row>
    <row r="15895" spans="6:6" x14ac:dyDescent="0.35">
      <c r="F15895"/>
    </row>
    <row r="15896" spans="6:6" x14ac:dyDescent="0.35">
      <c r="F15896"/>
    </row>
    <row r="15897" spans="6:6" x14ac:dyDescent="0.35">
      <c r="F15897"/>
    </row>
    <row r="15898" spans="6:6" x14ac:dyDescent="0.35">
      <c r="F15898"/>
    </row>
    <row r="15899" spans="6:6" x14ac:dyDescent="0.35">
      <c r="F15899"/>
    </row>
    <row r="15900" spans="6:6" x14ac:dyDescent="0.35">
      <c r="F15900"/>
    </row>
    <row r="15901" spans="6:6" x14ac:dyDescent="0.35">
      <c r="F15901"/>
    </row>
    <row r="15902" spans="6:6" x14ac:dyDescent="0.35">
      <c r="F15902"/>
    </row>
    <row r="15903" spans="6:6" x14ac:dyDescent="0.35">
      <c r="F15903"/>
    </row>
    <row r="15904" spans="6:6" x14ac:dyDescent="0.35">
      <c r="F15904"/>
    </row>
    <row r="15905" spans="6:6" x14ac:dyDescent="0.35">
      <c r="F15905"/>
    </row>
    <row r="15906" spans="6:6" x14ac:dyDescent="0.35">
      <c r="F15906"/>
    </row>
    <row r="15907" spans="6:6" x14ac:dyDescent="0.35">
      <c r="F15907"/>
    </row>
    <row r="15908" spans="6:6" x14ac:dyDescent="0.35">
      <c r="F15908"/>
    </row>
    <row r="15909" spans="6:6" x14ac:dyDescent="0.35">
      <c r="F15909"/>
    </row>
    <row r="15910" spans="6:6" x14ac:dyDescent="0.35">
      <c r="F15910"/>
    </row>
    <row r="15911" spans="6:6" x14ac:dyDescent="0.35">
      <c r="F15911"/>
    </row>
    <row r="15912" spans="6:6" x14ac:dyDescent="0.35">
      <c r="F15912"/>
    </row>
    <row r="15913" spans="6:6" x14ac:dyDescent="0.35">
      <c r="F15913"/>
    </row>
    <row r="15914" spans="6:6" x14ac:dyDescent="0.35">
      <c r="F15914"/>
    </row>
    <row r="15915" spans="6:6" x14ac:dyDescent="0.35">
      <c r="F15915"/>
    </row>
    <row r="15916" spans="6:6" x14ac:dyDescent="0.35">
      <c r="F15916"/>
    </row>
    <row r="15917" spans="6:6" x14ac:dyDescent="0.35">
      <c r="F15917"/>
    </row>
    <row r="15918" spans="6:6" x14ac:dyDescent="0.35">
      <c r="F15918"/>
    </row>
    <row r="15919" spans="6:6" x14ac:dyDescent="0.35">
      <c r="F15919"/>
    </row>
    <row r="15920" spans="6:6" x14ac:dyDescent="0.35">
      <c r="F15920"/>
    </row>
    <row r="15921" spans="6:6" x14ac:dyDescent="0.35">
      <c r="F15921"/>
    </row>
    <row r="15922" spans="6:6" x14ac:dyDescent="0.35">
      <c r="F15922"/>
    </row>
    <row r="15923" spans="6:6" x14ac:dyDescent="0.35">
      <c r="F15923"/>
    </row>
    <row r="15924" spans="6:6" x14ac:dyDescent="0.35">
      <c r="F15924"/>
    </row>
    <row r="15925" spans="6:6" x14ac:dyDescent="0.35">
      <c r="F15925"/>
    </row>
    <row r="15926" spans="6:6" x14ac:dyDescent="0.35">
      <c r="F15926"/>
    </row>
    <row r="15927" spans="6:6" x14ac:dyDescent="0.35">
      <c r="F15927"/>
    </row>
    <row r="15928" spans="6:6" x14ac:dyDescent="0.35">
      <c r="F15928"/>
    </row>
    <row r="15929" spans="6:6" x14ac:dyDescent="0.35">
      <c r="F15929"/>
    </row>
    <row r="15930" spans="6:6" x14ac:dyDescent="0.35">
      <c r="F15930"/>
    </row>
    <row r="15931" spans="6:6" x14ac:dyDescent="0.35">
      <c r="F15931"/>
    </row>
    <row r="15932" spans="6:6" x14ac:dyDescent="0.35">
      <c r="F15932"/>
    </row>
    <row r="15933" spans="6:6" x14ac:dyDescent="0.35">
      <c r="F15933"/>
    </row>
    <row r="15934" spans="6:6" x14ac:dyDescent="0.35">
      <c r="F15934"/>
    </row>
    <row r="15935" spans="6:6" x14ac:dyDescent="0.35">
      <c r="F15935"/>
    </row>
    <row r="15936" spans="6:6" x14ac:dyDescent="0.35">
      <c r="F15936"/>
    </row>
    <row r="15937" spans="6:6" x14ac:dyDescent="0.35">
      <c r="F15937"/>
    </row>
    <row r="15938" spans="6:6" x14ac:dyDescent="0.35">
      <c r="F15938"/>
    </row>
    <row r="15939" spans="6:6" x14ac:dyDescent="0.35">
      <c r="F15939"/>
    </row>
    <row r="15940" spans="6:6" x14ac:dyDescent="0.35">
      <c r="F15940"/>
    </row>
    <row r="15941" spans="6:6" x14ac:dyDescent="0.35">
      <c r="F15941"/>
    </row>
    <row r="15942" spans="6:6" x14ac:dyDescent="0.35">
      <c r="F15942"/>
    </row>
    <row r="15943" spans="6:6" x14ac:dyDescent="0.35">
      <c r="F15943"/>
    </row>
    <row r="15944" spans="6:6" x14ac:dyDescent="0.35">
      <c r="F15944"/>
    </row>
    <row r="15945" spans="6:6" x14ac:dyDescent="0.35">
      <c r="F15945"/>
    </row>
    <row r="15946" spans="6:6" x14ac:dyDescent="0.35">
      <c r="F15946"/>
    </row>
    <row r="15947" spans="6:6" x14ac:dyDescent="0.35">
      <c r="F15947"/>
    </row>
    <row r="15948" spans="6:6" x14ac:dyDescent="0.35">
      <c r="F15948"/>
    </row>
    <row r="15949" spans="6:6" x14ac:dyDescent="0.35">
      <c r="F15949"/>
    </row>
    <row r="15950" spans="6:6" x14ac:dyDescent="0.35">
      <c r="F15950"/>
    </row>
    <row r="15951" spans="6:6" x14ac:dyDescent="0.35">
      <c r="F15951"/>
    </row>
    <row r="15952" spans="6:6" x14ac:dyDescent="0.35">
      <c r="F15952"/>
    </row>
    <row r="15953" spans="6:6" x14ac:dyDescent="0.35">
      <c r="F15953"/>
    </row>
    <row r="15954" spans="6:6" x14ac:dyDescent="0.35">
      <c r="F15954"/>
    </row>
    <row r="15955" spans="6:6" x14ac:dyDescent="0.35">
      <c r="F15955"/>
    </row>
    <row r="15956" spans="6:6" x14ac:dyDescent="0.35">
      <c r="F15956"/>
    </row>
    <row r="15957" spans="6:6" x14ac:dyDescent="0.35">
      <c r="F15957"/>
    </row>
    <row r="15958" spans="6:6" x14ac:dyDescent="0.35">
      <c r="F15958"/>
    </row>
    <row r="15959" spans="6:6" x14ac:dyDescent="0.35">
      <c r="F15959"/>
    </row>
    <row r="15960" spans="6:6" x14ac:dyDescent="0.35">
      <c r="F15960"/>
    </row>
    <row r="15961" spans="6:6" x14ac:dyDescent="0.35">
      <c r="F15961"/>
    </row>
    <row r="15962" spans="6:6" x14ac:dyDescent="0.35">
      <c r="F15962"/>
    </row>
    <row r="15963" spans="6:6" x14ac:dyDescent="0.35">
      <c r="F15963"/>
    </row>
    <row r="15964" spans="6:6" x14ac:dyDescent="0.35">
      <c r="F15964"/>
    </row>
    <row r="15965" spans="6:6" x14ac:dyDescent="0.35">
      <c r="F15965"/>
    </row>
    <row r="15966" spans="6:6" x14ac:dyDescent="0.35">
      <c r="F15966"/>
    </row>
    <row r="15967" spans="6:6" x14ac:dyDescent="0.35">
      <c r="F15967"/>
    </row>
    <row r="15968" spans="6:6" x14ac:dyDescent="0.35">
      <c r="F15968"/>
    </row>
    <row r="15969" spans="6:6" x14ac:dyDescent="0.35">
      <c r="F15969"/>
    </row>
    <row r="15970" spans="6:6" x14ac:dyDescent="0.35">
      <c r="F15970"/>
    </row>
    <row r="15971" spans="6:6" x14ac:dyDescent="0.35">
      <c r="F15971"/>
    </row>
    <row r="15972" spans="6:6" x14ac:dyDescent="0.35">
      <c r="F15972"/>
    </row>
    <row r="15973" spans="6:6" x14ac:dyDescent="0.35">
      <c r="F15973"/>
    </row>
    <row r="15974" spans="6:6" x14ac:dyDescent="0.35">
      <c r="F15974"/>
    </row>
    <row r="15975" spans="6:6" x14ac:dyDescent="0.35">
      <c r="F15975"/>
    </row>
    <row r="15976" spans="6:6" x14ac:dyDescent="0.35">
      <c r="F15976"/>
    </row>
    <row r="15977" spans="6:6" x14ac:dyDescent="0.35">
      <c r="F15977"/>
    </row>
    <row r="15978" spans="6:6" x14ac:dyDescent="0.35">
      <c r="F15978"/>
    </row>
    <row r="15979" spans="6:6" x14ac:dyDescent="0.35">
      <c r="F15979"/>
    </row>
    <row r="15980" spans="6:6" x14ac:dyDescent="0.35">
      <c r="F15980"/>
    </row>
    <row r="15981" spans="6:6" x14ac:dyDescent="0.35">
      <c r="F15981"/>
    </row>
    <row r="15982" spans="6:6" x14ac:dyDescent="0.35">
      <c r="F15982"/>
    </row>
    <row r="15983" spans="6:6" x14ac:dyDescent="0.35">
      <c r="F15983"/>
    </row>
    <row r="15984" spans="6:6" x14ac:dyDescent="0.35">
      <c r="F15984"/>
    </row>
    <row r="15985" spans="6:6" x14ac:dyDescent="0.35">
      <c r="F15985"/>
    </row>
    <row r="15986" spans="6:6" x14ac:dyDescent="0.35">
      <c r="F15986"/>
    </row>
    <row r="15987" spans="6:6" x14ac:dyDescent="0.35">
      <c r="F15987"/>
    </row>
    <row r="15988" spans="6:6" x14ac:dyDescent="0.35">
      <c r="F15988"/>
    </row>
    <row r="15989" spans="6:6" x14ac:dyDescent="0.35">
      <c r="F15989"/>
    </row>
    <row r="15990" spans="6:6" x14ac:dyDescent="0.35">
      <c r="F15990"/>
    </row>
    <row r="15991" spans="6:6" x14ac:dyDescent="0.35">
      <c r="F15991"/>
    </row>
    <row r="15992" spans="6:6" x14ac:dyDescent="0.35">
      <c r="F15992"/>
    </row>
    <row r="15993" spans="6:6" x14ac:dyDescent="0.35">
      <c r="F15993"/>
    </row>
    <row r="15994" spans="6:6" x14ac:dyDescent="0.35">
      <c r="F15994"/>
    </row>
    <row r="15995" spans="6:6" x14ac:dyDescent="0.35">
      <c r="F15995"/>
    </row>
    <row r="15996" spans="6:6" x14ac:dyDescent="0.35">
      <c r="F15996"/>
    </row>
    <row r="15997" spans="6:6" x14ac:dyDescent="0.35">
      <c r="F15997"/>
    </row>
    <row r="15998" spans="6:6" x14ac:dyDescent="0.35">
      <c r="F15998"/>
    </row>
    <row r="15999" spans="6:6" x14ac:dyDescent="0.35">
      <c r="F15999"/>
    </row>
    <row r="16000" spans="6:6" x14ac:dyDescent="0.35">
      <c r="F16000"/>
    </row>
    <row r="16001" spans="6:6" x14ac:dyDescent="0.35">
      <c r="F16001"/>
    </row>
    <row r="16002" spans="6:6" x14ac:dyDescent="0.35">
      <c r="F16002"/>
    </row>
    <row r="16003" spans="6:6" x14ac:dyDescent="0.35">
      <c r="F16003"/>
    </row>
    <row r="16004" spans="6:6" x14ac:dyDescent="0.35">
      <c r="F16004"/>
    </row>
    <row r="16005" spans="6:6" x14ac:dyDescent="0.35">
      <c r="F16005"/>
    </row>
    <row r="16006" spans="6:6" x14ac:dyDescent="0.35">
      <c r="F16006"/>
    </row>
    <row r="16007" spans="6:6" x14ac:dyDescent="0.35">
      <c r="F16007"/>
    </row>
    <row r="16008" spans="6:6" x14ac:dyDescent="0.35">
      <c r="F16008"/>
    </row>
    <row r="16009" spans="6:6" x14ac:dyDescent="0.35">
      <c r="F16009"/>
    </row>
    <row r="16010" spans="6:6" x14ac:dyDescent="0.35">
      <c r="F16010"/>
    </row>
    <row r="16011" spans="6:6" x14ac:dyDescent="0.35">
      <c r="F16011"/>
    </row>
    <row r="16012" spans="6:6" x14ac:dyDescent="0.35">
      <c r="F16012"/>
    </row>
    <row r="16013" spans="6:6" x14ac:dyDescent="0.35">
      <c r="F16013"/>
    </row>
    <row r="16014" spans="6:6" x14ac:dyDescent="0.35">
      <c r="F16014"/>
    </row>
    <row r="16015" spans="6:6" x14ac:dyDescent="0.35">
      <c r="F16015"/>
    </row>
    <row r="16016" spans="6:6" x14ac:dyDescent="0.35">
      <c r="F16016"/>
    </row>
    <row r="16017" spans="6:6" x14ac:dyDescent="0.35">
      <c r="F16017"/>
    </row>
    <row r="16018" spans="6:6" x14ac:dyDescent="0.35">
      <c r="F16018"/>
    </row>
    <row r="16019" spans="6:6" x14ac:dyDescent="0.35">
      <c r="F16019"/>
    </row>
    <row r="16020" spans="6:6" x14ac:dyDescent="0.35">
      <c r="F16020"/>
    </row>
    <row r="16021" spans="6:6" x14ac:dyDescent="0.35">
      <c r="F16021"/>
    </row>
    <row r="16022" spans="6:6" x14ac:dyDescent="0.35">
      <c r="F16022"/>
    </row>
    <row r="16023" spans="6:6" x14ac:dyDescent="0.35">
      <c r="F16023"/>
    </row>
    <row r="16024" spans="6:6" x14ac:dyDescent="0.35">
      <c r="F16024"/>
    </row>
    <row r="16025" spans="6:6" x14ac:dyDescent="0.35">
      <c r="F16025"/>
    </row>
    <row r="16026" spans="6:6" x14ac:dyDescent="0.35">
      <c r="F16026"/>
    </row>
    <row r="16027" spans="6:6" x14ac:dyDescent="0.35">
      <c r="F16027"/>
    </row>
    <row r="16028" spans="6:6" x14ac:dyDescent="0.35">
      <c r="F16028"/>
    </row>
    <row r="16029" spans="6:6" x14ac:dyDescent="0.35">
      <c r="F16029"/>
    </row>
    <row r="16030" spans="6:6" x14ac:dyDescent="0.35">
      <c r="F16030"/>
    </row>
    <row r="16031" spans="6:6" x14ac:dyDescent="0.35">
      <c r="F16031"/>
    </row>
    <row r="16032" spans="6:6" x14ac:dyDescent="0.35">
      <c r="F16032"/>
    </row>
    <row r="16033" spans="6:6" x14ac:dyDescent="0.35">
      <c r="F16033"/>
    </row>
    <row r="16034" spans="6:6" x14ac:dyDescent="0.35">
      <c r="F16034"/>
    </row>
    <row r="16035" spans="6:6" x14ac:dyDescent="0.35">
      <c r="F16035"/>
    </row>
    <row r="16036" spans="6:6" x14ac:dyDescent="0.35">
      <c r="F16036"/>
    </row>
    <row r="16037" spans="6:6" x14ac:dyDescent="0.35">
      <c r="F16037"/>
    </row>
    <row r="16038" spans="6:6" x14ac:dyDescent="0.35">
      <c r="F16038"/>
    </row>
    <row r="16039" spans="6:6" x14ac:dyDescent="0.35">
      <c r="F16039"/>
    </row>
    <row r="16040" spans="6:6" x14ac:dyDescent="0.35">
      <c r="F16040"/>
    </row>
    <row r="16041" spans="6:6" x14ac:dyDescent="0.35">
      <c r="F16041"/>
    </row>
    <row r="16042" spans="6:6" x14ac:dyDescent="0.35">
      <c r="F16042"/>
    </row>
    <row r="16043" spans="6:6" x14ac:dyDescent="0.35">
      <c r="F16043"/>
    </row>
    <row r="16044" spans="6:6" x14ac:dyDescent="0.35">
      <c r="F16044"/>
    </row>
    <row r="16045" spans="6:6" x14ac:dyDescent="0.35">
      <c r="F16045"/>
    </row>
    <row r="16046" spans="6:6" x14ac:dyDescent="0.35">
      <c r="F16046"/>
    </row>
    <row r="16047" spans="6:6" x14ac:dyDescent="0.35">
      <c r="F16047"/>
    </row>
    <row r="16048" spans="6:6" x14ac:dyDescent="0.35">
      <c r="F16048"/>
    </row>
    <row r="16049" spans="6:6" x14ac:dyDescent="0.35">
      <c r="F16049"/>
    </row>
    <row r="16050" spans="6:6" x14ac:dyDescent="0.35">
      <c r="F16050"/>
    </row>
    <row r="16051" spans="6:6" x14ac:dyDescent="0.35">
      <c r="F16051"/>
    </row>
    <row r="16052" spans="6:6" x14ac:dyDescent="0.35">
      <c r="F16052"/>
    </row>
    <row r="16053" spans="6:6" x14ac:dyDescent="0.35">
      <c r="F16053"/>
    </row>
    <row r="16054" spans="6:6" x14ac:dyDescent="0.35">
      <c r="F16054"/>
    </row>
    <row r="16055" spans="6:6" x14ac:dyDescent="0.35">
      <c r="F16055"/>
    </row>
    <row r="16056" spans="6:6" x14ac:dyDescent="0.35">
      <c r="F16056"/>
    </row>
    <row r="16057" spans="6:6" x14ac:dyDescent="0.35">
      <c r="F16057"/>
    </row>
    <row r="16058" spans="6:6" x14ac:dyDescent="0.35">
      <c r="F16058"/>
    </row>
    <row r="16059" spans="6:6" x14ac:dyDescent="0.35">
      <c r="F16059"/>
    </row>
    <row r="16060" spans="6:6" x14ac:dyDescent="0.35">
      <c r="F16060"/>
    </row>
    <row r="16061" spans="6:6" x14ac:dyDescent="0.35">
      <c r="F16061"/>
    </row>
    <row r="16062" spans="6:6" x14ac:dyDescent="0.35">
      <c r="F16062"/>
    </row>
    <row r="16063" spans="6:6" x14ac:dyDescent="0.35">
      <c r="F16063"/>
    </row>
    <row r="16064" spans="6:6" x14ac:dyDescent="0.35">
      <c r="F16064"/>
    </row>
    <row r="16065" spans="6:6" x14ac:dyDescent="0.35">
      <c r="F16065"/>
    </row>
    <row r="16066" spans="6:6" x14ac:dyDescent="0.35">
      <c r="F16066"/>
    </row>
    <row r="16067" spans="6:6" x14ac:dyDescent="0.35">
      <c r="F16067"/>
    </row>
    <row r="16068" spans="6:6" x14ac:dyDescent="0.35">
      <c r="F16068"/>
    </row>
    <row r="16069" spans="6:6" x14ac:dyDescent="0.35">
      <c r="F16069"/>
    </row>
    <row r="16070" spans="6:6" x14ac:dyDescent="0.35">
      <c r="F16070"/>
    </row>
    <row r="16071" spans="6:6" x14ac:dyDescent="0.35">
      <c r="F16071"/>
    </row>
    <row r="16072" spans="6:6" x14ac:dyDescent="0.35">
      <c r="F16072"/>
    </row>
    <row r="16073" spans="6:6" x14ac:dyDescent="0.35">
      <c r="F16073"/>
    </row>
    <row r="16074" spans="6:6" x14ac:dyDescent="0.35">
      <c r="F16074"/>
    </row>
    <row r="16075" spans="6:6" x14ac:dyDescent="0.35">
      <c r="F16075"/>
    </row>
    <row r="16076" spans="6:6" x14ac:dyDescent="0.35">
      <c r="F16076"/>
    </row>
    <row r="16077" spans="6:6" x14ac:dyDescent="0.35">
      <c r="F16077"/>
    </row>
    <row r="16078" spans="6:6" x14ac:dyDescent="0.35">
      <c r="F16078"/>
    </row>
  </sheetData>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79C65-E365-4BBA-93AC-82D07175DD51}">
  <sheetPr codeName="Sheet7"/>
  <dimension ref="A2:P11"/>
  <sheetViews>
    <sheetView topLeftCell="C1" workbookViewId="0">
      <selection activeCell="C6" sqref="C6"/>
    </sheetView>
  </sheetViews>
  <sheetFormatPr defaultRowHeight="14.5" x14ac:dyDescent="0.35"/>
  <cols>
    <col min="1" max="5" width="22.453125" bestFit="1" customWidth="1"/>
    <col min="7" max="7" width="15.453125" customWidth="1"/>
    <col min="8" max="8" width="26.453125" customWidth="1"/>
    <col min="16" max="16" width="11.81640625" customWidth="1"/>
  </cols>
  <sheetData>
    <row r="2" spans="1:16" x14ac:dyDescent="0.35">
      <c r="A2" s="98" t="s">
        <v>2263</v>
      </c>
      <c r="B2" s="98"/>
      <c r="C2" s="98"/>
      <c r="D2" s="98"/>
      <c r="E2" s="98"/>
      <c r="G2" s="98" t="s">
        <v>2265</v>
      </c>
      <c r="H2" s="98"/>
      <c r="J2" s="98" t="s">
        <v>2267</v>
      </c>
      <c r="K2" s="98"/>
      <c r="L2" s="98"/>
      <c r="M2" s="98"/>
      <c r="N2" s="98"/>
      <c r="O2" s="98"/>
      <c r="P2" s="98"/>
    </row>
    <row r="3" spans="1:16" x14ac:dyDescent="0.35">
      <c r="A3" s="28" t="s">
        <v>2247</v>
      </c>
      <c r="B3" s="29" t="s">
        <v>2259</v>
      </c>
      <c r="C3" s="29" t="s">
        <v>2260</v>
      </c>
      <c r="D3" s="29" t="s">
        <v>2261</v>
      </c>
      <c r="E3" s="29" t="s">
        <v>2262</v>
      </c>
      <c r="G3" s="27" t="s">
        <v>2247</v>
      </c>
      <c r="H3" t="s">
        <v>2264</v>
      </c>
      <c r="J3" s="27" t="s">
        <v>2266</v>
      </c>
      <c r="K3" s="27" t="s">
        <v>2249</v>
      </c>
    </row>
    <row r="4" spans="1:16" x14ac:dyDescent="0.35">
      <c r="A4" s="30" t="s">
        <v>178</v>
      </c>
      <c r="B4" s="29">
        <v>60406</v>
      </c>
      <c r="C4" s="29">
        <v>208770</v>
      </c>
      <c r="D4" s="29">
        <v>0</v>
      </c>
      <c r="E4" s="29">
        <v>31263</v>
      </c>
      <c r="G4" s="1" t="s">
        <v>178</v>
      </c>
      <c r="H4">
        <v>1636625</v>
      </c>
      <c r="J4" s="27" t="s">
        <v>2247</v>
      </c>
      <c r="K4">
        <v>2003</v>
      </c>
      <c r="L4">
        <v>2006</v>
      </c>
      <c r="M4">
        <v>2009</v>
      </c>
      <c r="N4">
        <v>2013</v>
      </c>
      <c r="O4">
        <v>2023</v>
      </c>
      <c r="P4" t="s">
        <v>2248</v>
      </c>
    </row>
    <row r="5" spans="1:16" x14ac:dyDescent="0.35">
      <c r="A5" s="30" t="s">
        <v>93</v>
      </c>
      <c r="B5" s="29">
        <v>26968</v>
      </c>
      <c r="C5" s="29">
        <v>131192</v>
      </c>
      <c r="D5" s="29">
        <v>172067</v>
      </c>
      <c r="E5" s="29">
        <v>243324</v>
      </c>
      <c r="G5" s="1" t="s">
        <v>93</v>
      </c>
      <c r="H5">
        <v>1341014</v>
      </c>
      <c r="J5" s="1" t="s">
        <v>178</v>
      </c>
      <c r="K5">
        <v>274028</v>
      </c>
      <c r="P5">
        <v>274028</v>
      </c>
    </row>
    <row r="6" spans="1:16" x14ac:dyDescent="0.35">
      <c r="A6" s="30" t="s">
        <v>163</v>
      </c>
      <c r="B6" s="29">
        <v>0</v>
      </c>
      <c r="C6" s="29">
        <v>103225</v>
      </c>
      <c r="D6" s="29">
        <v>0</v>
      </c>
      <c r="E6" s="29">
        <v>129800</v>
      </c>
      <c r="G6" s="1" t="s">
        <v>163</v>
      </c>
      <c r="H6">
        <v>1574437</v>
      </c>
      <c r="J6" s="1" t="s">
        <v>93</v>
      </c>
      <c r="O6">
        <v>172067</v>
      </c>
      <c r="P6">
        <v>172067</v>
      </c>
    </row>
    <row r="7" spans="1:16" x14ac:dyDescent="0.35">
      <c r="A7" s="30" t="s">
        <v>217</v>
      </c>
      <c r="B7" s="29">
        <v>0</v>
      </c>
      <c r="C7" s="29">
        <v>0</v>
      </c>
      <c r="D7" s="29">
        <v>10876</v>
      </c>
      <c r="E7" s="29">
        <v>0</v>
      </c>
      <c r="G7" s="1" t="s">
        <v>217</v>
      </c>
      <c r="H7">
        <v>1013081</v>
      </c>
      <c r="J7" s="1" t="s">
        <v>294</v>
      </c>
      <c r="N7">
        <v>242498</v>
      </c>
      <c r="P7">
        <v>242498</v>
      </c>
    </row>
    <row r="8" spans="1:16" x14ac:dyDescent="0.35">
      <c r="A8" s="30" t="s">
        <v>11</v>
      </c>
      <c r="B8" s="29">
        <v>0</v>
      </c>
      <c r="C8" s="29">
        <v>71074</v>
      </c>
      <c r="D8" s="29">
        <v>0</v>
      </c>
      <c r="E8" s="29">
        <v>0</v>
      </c>
      <c r="G8" s="1" t="s">
        <v>11</v>
      </c>
      <c r="H8">
        <v>1719522</v>
      </c>
      <c r="J8" s="1" t="s">
        <v>11</v>
      </c>
      <c r="L8">
        <v>225590</v>
      </c>
      <c r="M8">
        <v>190898</v>
      </c>
      <c r="P8">
        <v>416488</v>
      </c>
    </row>
    <row r="9" spans="1:16" x14ac:dyDescent="0.35">
      <c r="A9" s="30" t="s">
        <v>175</v>
      </c>
      <c r="B9" s="29">
        <v>91525</v>
      </c>
      <c r="C9" s="29">
        <v>15339</v>
      </c>
      <c r="D9" s="29">
        <v>0</v>
      </c>
      <c r="E9" s="29">
        <v>15023</v>
      </c>
      <c r="G9" s="1" t="s">
        <v>175</v>
      </c>
      <c r="H9">
        <v>1377044</v>
      </c>
      <c r="J9" s="1" t="s">
        <v>2248</v>
      </c>
      <c r="K9">
        <v>274028</v>
      </c>
      <c r="L9">
        <v>225590</v>
      </c>
      <c r="M9">
        <v>190898</v>
      </c>
      <c r="N9">
        <v>242498</v>
      </c>
      <c r="O9">
        <v>172067</v>
      </c>
      <c r="P9">
        <v>1105081</v>
      </c>
    </row>
    <row r="10" spans="1:16" x14ac:dyDescent="0.35">
      <c r="A10" s="30" t="s">
        <v>82</v>
      </c>
      <c r="B10" s="29">
        <v>0</v>
      </c>
      <c r="C10" s="29">
        <v>10942</v>
      </c>
      <c r="D10" s="29">
        <v>0</v>
      </c>
      <c r="E10" s="29">
        <v>44373</v>
      </c>
      <c r="G10" s="1" t="s">
        <v>82</v>
      </c>
      <c r="H10">
        <v>1085481</v>
      </c>
    </row>
    <row r="11" spans="1:16" x14ac:dyDescent="0.35">
      <c r="A11" s="30" t="s">
        <v>2248</v>
      </c>
      <c r="B11" s="29">
        <v>178899</v>
      </c>
      <c r="C11" s="29">
        <v>540542</v>
      </c>
      <c r="D11" s="29">
        <v>182943</v>
      </c>
      <c r="E11" s="29">
        <v>463783</v>
      </c>
      <c r="G11" s="1" t="s">
        <v>2248</v>
      </c>
      <c r="H11">
        <v>9747204</v>
      </c>
    </row>
  </sheetData>
  <mergeCells count="3">
    <mergeCell ref="A2:E2"/>
    <mergeCell ref="G2:H2"/>
    <mergeCell ref="J2:P2"/>
  </mergeCells>
  <pageMargins left="0.7" right="0.7" top="0.75" bottom="0.75" header="0.3" footer="0.3"/>
  <pageSetup orientation="portrait" r:id="rId4"/>
  <drawing r:id="rId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BF75C-6658-4DA5-BB32-A40EB19A49D5}">
  <sheetPr codeName="Sheet11"/>
  <dimension ref="A2:S26"/>
  <sheetViews>
    <sheetView topLeftCell="B1" workbookViewId="0"/>
  </sheetViews>
  <sheetFormatPr defaultRowHeight="14.5" x14ac:dyDescent="0.35"/>
  <cols>
    <col min="1" max="1" width="11.81640625" customWidth="1"/>
    <col min="2" max="2" width="23" customWidth="1"/>
    <col min="3" max="3" width="14.26953125" bestFit="1" customWidth="1"/>
    <col min="4" max="4" width="5" customWidth="1"/>
    <col min="5" max="5" width="3" customWidth="1"/>
    <col min="6" max="6" width="17.54296875" customWidth="1"/>
    <col min="7" max="7" width="3.7265625" customWidth="1"/>
    <col min="8" max="9" width="14.7265625" customWidth="1"/>
    <col min="10" max="10" width="1.81640625" customWidth="1"/>
    <col min="11" max="11" width="7.54296875" customWidth="1"/>
    <col min="12" max="12" width="10.54296875" bestFit="1" customWidth="1"/>
    <col min="13" max="13" width="11.54296875" customWidth="1"/>
    <col min="14" max="14" width="16.7265625" customWidth="1"/>
    <col min="15" max="15" width="16.1796875" customWidth="1"/>
    <col min="16" max="16" width="14.81640625" customWidth="1"/>
    <col min="17" max="17" width="15.26953125" bestFit="1" customWidth="1"/>
    <col min="18" max="18" width="20.453125" customWidth="1"/>
    <col min="19" max="19" width="14.81640625" bestFit="1" customWidth="1"/>
  </cols>
  <sheetData>
    <row r="2" spans="1:19" x14ac:dyDescent="0.35">
      <c r="A2" s="109" t="s">
        <v>2346</v>
      </c>
      <c r="B2" s="109"/>
      <c r="C2" s="109"/>
      <c r="D2" s="109"/>
      <c r="E2" s="109"/>
      <c r="F2" s="109"/>
      <c r="G2" s="109"/>
      <c r="H2" s="109"/>
      <c r="I2" s="56"/>
    </row>
    <row r="4" spans="1:19" x14ac:dyDescent="0.35">
      <c r="A4" s="63" t="s">
        <v>2326</v>
      </c>
      <c r="B4" s="62"/>
      <c r="C4" s="62"/>
      <c r="F4" s="110" t="s">
        <v>2327</v>
      </c>
      <c r="G4" s="110"/>
      <c r="H4" s="67"/>
      <c r="I4" s="67"/>
    </row>
    <row r="5" spans="1:19" x14ac:dyDescent="0.35">
      <c r="A5" s="62"/>
      <c r="B5" s="62"/>
      <c r="C5" s="62"/>
      <c r="F5" s="111"/>
      <c r="G5" s="111"/>
      <c r="H5" s="67"/>
      <c r="I5" s="67"/>
      <c r="K5" s="109" t="s">
        <v>2345</v>
      </c>
      <c r="L5" s="109"/>
      <c r="M5" s="109"/>
      <c r="N5" s="109"/>
      <c r="O5" s="109"/>
      <c r="P5" s="109"/>
      <c r="Q5" s="109"/>
      <c r="R5" s="109"/>
    </row>
    <row r="6" spans="1:19" x14ac:dyDescent="0.35">
      <c r="A6" s="66" t="s">
        <v>2293</v>
      </c>
      <c r="B6" s="62"/>
      <c r="C6" s="62"/>
      <c r="F6" s="107"/>
      <c r="G6" s="107"/>
      <c r="H6" s="67"/>
      <c r="I6" s="67"/>
      <c r="K6" s="51" t="s">
        <v>2340</v>
      </c>
      <c r="L6" s="51" t="s">
        <v>2341</v>
      </c>
      <c r="M6" s="51" t="s">
        <v>2343</v>
      </c>
      <c r="N6" s="51" t="s">
        <v>2344</v>
      </c>
      <c r="O6" s="51" t="s">
        <v>2303</v>
      </c>
      <c r="P6" s="51" t="s">
        <v>2304</v>
      </c>
      <c r="Q6" s="51" t="s">
        <v>2342</v>
      </c>
      <c r="R6" s="51" t="s">
        <v>2316</v>
      </c>
    </row>
    <row r="7" spans="1:19" x14ac:dyDescent="0.35">
      <c r="A7" s="62"/>
      <c r="B7" s="64" t="s">
        <v>2296</v>
      </c>
      <c r="C7" s="62">
        <v>444550</v>
      </c>
      <c r="F7" s="107" t="s">
        <v>2339</v>
      </c>
      <c r="G7" s="107"/>
      <c r="H7" s="67"/>
      <c r="I7" s="68">
        <f>C7*C8</f>
        <v>6668250</v>
      </c>
      <c r="K7" s="70">
        <v>2024</v>
      </c>
      <c r="L7" s="71">
        <v>1065820</v>
      </c>
      <c r="M7" s="72">
        <f>10*1.02^0</f>
        <v>10</v>
      </c>
      <c r="N7" s="72">
        <f>L7*M7</f>
        <v>10658200</v>
      </c>
      <c r="O7" s="72">
        <f>N7*0.23</f>
        <v>2451386</v>
      </c>
      <c r="P7" s="73">
        <v>2250000</v>
      </c>
      <c r="Q7" s="72">
        <f>N7-(O7+P7)</f>
        <v>5956814</v>
      </c>
      <c r="R7" s="71">
        <f>ROUND(P7/(M7-(O7/L7)),0)</f>
        <v>292208</v>
      </c>
    </row>
    <row r="8" spans="1:19" x14ac:dyDescent="0.35">
      <c r="A8" s="62"/>
      <c r="B8" s="64" t="s">
        <v>2295</v>
      </c>
      <c r="C8" s="65">
        <v>15</v>
      </c>
      <c r="F8" s="107" t="s">
        <v>2328</v>
      </c>
      <c r="G8" s="107"/>
      <c r="H8" s="67"/>
      <c r="I8" s="67"/>
      <c r="K8" s="70">
        <v>2025</v>
      </c>
      <c r="L8" s="71">
        <v>1118111</v>
      </c>
      <c r="M8" s="72">
        <f>10*1.02^1</f>
        <v>10.199999999999999</v>
      </c>
      <c r="N8" s="72">
        <f>ROUND((L8*M8),0)</f>
        <v>11404732</v>
      </c>
      <c r="O8" s="72">
        <f>ROUND((N8*0.23),0)</f>
        <v>2623088</v>
      </c>
      <c r="P8" s="73">
        <v>2295000</v>
      </c>
      <c r="Q8" s="72">
        <f t="shared" ref="Q8:Q12" si="0">N8-(O8+P8)</f>
        <v>6486644</v>
      </c>
      <c r="R8" s="71">
        <f t="shared" ref="R8:R12" si="1">ROUND(P8/(M8-(O8/L8)),0)</f>
        <v>292208</v>
      </c>
    </row>
    <row r="9" spans="1:19" x14ac:dyDescent="0.35">
      <c r="A9" s="66" t="s">
        <v>2322</v>
      </c>
      <c r="B9" s="62"/>
      <c r="C9" s="65"/>
      <c r="F9" s="107" t="s">
        <v>2335</v>
      </c>
      <c r="G9" s="107"/>
      <c r="H9" s="68">
        <f>C7*C10</f>
        <v>889100</v>
      </c>
      <c r="I9" s="67"/>
      <c r="K9" s="70">
        <v>2026</v>
      </c>
      <c r="L9" s="71">
        <v>1173016</v>
      </c>
      <c r="M9" s="72">
        <f>ROUND((10*1.02^2),1)</f>
        <v>10.4</v>
      </c>
      <c r="N9" s="72">
        <f>ROUND((L9*M9),0)</f>
        <v>12199366</v>
      </c>
      <c r="O9" s="72">
        <f>ROUND((N9*0.23),0)</f>
        <v>2805854</v>
      </c>
      <c r="P9" s="73">
        <v>2340900</v>
      </c>
      <c r="Q9" s="72">
        <f t="shared" si="0"/>
        <v>7052612</v>
      </c>
      <c r="R9" s="71">
        <f t="shared" si="1"/>
        <v>292320</v>
      </c>
    </row>
    <row r="10" spans="1:19" ht="15.5" x14ac:dyDescent="0.45">
      <c r="A10" s="62"/>
      <c r="B10" s="64" t="s">
        <v>2324</v>
      </c>
      <c r="C10" s="65">
        <v>2</v>
      </c>
      <c r="F10" s="107" t="s">
        <v>2329</v>
      </c>
      <c r="G10" s="107"/>
      <c r="H10" s="69">
        <f>C7*C11</f>
        <v>644597.5</v>
      </c>
      <c r="I10" s="67"/>
      <c r="K10" s="70">
        <v>2027</v>
      </c>
      <c r="L10" s="71">
        <v>1230667</v>
      </c>
      <c r="M10" s="72">
        <f>ROUND((10*1.02^3),1)</f>
        <v>10.6</v>
      </c>
      <c r="N10" s="72">
        <f>ROUND((L10*M10),0)</f>
        <v>13045070</v>
      </c>
      <c r="O10" s="72">
        <f>ROUND((N10*0.23),0)</f>
        <v>3000366</v>
      </c>
      <c r="P10" s="73">
        <v>2387718</v>
      </c>
      <c r="Q10" s="72">
        <f t="shared" si="0"/>
        <v>7656986</v>
      </c>
      <c r="R10" s="71">
        <f t="shared" si="1"/>
        <v>292541</v>
      </c>
    </row>
    <row r="11" spans="1:19" ht="15.5" x14ac:dyDescent="0.45">
      <c r="A11" s="62"/>
      <c r="B11" s="64" t="s">
        <v>2325</v>
      </c>
      <c r="C11" s="65">
        <v>1.45</v>
      </c>
      <c r="F11" s="107" t="s">
        <v>2330</v>
      </c>
      <c r="G11" s="107"/>
      <c r="H11" s="67"/>
      <c r="I11" s="69">
        <f>H9+H10</f>
        <v>1533697.5</v>
      </c>
      <c r="K11" s="70">
        <v>2028</v>
      </c>
      <c r="L11" s="71">
        <v>1291200</v>
      </c>
      <c r="M11" s="72">
        <f>ROUND((10*1.02^4),1)</f>
        <v>10.8</v>
      </c>
      <c r="N11" s="72">
        <f t="shared" ref="N11:N12" si="2">L11*M11</f>
        <v>13944960</v>
      </c>
      <c r="O11" s="72">
        <f>ROUND((N11*0.23),0)</f>
        <v>3207341</v>
      </c>
      <c r="P11" s="73">
        <v>2435472</v>
      </c>
      <c r="Q11" s="72">
        <f t="shared" si="0"/>
        <v>8302147</v>
      </c>
      <c r="R11" s="71">
        <f t="shared" si="1"/>
        <v>292866</v>
      </c>
    </row>
    <row r="12" spans="1:19" x14ac:dyDescent="0.35">
      <c r="A12" s="66" t="s">
        <v>2323</v>
      </c>
      <c r="B12" s="62"/>
      <c r="C12" s="65"/>
      <c r="F12" s="107" t="s">
        <v>2331</v>
      </c>
      <c r="G12" s="107"/>
      <c r="H12" s="67"/>
      <c r="I12" s="68">
        <f>I7-I11</f>
        <v>5134552.5</v>
      </c>
      <c r="K12" s="70">
        <v>2029</v>
      </c>
      <c r="L12" s="71">
        <v>444550</v>
      </c>
      <c r="M12" s="71">
        <v>15</v>
      </c>
      <c r="N12" s="72">
        <f t="shared" si="2"/>
        <v>6668250</v>
      </c>
      <c r="O12" s="72">
        <f>ROUND((N12*0.23),0)</f>
        <v>1533698</v>
      </c>
      <c r="P12" s="73">
        <v>2483226</v>
      </c>
      <c r="Q12" s="74">
        <f t="shared" si="0"/>
        <v>2651326</v>
      </c>
      <c r="R12" s="75">
        <f t="shared" si="1"/>
        <v>214998</v>
      </c>
      <c r="S12" s="89" t="s">
        <v>2376</v>
      </c>
    </row>
    <row r="13" spans="1:19" x14ac:dyDescent="0.35">
      <c r="A13" s="62"/>
      <c r="B13" s="64" t="s">
        <v>2306</v>
      </c>
      <c r="C13" s="65">
        <v>683226</v>
      </c>
      <c r="F13" s="107" t="s">
        <v>2332</v>
      </c>
      <c r="G13" s="107"/>
      <c r="H13" s="67"/>
      <c r="I13" s="67"/>
    </row>
    <row r="14" spans="1:19" x14ac:dyDescent="0.35">
      <c r="A14" s="62"/>
      <c r="B14" s="64" t="s">
        <v>2307</v>
      </c>
      <c r="C14" s="65">
        <v>800000</v>
      </c>
      <c r="F14" s="107" t="s">
        <v>2336</v>
      </c>
      <c r="G14" s="107"/>
      <c r="H14" s="68">
        <f>C13</f>
        <v>683226</v>
      </c>
      <c r="I14" s="67"/>
      <c r="L14" s="108" t="s">
        <v>2348</v>
      </c>
      <c r="M14" s="108"/>
      <c r="N14" s="108"/>
      <c r="O14" s="108"/>
      <c r="P14" s="108"/>
      <c r="Q14" s="108"/>
      <c r="R14" s="108"/>
    </row>
    <row r="15" spans="1:19" x14ac:dyDescent="0.35">
      <c r="A15" s="62"/>
      <c r="B15" s="64" t="s">
        <v>2312</v>
      </c>
      <c r="C15" s="65">
        <v>1000000</v>
      </c>
      <c r="F15" s="107" t="s">
        <v>2337</v>
      </c>
      <c r="G15" s="107"/>
      <c r="H15" s="68">
        <f>C14</f>
        <v>800000</v>
      </c>
      <c r="I15" s="67"/>
      <c r="L15" s="108"/>
      <c r="M15" s="108"/>
      <c r="N15" s="108"/>
      <c r="O15" s="108"/>
      <c r="P15" s="108"/>
      <c r="Q15" s="108"/>
      <c r="R15" s="108"/>
    </row>
    <row r="16" spans="1:19" ht="15.5" x14ac:dyDescent="0.45">
      <c r="F16" s="107" t="s">
        <v>2338</v>
      </c>
      <c r="G16" s="107"/>
      <c r="H16" s="69">
        <f>C15</f>
        <v>1000000</v>
      </c>
      <c r="I16" s="67"/>
      <c r="L16" s="108"/>
      <c r="M16" s="108"/>
      <c r="N16" s="108"/>
      <c r="O16" s="108"/>
      <c r="P16" s="108"/>
      <c r="Q16" s="108"/>
      <c r="R16" s="108"/>
    </row>
    <row r="17" spans="6:18" ht="15.5" x14ac:dyDescent="0.45">
      <c r="F17" s="107" t="s">
        <v>2333</v>
      </c>
      <c r="G17" s="107"/>
      <c r="H17" s="67"/>
      <c r="I17" s="69">
        <f>H14+H15+H16</f>
        <v>2483226</v>
      </c>
      <c r="L17" s="108"/>
      <c r="M17" s="108"/>
      <c r="N17" s="108"/>
      <c r="O17" s="108"/>
      <c r="P17" s="108"/>
      <c r="Q17" s="108"/>
      <c r="R17" s="108"/>
    </row>
    <row r="18" spans="6:18" ht="15.5" x14ac:dyDescent="0.45">
      <c r="F18" s="107" t="s">
        <v>2334</v>
      </c>
      <c r="G18" s="107"/>
      <c r="H18" s="67"/>
      <c r="I18" s="76">
        <f>I12-I17</f>
        <v>2651326.5</v>
      </c>
      <c r="L18" s="108"/>
      <c r="M18" s="108"/>
      <c r="N18" s="108"/>
      <c r="O18" s="108"/>
      <c r="P18" s="108"/>
      <c r="Q18" s="108"/>
      <c r="R18" s="108"/>
    </row>
    <row r="19" spans="6:18" x14ac:dyDescent="0.35">
      <c r="L19" s="108"/>
      <c r="M19" s="108"/>
      <c r="N19" s="108"/>
      <c r="O19" s="108"/>
      <c r="P19" s="108"/>
      <c r="Q19" s="108"/>
      <c r="R19" s="108"/>
    </row>
    <row r="20" spans="6:18" x14ac:dyDescent="0.35">
      <c r="L20" s="108"/>
      <c r="M20" s="108"/>
      <c r="N20" s="108"/>
      <c r="O20" s="108"/>
      <c r="P20" s="108"/>
      <c r="Q20" s="108"/>
      <c r="R20" s="108"/>
    </row>
    <row r="21" spans="6:18" ht="24.75" customHeight="1" x14ac:dyDescent="0.35">
      <c r="L21" s="108"/>
      <c r="M21" s="108"/>
      <c r="N21" s="108"/>
      <c r="O21" s="108"/>
      <c r="P21" s="108"/>
      <c r="Q21" s="108"/>
      <c r="R21" s="108"/>
    </row>
    <row r="22" spans="6:18" ht="15" customHeight="1" x14ac:dyDescent="0.35">
      <c r="L22" s="108" t="s">
        <v>2347</v>
      </c>
      <c r="M22" s="108"/>
      <c r="N22" s="108"/>
      <c r="O22" s="108"/>
      <c r="P22" s="108"/>
      <c r="Q22" s="108"/>
      <c r="R22" s="108"/>
    </row>
    <row r="23" spans="6:18" x14ac:dyDescent="0.35">
      <c r="L23" s="108"/>
      <c r="M23" s="108"/>
      <c r="N23" s="108"/>
      <c r="O23" s="108"/>
      <c r="P23" s="108"/>
      <c r="Q23" s="108"/>
      <c r="R23" s="108"/>
    </row>
    <row r="24" spans="6:18" x14ac:dyDescent="0.35">
      <c r="L24" s="108"/>
      <c r="M24" s="108"/>
      <c r="N24" s="108"/>
      <c r="O24" s="108"/>
      <c r="P24" s="108"/>
      <c r="Q24" s="108"/>
      <c r="R24" s="108"/>
    </row>
    <row r="25" spans="6:18" x14ac:dyDescent="0.35">
      <c r="L25" s="108"/>
      <c r="M25" s="108"/>
      <c r="N25" s="108"/>
      <c r="O25" s="108"/>
      <c r="P25" s="108"/>
      <c r="Q25" s="108"/>
      <c r="R25" s="108"/>
    </row>
    <row r="26" spans="6:18" x14ac:dyDescent="0.35">
      <c r="L26" s="108"/>
      <c r="M26" s="108"/>
      <c r="N26" s="108"/>
      <c r="O26" s="108"/>
      <c r="P26" s="108"/>
      <c r="Q26" s="108"/>
      <c r="R26" s="108"/>
    </row>
  </sheetData>
  <mergeCells count="19">
    <mergeCell ref="F8:G8"/>
    <mergeCell ref="F9:G9"/>
    <mergeCell ref="F10:G10"/>
    <mergeCell ref="F11:G11"/>
    <mergeCell ref="F12:G12"/>
    <mergeCell ref="L22:R26"/>
    <mergeCell ref="A2:H2"/>
    <mergeCell ref="L14:R21"/>
    <mergeCell ref="K5:R5"/>
    <mergeCell ref="F13:G13"/>
    <mergeCell ref="F14:G14"/>
    <mergeCell ref="F15:G15"/>
    <mergeCell ref="F16:G16"/>
    <mergeCell ref="F17:G17"/>
    <mergeCell ref="F18:G18"/>
    <mergeCell ref="F4:G4"/>
    <mergeCell ref="F5:G5"/>
    <mergeCell ref="F6:G6"/>
    <mergeCell ref="F7:G7"/>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975CC-8D91-4C87-8FE1-2BB8991D0551}">
  <sheetPr codeName="Sheet12"/>
  <dimension ref="A1:H28"/>
  <sheetViews>
    <sheetView tabSelected="1" workbookViewId="0">
      <selection activeCell="G29" sqref="G29"/>
    </sheetView>
  </sheetViews>
  <sheetFormatPr defaultRowHeight="14.5" x14ac:dyDescent="0.35"/>
  <cols>
    <col min="1" max="1" width="28.7265625" customWidth="1"/>
    <col min="2" max="2" width="19.26953125" customWidth="1"/>
    <col min="4" max="4" width="25.7265625" customWidth="1"/>
    <col min="5" max="5" width="16.26953125" customWidth="1"/>
    <col min="7" max="7" width="28.1796875" customWidth="1"/>
    <col min="8" max="8" width="16.54296875" customWidth="1"/>
  </cols>
  <sheetData>
    <row r="1" spans="1:8" ht="18.5" x14ac:dyDescent="0.45">
      <c r="A1" s="112" t="s">
        <v>2309</v>
      </c>
      <c r="B1" s="113"/>
    </row>
    <row r="2" spans="1:8" x14ac:dyDescent="0.35">
      <c r="A2" s="109" t="s">
        <v>2292</v>
      </c>
      <c r="B2" s="109"/>
    </row>
    <row r="3" spans="1:8" x14ac:dyDescent="0.35">
      <c r="A3" s="50" t="s">
        <v>2298</v>
      </c>
      <c r="B3" s="50" t="s">
        <v>2294</v>
      </c>
    </row>
    <row r="4" spans="1:8" x14ac:dyDescent="0.35">
      <c r="A4" s="39" t="s">
        <v>2296</v>
      </c>
      <c r="B4" s="54">
        <v>1065820</v>
      </c>
    </row>
    <row r="5" spans="1:8" ht="15" thickBot="1" x14ac:dyDescent="0.4">
      <c r="A5" s="39" t="s">
        <v>2295</v>
      </c>
      <c r="B5" s="53">
        <v>10</v>
      </c>
    </row>
    <row r="6" spans="1:8" ht="15" thickBot="1" x14ac:dyDescent="0.4">
      <c r="A6" s="43" t="s">
        <v>2297</v>
      </c>
      <c r="B6" s="52">
        <f>B4*B5</f>
        <v>10658200</v>
      </c>
    </row>
    <row r="7" spans="1:8" x14ac:dyDescent="0.35">
      <c r="A7" s="55"/>
      <c r="B7" s="55"/>
    </row>
    <row r="8" spans="1:8" x14ac:dyDescent="0.35">
      <c r="A8" s="109" t="s">
        <v>2303</v>
      </c>
      <c r="B8" s="109"/>
    </row>
    <row r="9" spans="1:8" x14ac:dyDescent="0.35">
      <c r="A9" s="51" t="s">
        <v>2298</v>
      </c>
      <c r="B9" s="51" t="s">
        <v>2294</v>
      </c>
      <c r="G9" s="109" t="s">
        <v>2317</v>
      </c>
      <c r="H9" s="109"/>
    </row>
    <row r="10" spans="1:8" x14ac:dyDescent="0.35">
      <c r="A10" s="39" t="s">
        <v>2299</v>
      </c>
      <c r="B10" s="53">
        <f>B6*10%</f>
        <v>1065820</v>
      </c>
      <c r="D10" s="109" t="s">
        <v>2313</v>
      </c>
      <c r="E10" s="109"/>
      <c r="G10" s="51" t="s">
        <v>2318</v>
      </c>
      <c r="H10" s="51" t="s">
        <v>2319</v>
      </c>
    </row>
    <row r="11" spans="1:8" x14ac:dyDescent="0.35">
      <c r="A11" s="39" t="s">
        <v>2300</v>
      </c>
      <c r="B11" s="53">
        <f>B6*5%</f>
        <v>532910</v>
      </c>
      <c r="D11" s="51" t="s">
        <v>2298</v>
      </c>
      <c r="E11" s="51" t="s">
        <v>2294</v>
      </c>
      <c r="G11" s="59" t="s">
        <v>2297</v>
      </c>
      <c r="H11" s="60">
        <v>10658200</v>
      </c>
    </row>
    <row r="12" spans="1:8" ht="15" thickBot="1" x14ac:dyDescent="0.4">
      <c r="A12" s="39" t="s">
        <v>2301</v>
      </c>
      <c r="B12" s="53">
        <f>B6*8%</f>
        <v>852656</v>
      </c>
      <c r="D12" s="39" t="s">
        <v>2304</v>
      </c>
      <c r="E12" s="53">
        <f>B21</f>
        <v>2250000</v>
      </c>
      <c r="G12" s="59" t="s">
        <v>2302</v>
      </c>
      <c r="H12" s="60">
        <v>2451386</v>
      </c>
    </row>
    <row r="13" spans="1:8" ht="15" thickBot="1" x14ac:dyDescent="0.4">
      <c r="A13" s="43" t="s">
        <v>2302</v>
      </c>
      <c r="B13" s="57">
        <f>SUM(B10:B12)</f>
        <v>2451386</v>
      </c>
      <c r="D13" s="39" t="s">
        <v>2314</v>
      </c>
      <c r="E13" s="53">
        <f>B13/B4</f>
        <v>2.2999999999999998</v>
      </c>
      <c r="G13" s="59" t="s">
        <v>2308</v>
      </c>
      <c r="H13" s="60">
        <v>2250000</v>
      </c>
    </row>
    <row r="14" spans="1:8" x14ac:dyDescent="0.35">
      <c r="D14" s="39" t="s">
        <v>2315</v>
      </c>
      <c r="E14" s="53">
        <v>10</v>
      </c>
      <c r="G14" s="59" t="s">
        <v>2320</v>
      </c>
      <c r="H14" s="60">
        <v>5956814</v>
      </c>
    </row>
    <row r="15" spans="1:8" x14ac:dyDescent="0.35">
      <c r="A15" s="109" t="s">
        <v>2304</v>
      </c>
      <c r="B15" s="109"/>
      <c r="D15" s="43" t="s">
        <v>2316</v>
      </c>
      <c r="E15" s="58">
        <f>ROUND(B21/(B5-E13),0)</f>
        <v>292208</v>
      </c>
      <c r="G15" s="59" t="s">
        <v>2321</v>
      </c>
      <c r="H15" s="61">
        <v>292208</v>
      </c>
    </row>
    <row r="16" spans="1:8" x14ac:dyDescent="0.35">
      <c r="A16" s="51" t="s">
        <v>2298</v>
      </c>
      <c r="B16" s="51" t="s">
        <v>2294</v>
      </c>
    </row>
    <row r="17" spans="1:2" x14ac:dyDescent="0.35">
      <c r="A17" s="39" t="s">
        <v>2305</v>
      </c>
      <c r="B17" s="53">
        <v>500000</v>
      </c>
    </row>
    <row r="18" spans="1:2" x14ac:dyDescent="0.35">
      <c r="A18" s="39" t="s">
        <v>2306</v>
      </c>
      <c r="B18" s="53">
        <v>1000000</v>
      </c>
    </row>
    <row r="19" spans="1:2" x14ac:dyDescent="0.35">
      <c r="A19" s="39" t="s">
        <v>2307</v>
      </c>
      <c r="B19" s="53">
        <v>300000</v>
      </c>
    </row>
    <row r="20" spans="1:2" ht="15" thickBot="1" x14ac:dyDescent="0.4">
      <c r="A20" s="39" t="s">
        <v>2312</v>
      </c>
      <c r="B20" s="53">
        <v>450000</v>
      </c>
    </row>
    <row r="21" spans="1:2" ht="15" thickBot="1" x14ac:dyDescent="0.4">
      <c r="A21" s="43" t="s">
        <v>2308</v>
      </c>
      <c r="B21" s="57">
        <f>SUM(B17:B20)</f>
        <v>2250000</v>
      </c>
    </row>
    <row r="23" spans="1:2" x14ac:dyDescent="0.35">
      <c r="A23" s="109" t="s">
        <v>2310</v>
      </c>
      <c r="B23" s="109"/>
    </row>
    <row r="24" spans="1:2" x14ac:dyDescent="0.35">
      <c r="A24" s="51" t="s">
        <v>2298</v>
      </c>
      <c r="B24" s="51" t="s">
        <v>2294</v>
      </c>
    </row>
    <row r="25" spans="1:2" x14ac:dyDescent="0.35">
      <c r="A25" s="39" t="s">
        <v>2297</v>
      </c>
      <c r="B25" s="53">
        <f>$B6</f>
        <v>10658200</v>
      </c>
    </row>
    <row r="26" spans="1:2" x14ac:dyDescent="0.35">
      <c r="A26" s="39" t="s">
        <v>2302</v>
      </c>
      <c r="B26" s="53">
        <f>B13</f>
        <v>2451386</v>
      </c>
    </row>
    <row r="27" spans="1:2" ht="15" thickBot="1" x14ac:dyDescent="0.4">
      <c r="A27" s="39" t="s">
        <v>2308</v>
      </c>
      <c r="B27" s="53">
        <f>B21</f>
        <v>2250000</v>
      </c>
    </row>
    <row r="28" spans="1:2" ht="15" thickBot="1" x14ac:dyDescent="0.4">
      <c r="A28" s="43" t="s">
        <v>2311</v>
      </c>
      <c r="B28" s="57">
        <f>B6-B13-B21</f>
        <v>5956814</v>
      </c>
    </row>
  </sheetData>
  <mergeCells count="7">
    <mergeCell ref="A15:B15"/>
    <mergeCell ref="A23:B23"/>
    <mergeCell ref="D10:E10"/>
    <mergeCell ref="G9:H9"/>
    <mergeCell ref="A1:B1"/>
    <mergeCell ref="A2:B2"/>
    <mergeCell ref="A8:B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Raw data</vt:lpstr>
      <vt:lpstr>INDEX</vt:lpstr>
      <vt:lpstr>Chapter - 1</vt:lpstr>
      <vt:lpstr>Chapter - 2</vt:lpstr>
      <vt:lpstr>Chapter - 3</vt:lpstr>
      <vt:lpstr>Chapter-3 Stocks</vt:lpstr>
      <vt:lpstr>Chapter - 4</vt:lpstr>
      <vt:lpstr>Chapter - 5</vt:lpstr>
      <vt:lpstr>Chapter-6</vt:lpstr>
      <vt:lpstr>Chapter -7</vt:lpstr>
      <vt:lpstr>Chapter-7 Pivot Tables</vt:lpstr>
      <vt:lpstr>Chapter -8</vt:lpstr>
      <vt:lpstr>Chapter-9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 Chowdary</dc:creator>
  <cp:lastModifiedBy>Divya Chowdary</cp:lastModifiedBy>
  <dcterms:created xsi:type="dcterms:W3CDTF">2024-11-06T23:51:25Z</dcterms:created>
  <dcterms:modified xsi:type="dcterms:W3CDTF">2024-11-20T05:09:02Z</dcterms:modified>
</cp:coreProperties>
</file>